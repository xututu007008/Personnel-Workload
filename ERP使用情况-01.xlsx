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400" windowHeight="14040" activeTab="1"/>
  </bookViews>
  <sheets>
    <sheet name="职能部门ERP操作汇总" sheetId="4" r:id="rId1"/>
    <sheet name="职能部门人员ERP操作" sheetId="1" r:id="rId2"/>
    <sheet name="职能部门人员台账" sheetId="5" r:id="rId3"/>
  </sheets>
  <externalReferences>
    <externalReference r:id="rId4"/>
  </externalReferences>
  <definedNames>
    <definedName name="_xlnm._FilterDatabase" localSheetId="1" hidden="1">职能部门人员ERP操作!$A$1:$H$275</definedName>
    <definedName name="StatusOptions_33">[1]Hidden_Options_33!$A$1:$A$2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<sst xmlns="http://schemas.openxmlformats.org/spreadsheetml/2006/main" count="8037" uniqueCount="2144">
  <si>
    <t>序号</t>
  </si>
  <si>
    <t>部门</t>
  </si>
  <si>
    <t>部门总人数</t>
  </si>
  <si>
    <t>参与人数</t>
  </si>
  <si>
    <t>发起流程总数</t>
  </si>
  <si>
    <t>审批流程总数</t>
  </si>
  <si>
    <t>处理时间（分钟）</t>
  </si>
  <si>
    <t>驳回次数</t>
  </si>
  <si>
    <t>有效评论次数</t>
  </si>
  <si>
    <t>HSE部</t>
  </si>
  <si>
    <t>待岗人员</t>
  </si>
  <si>
    <t>公司领导</t>
  </si>
  <si>
    <t>海外事业部</t>
  </si>
  <si>
    <t>合同管理部</t>
  </si>
  <si>
    <t>技术质量部</t>
  </si>
  <si>
    <t>技术中心</t>
  </si>
  <si>
    <t>人力资源部</t>
  </si>
  <si>
    <t>审计部</t>
  </si>
  <si>
    <t>市场开发部</t>
  </si>
  <si>
    <t>物资部</t>
  </si>
  <si>
    <t>项目管理公司</t>
  </si>
  <si>
    <t>信息化中心</t>
  </si>
  <si>
    <t>资产财务部</t>
  </si>
  <si>
    <t>综合办公室</t>
  </si>
  <si>
    <t>合计</t>
  </si>
  <si>
    <t>人员名称</t>
  </si>
  <si>
    <t>是否机关</t>
  </si>
  <si>
    <t>参与类型</t>
  </si>
  <si>
    <t>参与流程数量</t>
  </si>
  <si>
    <t>韩邢轩</t>
  </si>
  <si>
    <t>公司机关</t>
  </si>
  <si>
    <t>参与审批者</t>
  </si>
  <si>
    <t>发起者</t>
  </si>
  <si>
    <t>刘少兵</t>
  </si>
  <si>
    <t>薛慧</t>
  </si>
  <si>
    <t>张衡博</t>
  </si>
  <si>
    <t>何永欣</t>
  </si>
  <si>
    <t>梁鑫</t>
  </si>
  <si>
    <t>沙永忠</t>
  </si>
  <si>
    <t>王前高</t>
  </si>
  <si>
    <t>魏明</t>
  </si>
  <si>
    <t>赵学超</t>
  </si>
  <si>
    <t>方向前</t>
  </si>
  <si>
    <t>甘继荣</t>
  </si>
  <si>
    <t>黄可中</t>
  </si>
  <si>
    <t>王雄飞</t>
  </si>
  <si>
    <t>王勇</t>
  </si>
  <si>
    <t>武光</t>
  </si>
  <si>
    <t>夏斐</t>
  </si>
  <si>
    <t>邢振华</t>
  </si>
  <si>
    <t>杨文锋</t>
  </si>
  <si>
    <t>周小明</t>
  </si>
  <si>
    <t>韩丰萍</t>
  </si>
  <si>
    <t>沈宗豪</t>
  </si>
  <si>
    <t>唐建方</t>
  </si>
  <si>
    <t>王胡玲</t>
  </si>
  <si>
    <t>王霞</t>
  </si>
  <si>
    <t>许世杰</t>
  </si>
  <si>
    <t>杨知文</t>
  </si>
  <si>
    <t>于东轩</t>
  </si>
  <si>
    <t>张晓</t>
  </si>
  <si>
    <t>周明珠</t>
  </si>
  <si>
    <t>艾文娟</t>
  </si>
  <si>
    <t>付海翔</t>
  </si>
  <si>
    <t>倪铭琦</t>
  </si>
  <si>
    <t>台庆庆</t>
  </si>
  <si>
    <t>杨蕊</t>
  </si>
  <si>
    <t>袁雯雯</t>
  </si>
  <si>
    <t>赵振兴</t>
  </si>
  <si>
    <t>笪炎炎</t>
  </si>
  <si>
    <t>李文娟</t>
  </si>
  <si>
    <t>刘石</t>
  </si>
  <si>
    <t>罗颖</t>
  </si>
  <si>
    <t>孙裕强</t>
  </si>
  <si>
    <t>唐骥文</t>
  </si>
  <si>
    <t>俞桂萍</t>
  </si>
  <si>
    <t>虞婷</t>
  </si>
  <si>
    <t>朱庆峰</t>
  </si>
  <si>
    <t>蔡芙蓉</t>
  </si>
  <si>
    <t>陈苏宁</t>
  </si>
  <si>
    <t>董健</t>
  </si>
  <si>
    <t>方祥</t>
  </si>
  <si>
    <t>韩佳诺</t>
  </si>
  <si>
    <t>刘念</t>
  </si>
  <si>
    <t>沙雪平</t>
  </si>
  <si>
    <t>汤冉</t>
  </si>
  <si>
    <t>伍冰艳</t>
  </si>
  <si>
    <t>徐正玲</t>
  </si>
  <si>
    <t>张威</t>
  </si>
  <si>
    <t>张笑</t>
  </si>
  <si>
    <t>张哲宇</t>
  </si>
  <si>
    <t>朱家亮</t>
  </si>
  <si>
    <t>蔡婷婷</t>
  </si>
  <si>
    <t>陈岚</t>
  </si>
  <si>
    <t>高娟妮</t>
  </si>
  <si>
    <t>李军</t>
  </si>
  <si>
    <t>汤帆</t>
  </si>
  <si>
    <t>徐丹</t>
  </si>
  <si>
    <t>张香梅</t>
  </si>
  <si>
    <t>孙艳强</t>
  </si>
  <si>
    <t>鲍玮玮</t>
  </si>
  <si>
    <t>戴翔宇</t>
  </si>
  <si>
    <t>冯加东</t>
  </si>
  <si>
    <r>
      <rPr>
        <sz val="9"/>
        <color theme="1"/>
        <rFont val="微软雅黑"/>
        <charset val="134"/>
      </rPr>
      <t>高</t>
    </r>
    <r>
      <rPr>
        <sz val="9"/>
        <color theme="1"/>
        <rFont val="宋体-简"/>
        <charset val="134"/>
      </rPr>
      <t>塽</t>
    </r>
  </si>
  <si>
    <t>戈仕骏</t>
  </si>
  <si>
    <t>韩雨</t>
  </si>
  <si>
    <t>黄丙涛</t>
  </si>
  <si>
    <t>李汶铖</t>
  </si>
  <si>
    <t>李鑫</t>
  </si>
  <si>
    <t>刘辰宏</t>
  </si>
  <si>
    <t>王超</t>
  </si>
  <si>
    <t>荀月娥</t>
  </si>
  <si>
    <t>张芬</t>
  </si>
  <si>
    <t>朱丽莉</t>
  </si>
  <si>
    <t>卞晓芳</t>
  </si>
  <si>
    <t>范磊</t>
  </si>
  <si>
    <t>冯艳兰</t>
  </si>
  <si>
    <t>沈冲</t>
  </si>
  <si>
    <t>汪丽</t>
  </si>
  <si>
    <t>王仁斌</t>
  </si>
  <si>
    <t>吴彪</t>
  </si>
  <si>
    <t>吴玲梅</t>
  </si>
  <si>
    <t>邢冬梅</t>
  </si>
  <si>
    <r>
      <rPr>
        <sz val="9"/>
        <color theme="1"/>
        <rFont val="微软雅黑"/>
        <charset val="134"/>
      </rPr>
      <t>杨</t>
    </r>
    <r>
      <rPr>
        <sz val="9"/>
        <color theme="1"/>
        <rFont val="宋体-简"/>
        <charset val="134"/>
      </rPr>
      <t>祎</t>
    </r>
  </si>
  <si>
    <t>周勋禹</t>
  </si>
  <si>
    <t>常伟</t>
  </si>
  <si>
    <t>陈小会</t>
  </si>
  <si>
    <t>陈以吉</t>
  </si>
  <si>
    <t>何佳润</t>
  </si>
  <si>
    <t>胡恒</t>
  </si>
  <si>
    <r>
      <rPr>
        <sz val="9"/>
        <color theme="1"/>
        <rFont val="微软雅黑"/>
        <charset val="134"/>
      </rPr>
      <t>李</t>
    </r>
    <r>
      <rPr>
        <sz val="9"/>
        <color theme="1"/>
        <rFont val="宋体-简"/>
        <charset val="134"/>
      </rPr>
      <t>犇</t>
    </r>
  </si>
  <si>
    <t>李瑞霞</t>
  </si>
  <si>
    <t>李玉生</t>
  </si>
  <si>
    <t>刘豪</t>
  </si>
  <si>
    <t>穆家童</t>
  </si>
  <si>
    <t>时嘉铭</t>
  </si>
  <si>
    <t>孙如</t>
  </si>
  <si>
    <t>王业效</t>
  </si>
  <si>
    <t>魏楷星</t>
  </si>
  <si>
    <t>许性平</t>
  </si>
  <si>
    <t>姚罗</t>
  </si>
  <si>
    <t>叶子恩</t>
  </si>
  <si>
    <t>尹八一</t>
  </si>
  <si>
    <t>尹侃</t>
  </si>
  <si>
    <t>尹利伟</t>
  </si>
  <si>
    <t>张伟</t>
  </si>
  <si>
    <t>周睿杰</t>
  </si>
  <si>
    <t>蔡雷萌</t>
  </si>
  <si>
    <t>陈淑怡</t>
  </si>
  <si>
    <t>汪平</t>
  </si>
  <si>
    <t>汪艳玲</t>
  </si>
  <si>
    <t>王丽莉</t>
  </si>
  <si>
    <t>王顺清</t>
  </si>
  <si>
    <t>薛斌</t>
  </si>
  <si>
    <t>杨荣康</t>
  </si>
  <si>
    <t>左晋铭</t>
  </si>
  <si>
    <t>常艳坤</t>
  </si>
  <si>
    <t>高英昌</t>
  </si>
  <si>
    <t>何育宝</t>
  </si>
  <si>
    <t>胡锦刚</t>
  </si>
  <si>
    <t>江必文</t>
  </si>
  <si>
    <t>雷鸣</t>
  </si>
  <si>
    <t>马言</t>
  </si>
  <si>
    <t>潘良峰</t>
  </si>
  <si>
    <t>彭方媛</t>
  </si>
  <si>
    <t>尚媚菊</t>
  </si>
  <si>
    <t>王蕾</t>
  </si>
  <si>
    <t>王璐璐</t>
  </si>
  <si>
    <t>王之滔</t>
  </si>
  <si>
    <t>吴莹</t>
  </si>
  <si>
    <t>邢阳</t>
  </si>
  <si>
    <t>杨婷</t>
  </si>
  <si>
    <t>杨燕</t>
  </si>
  <si>
    <t>杨志旺</t>
  </si>
  <si>
    <t>张海</t>
  </si>
  <si>
    <t>张学军</t>
  </si>
  <si>
    <t>赵文强</t>
  </si>
  <si>
    <t>郑兴文</t>
  </si>
  <si>
    <t>周冲</t>
  </si>
  <si>
    <t>周媛</t>
  </si>
  <si>
    <t>朱彬</t>
  </si>
  <si>
    <t>陈洁</t>
  </si>
  <si>
    <t>郭凤霞</t>
  </si>
  <si>
    <t>孔方婷</t>
  </si>
  <si>
    <t>李沛宁</t>
  </si>
  <si>
    <t>孙璐</t>
  </si>
  <si>
    <t>王培培</t>
  </si>
  <si>
    <t>吴利云</t>
  </si>
  <si>
    <t>吴欣畏</t>
  </si>
  <si>
    <t>于波</t>
  </si>
  <si>
    <t>赵乐</t>
  </si>
  <si>
    <t>姓名</t>
  </si>
  <si>
    <t>性别</t>
  </si>
  <si>
    <t>身份证</t>
  </si>
  <si>
    <t>职位</t>
  </si>
  <si>
    <t>出生日期</t>
  </si>
  <si>
    <t>年龄</t>
  </si>
  <si>
    <t>参加工作时间</t>
  </si>
  <si>
    <t>到本单位时间</t>
  </si>
  <si>
    <t>人员类别</t>
  </si>
  <si>
    <t>籍贯</t>
  </si>
  <si>
    <t>联系电话</t>
  </si>
  <si>
    <t>学历</t>
  </si>
  <si>
    <t>专业</t>
  </si>
  <si>
    <t>毕业学校</t>
  </si>
  <si>
    <t>毕业时间</t>
  </si>
  <si>
    <t>出资人代表标识</t>
  </si>
  <si>
    <t>员工身份</t>
  </si>
  <si>
    <t>政治面貌</t>
  </si>
  <si>
    <t>创建人</t>
  </si>
  <si>
    <t>拥有者(必填)</t>
  </si>
  <si>
    <t>所属部门(必填)</t>
  </si>
  <si>
    <t>创建时间</t>
  </si>
  <si>
    <t>修改时间</t>
  </si>
  <si>
    <t>数据状态</t>
  </si>
  <si>
    <t>单位</t>
  </si>
  <si>
    <t>家庭住址</t>
  </si>
  <si>
    <t>是否完成提交-2025</t>
  </si>
  <si>
    <t>辅助控件-是</t>
  </si>
  <si>
    <t>群众测评是否完成提交-2025</t>
  </si>
  <si>
    <t>高层领导</t>
  </si>
  <si>
    <t>部门-原始</t>
  </si>
  <si>
    <t>ERP人员台账id</t>
  </si>
  <si>
    <t>个人是/否</t>
  </si>
  <si>
    <t>是否在职</t>
  </si>
  <si>
    <t>ERP人员编号</t>
  </si>
  <si>
    <t>在职状态</t>
  </si>
  <si>
    <t>男</t>
  </si>
  <si>
    <t>32118319970712481X</t>
  </si>
  <si>
    <t>技术助理(一)</t>
  </si>
  <si>
    <t>1997-07</t>
  </si>
  <si>
    <t>2019-09-01</t>
  </si>
  <si>
    <t>2026-01-01</t>
  </si>
  <si>
    <t>专业技术</t>
  </si>
  <si>
    <t>江苏省句容市</t>
  </si>
  <si>
    <t>18173575050</t>
  </si>
  <si>
    <t>本科</t>
  </si>
  <si>
    <t>其他</t>
  </si>
  <si>
    <t>南京理工大学泰州学院</t>
  </si>
  <si>
    <t>2019-06-30</t>
  </si>
  <si>
    <t>干部</t>
  </si>
  <si>
    <t>群众</t>
  </si>
  <si>
    <t>管理创新研究室</t>
  </si>
  <si>
    <t>2026-05-07 14:36:41</t>
  </si>
  <si>
    <t>已生效</t>
  </si>
  <si>
    <t>南京南化建设有限公司</t>
  </si>
  <si>
    <t>江苏省镇江市句容市</t>
  </si>
  <si>
    <t>是</t>
  </si>
  <si>
    <t>否</t>
  </si>
  <si>
    <t>在职</t>
  </si>
  <si>
    <t>杨莉娟</t>
  </si>
  <si>
    <t>女</t>
  </si>
  <si>
    <t>340302199004160027</t>
  </si>
  <si>
    <t>1990-04</t>
  </si>
  <si>
    <t>2013-11-01</t>
  </si>
  <si>
    <t>2026-03-09</t>
  </si>
  <si>
    <t>安徽蚌埠市</t>
  </si>
  <si>
    <t>17721022695</t>
  </si>
  <si>
    <t>武汉工程大学</t>
  </si>
  <si>
    <t>2013-06-30</t>
  </si>
  <si>
    <t>南京市六合区山居花园兰苑7栋2002</t>
  </si>
  <si>
    <t>张明</t>
  </si>
  <si>
    <t>320112196710290413</t>
  </si>
  <si>
    <t>辅助工种高级工</t>
  </si>
  <si>
    <t>1967-10</t>
  </si>
  <si>
    <t>1985-12-01</t>
  </si>
  <si>
    <t>技能操作</t>
  </si>
  <si>
    <t>江苏省南京市</t>
  </si>
  <si>
    <t>15996454089</t>
  </si>
  <si>
    <t>技校</t>
  </si>
  <si>
    <t>铆工</t>
  </si>
  <si>
    <t>1983-07-01</t>
  </si>
  <si>
    <t>股东</t>
  </si>
  <si>
    <t>工人</t>
  </si>
  <si>
    <t>2025-12-26 16:53:23</t>
  </si>
  <si>
    <t>2026-03-23 14:36:53</t>
  </si>
  <si>
    <t>江苏省 南京市 六合区 大厂街道南京南化建设有限公司(慈善幸福路)</t>
  </si>
  <si>
    <t>经理办公室</t>
  </si>
  <si>
    <t>C13F5F4B-A964-3B2F-76CC-E3F0B1CEF939</t>
  </si>
  <si>
    <t>1985005</t>
  </si>
  <si>
    <t>320112196004110410</t>
  </si>
  <si>
    <t>党委书记</t>
  </si>
  <si>
    <t>1960-04</t>
  </si>
  <si>
    <t>1982-08-01</t>
  </si>
  <si>
    <t>1978-01-01</t>
  </si>
  <si>
    <t>经营管理</t>
  </si>
  <si>
    <t>化机</t>
  </si>
  <si>
    <t>江苏石油化工学院</t>
  </si>
  <si>
    <t>1982-07-01</t>
  </si>
  <si>
    <t>党员</t>
  </si>
  <si>
    <t>2026-05-07 10:32:13</t>
  </si>
  <si>
    <t>AA0EB73B-26D7-4E5B-BCFC-3C9F489C3E57</t>
  </si>
  <si>
    <t>1978008</t>
  </si>
  <si>
    <t>320112196710260417</t>
  </si>
  <si>
    <t>主要工种高级工</t>
  </si>
  <si>
    <t>1986-05-01</t>
  </si>
  <si>
    <t>江苏省</t>
  </si>
  <si>
    <t>13813914682</t>
  </si>
  <si>
    <t>初中</t>
  </si>
  <si>
    <t>电焊工</t>
  </si>
  <si>
    <t>2026-03-20 17:24:45</t>
  </si>
  <si>
    <t>江苏省 南京市 六合区 沿江工业开发区凤凰南路172号</t>
  </si>
  <si>
    <t>19B050FE-4835-9B0E-87E1-1356F8563E45</t>
  </si>
  <si>
    <t>1986010</t>
  </si>
  <si>
    <t>陈庆忠</t>
  </si>
  <si>
    <t>320112196810060412</t>
  </si>
  <si>
    <t>1968-10</t>
  </si>
  <si>
    <t>1984-12-01</t>
  </si>
  <si>
    <t>13851877629</t>
  </si>
  <si>
    <t>1970-01-01</t>
  </si>
  <si>
    <t>2026-03-23 14:36:55</t>
  </si>
  <si>
    <t>DBD1B9FF-E20B-55E5-C496-9415951B9C57</t>
  </si>
  <si>
    <t>1984001</t>
  </si>
  <si>
    <t>许聚宝</t>
  </si>
  <si>
    <t>320112196911240412</t>
  </si>
  <si>
    <t>1969-11</t>
  </si>
  <si>
    <t>天津市</t>
  </si>
  <si>
    <t>15951645179</t>
  </si>
  <si>
    <t>2026-03-23 14:36:57</t>
  </si>
  <si>
    <t>江苏省 南京市 六合区</t>
  </si>
  <si>
    <t>21CADA49-CAA9-86AB-D73B-C266A70AB7C7</t>
  </si>
  <si>
    <t>1984018</t>
  </si>
  <si>
    <t>董家明</t>
  </si>
  <si>
    <t>320112196603020418</t>
  </si>
  <si>
    <t>业务主办B</t>
  </si>
  <si>
    <t>1966-03</t>
  </si>
  <si>
    <t>13770816352</t>
  </si>
  <si>
    <t>安全员</t>
  </si>
  <si>
    <t>1981-06-30</t>
  </si>
  <si>
    <t>2026-03-23 14:36:58</t>
  </si>
  <si>
    <t>江苏省 南京市 六合区 杨庄北村16栋</t>
  </si>
  <si>
    <t>0FFD246C-32CE-3289-3AD8-66B73CD2AA7E</t>
  </si>
  <si>
    <t>1984003</t>
  </si>
  <si>
    <t>320112196806160410</t>
  </si>
  <si>
    <t>中层正职(一类)</t>
  </si>
  <si>
    <t>1968-06</t>
  </si>
  <si>
    <t>1988-07-01</t>
  </si>
  <si>
    <t>13851588621</t>
  </si>
  <si>
    <t>江苏省自学考试中心</t>
  </si>
  <si>
    <t>2020-01-10</t>
  </si>
  <si>
    <t>2025-12-26 16:53:22</t>
  </si>
  <si>
    <t>2026-03-23 14:37:02</t>
  </si>
  <si>
    <t>江苏省 南京市 六合区 化建新一村49栋603</t>
  </si>
  <si>
    <t>5CB6C770-6BA1-7C0C-B2C4-8A58B2FE8333</t>
  </si>
  <si>
    <t>1988007</t>
  </si>
  <si>
    <t>320112197208130478</t>
  </si>
  <si>
    <t>专业工程师</t>
  </si>
  <si>
    <t>1972-08</t>
  </si>
  <si>
    <t>1989-08-01</t>
  </si>
  <si>
    <t>江苏省南京市六合区</t>
  </si>
  <si>
    <t>13951793059</t>
  </si>
  <si>
    <t>大专</t>
  </si>
  <si>
    <t>土建</t>
  </si>
  <si>
    <t>扬州大学</t>
  </si>
  <si>
    <t>2003-12-30</t>
  </si>
  <si>
    <t>2026-03-20 17:24:54</t>
  </si>
  <si>
    <t>江苏省 南京市 六合区 荣盛水景城摇光苑6-1001</t>
  </si>
  <si>
    <t>D5EA10A2-AC76-6347-41F4-2A281F55C01F</t>
  </si>
  <si>
    <t>1989006</t>
  </si>
  <si>
    <t>320112196809180417</t>
  </si>
  <si>
    <t>业务主管</t>
  </si>
  <si>
    <t>1968-09</t>
  </si>
  <si>
    <t>1987-07-01</t>
  </si>
  <si>
    <t>19850871279</t>
  </si>
  <si>
    <t>中专</t>
  </si>
  <si>
    <t>会计</t>
  </si>
  <si>
    <t>南京市职工中专学校</t>
  </si>
  <si>
    <t>1995-04-01</t>
  </si>
  <si>
    <t>2026-03-20 17:24:56</t>
  </si>
  <si>
    <t>江苏省 南京市 六合区 文承熙媛</t>
  </si>
  <si>
    <t>E92287F2-D61F-A0B8-99F8-24C761DECB82</t>
  </si>
  <si>
    <t>1987004</t>
  </si>
  <si>
    <t>王卫</t>
  </si>
  <si>
    <t>320112196911050416</t>
  </si>
  <si>
    <t>1989-07-01</t>
  </si>
  <si>
    <t>山东省济南市市辖区</t>
  </si>
  <si>
    <t>18921412518</t>
  </si>
  <si>
    <t>仪表</t>
  </si>
  <si>
    <t>南京广播电视大学</t>
  </si>
  <si>
    <t>1993-07-01</t>
  </si>
  <si>
    <t>2026-03-20 17:24:57</t>
  </si>
  <si>
    <t>E301D994-340B-9A96-7EC5-812DF236FABD</t>
  </si>
  <si>
    <t>1989008</t>
  </si>
  <si>
    <t>320112197004040438</t>
  </si>
  <si>
    <t>中层副职(一类)</t>
  </si>
  <si>
    <t>1970-04</t>
  </si>
  <si>
    <t>1989-03-01</t>
  </si>
  <si>
    <t>上海市崇明县</t>
  </si>
  <si>
    <t>13912982650</t>
  </si>
  <si>
    <t>南京市广播电视大学</t>
  </si>
  <si>
    <t>1997-01-01</t>
  </si>
  <si>
    <t>2026-03-20 17:25:01</t>
  </si>
  <si>
    <t>江苏省 南京市 六合区 南京市沿江工业开发区化建新一村51幢304室</t>
  </si>
  <si>
    <t>5D2F0701-6211-CB3B-9054-3401C623C358</t>
  </si>
  <si>
    <t>1989009</t>
  </si>
  <si>
    <t>320112196603100434</t>
  </si>
  <si>
    <t>副总经理</t>
  </si>
  <si>
    <t>1986-11-01</t>
  </si>
  <si>
    <t>13913357302</t>
  </si>
  <si>
    <t>淮南化学工程学校</t>
  </si>
  <si>
    <t>2023-10-12</t>
  </si>
  <si>
    <t>0E584ECB-612C-DE95-7CC1-9E2A945E9FE7</t>
  </si>
  <si>
    <t>1986014</t>
  </si>
  <si>
    <t>320112196706280415</t>
  </si>
  <si>
    <t>1967-06</t>
  </si>
  <si>
    <t>1989-12-01</t>
  </si>
  <si>
    <t>13951981127</t>
  </si>
  <si>
    <t>东南大学</t>
  </si>
  <si>
    <t>2026-03-23 14:37:05</t>
  </si>
  <si>
    <t>江苏省 南京市 六合区 化建新一村</t>
  </si>
  <si>
    <t>A75398FD-18BE-BFBB-8B28-EFEF98FA596E</t>
  </si>
  <si>
    <t>1989001</t>
  </si>
  <si>
    <t>王培云</t>
  </si>
  <si>
    <t>32011219710204044X</t>
  </si>
  <si>
    <t>主管工程师</t>
  </si>
  <si>
    <t>1971-02</t>
  </si>
  <si>
    <t>江苏省淮安市</t>
  </si>
  <si>
    <t>13851559136</t>
  </si>
  <si>
    <t>2026-03-20 17:25:16</t>
  </si>
  <si>
    <t>江苏省 南京市 浦口区 金城丽景</t>
  </si>
  <si>
    <t>3CEB880B-877C-44B5-290C-FE0F4FBCF0AD</t>
  </si>
  <si>
    <t>1989007</t>
  </si>
  <si>
    <t>310104196812160415</t>
  </si>
  <si>
    <t>1968-12</t>
  </si>
  <si>
    <t>1990-07-01</t>
  </si>
  <si>
    <t>13851940998</t>
  </si>
  <si>
    <t>上海交通大学</t>
  </si>
  <si>
    <t>5EB67C94-19A6-8B9A-1F3A-6D54FAAFAF45</t>
  </si>
  <si>
    <t>1990006</t>
  </si>
  <si>
    <t>320112196804210410</t>
  </si>
  <si>
    <t>副总师</t>
  </si>
  <si>
    <t>1968-04</t>
  </si>
  <si>
    <t>1988-12-01</t>
  </si>
  <si>
    <t>13951643244</t>
  </si>
  <si>
    <t>南京市电视大学</t>
  </si>
  <si>
    <t>2026-03-20 17:25:20</t>
  </si>
  <si>
    <t>江苏省 南京市 六合区 江北新区大厂街道杨庄北村16-505</t>
  </si>
  <si>
    <t>6178C3C0-B750-DA3A-D35A-A8B535EB9B64</t>
  </si>
  <si>
    <t>1988003</t>
  </si>
  <si>
    <t>32011219731020041X</t>
  </si>
  <si>
    <t>1973-10</t>
  </si>
  <si>
    <t>1992-08-01</t>
  </si>
  <si>
    <t>江苏省连云港市灌云县</t>
  </si>
  <si>
    <t>13401998010</t>
  </si>
  <si>
    <t>2001-12-31</t>
  </si>
  <si>
    <t>2025-12-26 16:53:21</t>
  </si>
  <si>
    <t>2026-03-23 14:37:07</t>
  </si>
  <si>
    <t>江苏省 南京市 六合区 大厂街道杨新路188号化建新一村</t>
  </si>
  <si>
    <t>32D27451-2EC9-305E-8943-5A186C13BAF3</t>
  </si>
  <si>
    <t>1992004</t>
  </si>
  <si>
    <t>320112197306100416</t>
  </si>
  <si>
    <t>1973-06</t>
  </si>
  <si>
    <t>1991-07-01</t>
  </si>
  <si>
    <t>15952095170</t>
  </si>
  <si>
    <t>中央广播电视大学</t>
  </si>
  <si>
    <t>2006-07-01</t>
  </si>
  <si>
    <t>2026-03-20 17:30:05</t>
  </si>
  <si>
    <t>3E3C5E36-5053-4F95-061F-313731516458</t>
  </si>
  <si>
    <t>1991009</t>
  </si>
  <si>
    <t>510212196809080417</t>
  </si>
  <si>
    <t>董事长</t>
  </si>
  <si>
    <t>1991-08-01</t>
  </si>
  <si>
    <t>13605154691</t>
  </si>
  <si>
    <t>重庆建筑工程学院</t>
  </si>
  <si>
    <t>民盟盟员</t>
  </si>
  <si>
    <t>8C38B17D-9849-9632-5F61-AB00943D8F41</t>
  </si>
  <si>
    <t>1991002</t>
  </si>
  <si>
    <t>杨伟群</t>
  </si>
  <si>
    <t>320112197104161659</t>
  </si>
  <si>
    <t>1971-04</t>
  </si>
  <si>
    <t>1990-12-01</t>
  </si>
  <si>
    <t>山东省临沂市郯城县</t>
  </si>
  <si>
    <t>18905156231</t>
  </si>
  <si>
    <t>高中</t>
  </si>
  <si>
    <t>钳工</t>
  </si>
  <si>
    <t>南化一中</t>
  </si>
  <si>
    <t>2026-03-23 14:37:12</t>
  </si>
  <si>
    <t>F32609BF-ACF7-DED0-CCF5-4C920B1F5663</t>
  </si>
  <si>
    <t>1990018</t>
  </si>
  <si>
    <t>321026197311017311</t>
  </si>
  <si>
    <t>1973-11</t>
  </si>
  <si>
    <t>13601406998</t>
  </si>
  <si>
    <t>南京工业大学</t>
  </si>
  <si>
    <t>1997-07-01</t>
  </si>
  <si>
    <t>2026-03-20 17:30:31</t>
  </si>
  <si>
    <t>江苏省 南京市 雨花台区 翠岛花城</t>
  </si>
  <si>
    <t>39B82F4C-2A89-C9E1-5061-4738002D74EE</t>
  </si>
  <si>
    <t>1990020</t>
  </si>
  <si>
    <t>320112197103170019</t>
  </si>
  <si>
    <t>副队长</t>
  </si>
  <si>
    <t>1971-03</t>
  </si>
  <si>
    <t>江苏省宿迁市泗洪县</t>
  </si>
  <si>
    <t>13951896779</t>
  </si>
  <si>
    <t>中央广播大学</t>
  </si>
  <si>
    <t>2005-07-01</t>
  </si>
  <si>
    <t>江苏省 南京市 六合区 周洼新村3-104</t>
  </si>
  <si>
    <t>安装三分公司</t>
  </si>
  <si>
    <t>092BC8E1-D933-7D2D-5317-205266187734</t>
  </si>
  <si>
    <t>1990012</t>
  </si>
  <si>
    <t>320112197202191659</t>
  </si>
  <si>
    <t>1972-02</t>
  </si>
  <si>
    <t>13951737938</t>
  </si>
  <si>
    <t>材料员</t>
  </si>
  <si>
    <t>2026-03-23 14:37:13</t>
  </si>
  <si>
    <t>江苏省 南京市 六合区 化学工业园区扬子十一村1幢106室</t>
  </si>
  <si>
    <t>3B667C7F-48E9-2C5E-D873-7F9E4570993C</t>
  </si>
  <si>
    <t>1990009</t>
  </si>
  <si>
    <t>严贵宁</t>
  </si>
  <si>
    <t>320112197002060013</t>
  </si>
  <si>
    <t>1970-02</t>
  </si>
  <si>
    <t>江苏省徐州市</t>
  </si>
  <si>
    <t>13915954273</t>
  </si>
  <si>
    <t>驾驶员</t>
  </si>
  <si>
    <t>江苏省 南京市 六合区 大厂街道新华五村</t>
  </si>
  <si>
    <t>8E6CC736-8462-E4EA-7CF7-7B1CB069A4FC</t>
  </si>
  <si>
    <t>1990017</t>
  </si>
  <si>
    <t>36233019701216461X</t>
  </si>
  <si>
    <t>1970-12</t>
  </si>
  <si>
    <t>13062588684</t>
  </si>
  <si>
    <t>南京建筑工程学院</t>
  </si>
  <si>
    <t>1992-07-01</t>
  </si>
  <si>
    <t>2026-03-20 17:30:53</t>
  </si>
  <si>
    <t>834C4992-ACDB-3C57-E6F0-EBB91F06396E</t>
  </si>
  <si>
    <t>1992003</t>
  </si>
  <si>
    <t>320112197210230435</t>
  </si>
  <si>
    <t>1972-10</t>
  </si>
  <si>
    <t>13951908508</t>
  </si>
  <si>
    <t>华中科技大学</t>
  </si>
  <si>
    <t>2022-05-18</t>
  </si>
  <si>
    <t>1DE12F17-BBEC-4117-A4BC-019DC05C3AEB</t>
  </si>
  <si>
    <t>1991008</t>
  </si>
  <si>
    <t>320112197205210413</t>
  </si>
  <si>
    <t>1972-05</t>
  </si>
  <si>
    <t>13401991310</t>
  </si>
  <si>
    <t>2020-01-14</t>
  </si>
  <si>
    <t>2026-03-20 17:31:05</t>
  </si>
  <si>
    <t>江苏省 南京市 六合区 芳庭潘园</t>
  </si>
  <si>
    <t>669207DF-780A-5276-D3BA-EC9B46D90856</t>
  </si>
  <si>
    <t>1991005</t>
  </si>
  <si>
    <t>320112197108221620</t>
  </si>
  <si>
    <t>1971-08</t>
  </si>
  <si>
    <t>1992-12-01</t>
  </si>
  <si>
    <t>15161490239</t>
  </si>
  <si>
    <t>2026-03-20 17:31:14</t>
  </si>
  <si>
    <t>E6D577B7-BA23-ADF9-0A33-83C70C504EA1</t>
  </si>
  <si>
    <t>1992007</t>
  </si>
  <si>
    <t>511027197006273038</t>
  </si>
  <si>
    <t>1970-06</t>
  </si>
  <si>
    <t>15105151142</t>
  </si>
  <si>
    <t>郑州航空工业管理学院</t>
  </si>
  <si>
    <t>2026-03-20 17:31:18</t>
  </si>
  <si>
    <t>江苏省 南京市 六合区 草芳新苑55栋</t>
  </si>
  <si>
    <t>F5757B02-AA63-6A61-6A8E-BA48D8409EBF</t>
  </si>
  <si>
    <t>1991004</t>
  </si>
  <si>
    <t>210211196812205850</t>
  </si>
  <si>
    <t>1990-08-01</t>
  </si>
  <si>
    <t>江苏省扬州市仪征市</t>
  </si>
  <si>
    <t>13905163029</t>
  </si>
  <si>
    <t>大连理工大学</t>
  </si>
  <si>
    <t>2026-03-20 17:31:27</t>
  </si>
  <si>
    <t>9DA4B905-0984-619F-6EF0-65FB925FFAE0</t>
  </si>
  <si>
    <t>1990019</t>
  </si>
  <si>
    <t>320923197410262426</t>
  </si>
  <si>
    <t>1974-10</t>
  </si>
  <si>
    <t>1995-08-01</t>
  </si>
  <si>
    <t>江苏省盐城市阜宁县</t>
  </si>
  <si>
    <t>13770828162</t>
  </si>
  <si>
    <t>南京化工大学</t>
  </si>
  <si>
    <t>1995-07-01</t>
  </si>
  <si>
    <t>2025-12-26 16:53:20</t>
  </si>
  <si>
    <t>2026-03-20 17:31:36</t>
  </si>
  <si>
    <t>江苏省 南京市 六合区 大厂街道福基旭东新城18幢</t>
  </si>
  <si>
    <t>978EF8FD-5467-B2C2-F294-E4C56D620B0C</t>
  </si>
  <si>
    <t>1995007</t>
  </si>
  <si>
    <t>邱关波</t>
  </si>
  <si>
    <t>320112197309081652</t>
  </si>
  <si>
    <t>1973-09</t>
  </si>
  <si>
    <t>1993-09-01</t>
  </si>
  <si>
    <t>15380754020</t>
  </si>
  <si>
    <t>CA6E1EB1-CDBF-AA83-4EE4-6CE164620C10</t>
  </si>
  <si>
    <t>1993010</t>
  </si>
  <si>
    <t>320705197403302019</t>
  </si>
  <si>
    <t>1974-03</t>
  </si>
  <si>
    <t>北京市</t>
  </si>
  <si>
    <t>18626455696</t>
  </si>
  <si>
    <t>电气</t>
  </si>
  <si>
    <t>连云港化工高等专业学校</t>
  </si>
  <si>
    <t>2026-03-23 14:37:15</t>
  </si>
  <si>
    <t>江苏省 南京市 江宁区 东山街道萃文路99号明月花园25A304</t>
  </si>
  <si>
    <t>郭晓瑙</t>
  </si>
  <si>
    <t>马来西亚分公司（国外）</t>
  </si>
  <si>
    <t>A3D85AC0-A6EF-49D7-BED1-FA3634C42CED</t>
  </si>
  <si>
    <t>1995001</t>
  </si>
  <si>
    <t>320112197306170414</t>
  </si>
  <si>
    <t>中层正职级(一类)</t>
  </si>
  <si>
    <t>1993-08-01</t>
  </si>
  <si>
    <t>15151888150</t>
  </si>
  <si>
    <t>2026-03-20 17:31:54</t>
  </si>
  <si>
    <t>江苏省 南京市 玄武区 罗汉巷小区</t>
  </si>
  <si>
    <t>7A96F400-F9B9-269E-1098-BBF065B00554</t>
  </si>
  <si>
    <t>1993014</t>
  </si>
  <si>
    <t>320112197511110445</t>
  </si>
  <si>
    <t>1975-11</t>
  </si>
  <si>
    <t>1994-08-01</t>
  </si>
  <si>
    <t>江苏省淮安市涟水县</t>
  </si>
  <si>
    <t>18913320625</t>
  </si>
  <si>
    <t>扬州化工学校</t>
  </si>
  <si>
    <t>1994-06-30</t>
  </si>
  <si>
    <t>2026-03-20 17:32:03</t>
  </si>
  <si>
    <t>江苏省 南京市 浦口区 盘金华府21-403</t>
  </si>
  <si>
    <t>9BB2BAFB-24AF-D0A3-4221-A99467C9BD05</t>
  </si>
  <si>
    <t>1994003</t>
  </si>
  <si>
    <t>321025197308012011</t>
  </si>
  <si>
    <t>1973-08</t>
  </si>
  <si>
    <t>江苏省泰州市泰兴市</t>
  </si>
  <si>
    <t>15850710523</t>
  </si>
  <si>
    <t>1994-07-01</t>
  </si>
  <si>
    <t>2026-03-23 14:37:16</t>
  </si>
  <si>
    <t>江苏省 南京市 浦口区</t>
  </si>
  <si>
    <t>AD351C7F-2839-E655-4196-71D266477BD2</t>
  </si>
  <si>
    <t>1994008</t>
  </si>
  <si>
    <t>32011119750103442X</t>
  </si>
  <si>
    <t>1975-01</t>
  </si>
  <si>
    <t>江苏省南京市浦口区</t>
  </si>
  <si>
    <t>15951790494</t>
  </si>
  <si>
    <t>苏州大学</t>
  </si>
  <si>
    <t>2004-12-30</t>
  </si>
  <si>
    <t>2026-03-23 14:37:18</t>
  </si>
  <si>
    <t>江苏省 南京市 浦口区 沿江街道新城·香溢紫郡花园北区</t>
  </si>
  <si>
    <t>0F274E61-37D9-6ACE-47E1-86100EA6D436</t>
  </si>
  <si>
    <t>1994004</t>
  </si>
  <si>
    <t>320123197509300011</t>
  </si>
  <si>
    <t>主要工种中级工</t>
  </si>
  <si>
    <t>1975-09</t>
  </si>
  <si>
    <t>1993-12-01</t>
  </si>
  <si>
    <t>15895817998</t>
  </si>
  <si>
    <t>六合二中</t>
  </si>
  <si>
    <t>2026-03-23 14:37:19</t>
  </si>
  <si>
    <t>E191D2E8-4DBE-95AA-E06F-F2DE4D22B36D</t>
  </si>
  <si>
    <t>1993012</t>
  </si>
  <si>
    <t>320112197610100429</t>
  </si>
  <si>
    <t>1976-10</t>
  </si>
  <si>
    <t>13951846361</t>
  </si>
  <si>
    <t>2026-03-23 14:37:20</t>
  </si>
  <si>
    <t>江苏省 南京市 六合区 大厂街道扬子十七村十六栋201</t>
  </si>
  <si>
    <t>党群工作部</t>
  </si>
  <si>
    <t>44413331-77D5-C99B-2391-25C5226F3016</t>
  </si>
  <si>
    <t>1994007</t>
  </si>
  <si>
    <t>鲁仲寅</t>
  </si>
  <si>
    <t>320112197407281658</t>
  </si>
  <si>
    <t>1974-07</t>
  </si>
  <si>
    <t>15996455329</t>
  </si>
  <si>
    <t>南化技校</t>
  </si>
  <si>
    <t>2026-03-20 17:32:29</t>
  </si>
  <si>
    <t>242212E1-AC9F-AB83-B3C7-D8B1B3832FE7</t>
  </si>
  <si>
    <t>1993008</t>
  </si>
  <si>
    <t>320112197512040418</t>
  </si>
  <si>
    <t>业务主办A</t>
  </si>
  <si>
    <t>1975-12</t>
  </si>
  <si>
    <t>13913934292</t>
  </si>
  <si>
    <t>2025-12-26 16:53:19</t>
  </si>
  <si>
    <t>2026-03-20 17:32:34</t>
  </si>
  <si>
    <t>江苏省 南京市 六合区 沿江工业开发区杨庄北村10幢404室</t>
  </si>
  <si>
    <t>0A40F7D7-4B33-8619-896E-46283AFF26DF</t>
  </si>
  <si>
    <t>1995016</t>
  </si>
  <si>
    <t>汤媛</t>
  </si>
  <si>
    <t>34040319751102126X</t>
  </si>
  <si>
    <t>13605165381</t>
  </si>
  <si>
    <t>淮南化校</t>
  </si>
  <si>
    <t>2026-03-20 17:32:36</t>
  </si>
  <si>
    <t>江苏省 南京市 浦口区 泰西路28号泰来苑93-101</t>
  </si>
  <si>
    <t>9C9C19FA-B082-6B01-70FD-D8266369A895</t>
  </si>
  <si>
    <t>1995014</t>
  </si>
  <si>
    <t>412729197501174537</t>
  </si>
  <si>
    <t>1997-08-14</t>
  </si>
  <si>
    <t>河南省周口市项城市</t>
  </si>
  <si>
    <t>13601432873</t>
  </si>
  <si>
    <t>北京石油化工学院</t>
  </si>
  <si>
    <t>江苏省 南京市 浦口区 盘城街道新华西路274号盘金华府</t>
  </si>
  <si>
    <t>第十六分公司</t>
  </si>
  <si>
    <t>31518281-66FF-1F79-B854-34C05D36DFB7</t>
  </si>
  <si>
    <t>1997006</t>
  </si>
  <si>
    <t>420114197908145423</t>
  </si>
  <si>
    <t>辅助工种中级工</t>
  </si>
  <si>
    <t>1979-08</t>
  </si>
  <si>
    <t>1998-03-01</t>
  </si>
  <si>
    <t>湖北省武汉市蔡甸区</t>
  </si>
  <si>
    <t>13851811235</t>
  </si>
  <si>
    <t>2026-03-20 17:32:40</t>
  </si>
  <si>
    <t>31DCC800-FDB7-45A7-DD8F-609B218E5998</t>
  </si>
  <si>
    <t>1998004</t>
  </si>
  <si>
    <t>孙珍</t>
  </si>
  <si>
    <t>320923197411302725</t>
  </si>
  <si>
    <t>1974-11</t>
  </si>
  <si>
    <t>1996-08-12</t>
  </si>
  <si>
    <t>13770541789</t>
  </si>
  <si>
    <t>南京空军气象学院</t>
  </si>
  <si>
    <t>1996-07-01</t>
  </si>
  <si>
    <t>2026-03-20 17:32:45</t>
  </si>
  <si>
    <t>江苏省 南京市 浦口区 服装城盛泉新城10#203</t>
  </si>
  <si>
    <t>354B82F1-3837-55A8-CDA7-1F5219D0FFFE</t>
  </si>
  <si>
    <t>1996002</t>
  </si>
  <si>
    <t>341024197309106519</t>
  </si>
  <si>
    <t>安徽省黄山市祁门县</t>
  </si>
  <si>
    <t>17788380573</t>
  </si>
  <si>
    <t>2001-06-30</t>
  </si>
  <si>
    <t>2026-03-23 14:37:23</t>
  </si>
  <si>
    <t>江苏省 南京市 六合区 新华6村44栋404室</t>
  </si>
  <si>
    <t>3528E960-95DF-A006-8FCF-90F8422051A2</t>
  </si>
  <si>
    <t>1997005</t>
  </si>
  <si>
    <t>许霄巍</t>
  </si>
  <si>
    <t>320112197308291623</t>
  </si>
  <si>
    <t>1995-12-28</t>
  </si>
  <si>
    <t>2026-03-20 17:32:56</t>
  </si>
  <si>
    <t>8AD38EBB-9C8B-6CFE-7435-8AC2CB547C44</t>
  </si>
  <si>
    <t>1995023</t>
  </si>
  <si>
    <t>320122198001171210</t>
  </si>
  <si>
    <t>1980-01</t>
  </si>
  <si>
    <t>1999-08-01</t>
  </si>
  <si>
    <t>2008-04-01</t>
  </si>
  <si>
    <t>159964070305</t>
  </si>
  <si>
    <t>安徽工贸学院</t>
  </si>
  <si>
    <t>1999-07-01</t>
  </si>
  <si>
    <t>2026-03-20 17:33:02</t>
  </si>
  <si>
    <t>江苏省 南京市 浦口区 永宁街道</t>
  </si>
  <si>
    <t>F3F91DA1-044D-EF3D-7B64-9EC952506A0F</t>
  </si>
  <si>
    <t>1999001</t>
  </si>
  <si>
    <t>370122197601154873</t>
  </si>
  <si>
    <t>1976-01</t>
  </si>
  <si>
    <t>1998-08-13</t>
  </si>
  <si>
    <t>13585156219</t>
  </si>
  <si>
    <t>连云港化工高等专科学校</t>
  </si>
  <si>
    <t>1998-07-01</t>
  </si>
  <si>
    <t>2026-03-23 14:37:24</t>
  </si>
  <si>
    <t>江苏省 南京市 六合区 葛塘街道紫艺路棠悦花园</t>
  </si>
  <si>
    <t>CA57C632-0D26-40DB-C3B8-7AE72F1A7AFC</t>
  </si>
  <si>
    <t>1998002</t>
  </si>
  <si>
    <t>许雪丽</t>
  </si>
  <si>
    <t>320112197607150046</t>
  </si>
  <si>
    <t>1976-07</t>
  </si>
  <si>
    <t>15105155710</t>
  </si>
  <si>
    <t>2026-03-20 17:33:09</t>
  </si>
  <si>
    <t>71CD0A8B-A909-1AC4-46B9-00DB538F01AE</t>
  </si>
  <si>
    <t>1995024</t>
  </si>
  <si>
    <t>410611197512290065</t>
  </si>
  <si>
    <t>1997-09-30</t>
  </si>
  <si>
    <t>河南省鹤壁市</t>
  </si>
  <si>
    <t>13174093739</t>
  </si>
  <si>
    <t>徐州煤炭建筑工程学校</t>
  </si>
  <si>
    <t>2026-03-23 14:37:25</t>
  </si>
  <si>
    <t>江苏省 南京市 六合区 草芳新苑26-506</t>
  </si>
  <si>
    <t>703A22E8-8E90-AB7A-31A4-5BA58C8E523A</t>
  </si>
  <si>
    <t>1997003</t>
  </si>
  <si>
    <t>610404197502101024</t>
  </si>
  <si>
    <t>1975-02</t>
  </si>
  <si>
    <t>1995-08-31</t>
  </si>
  <si>
    <t>湖北</t>
  </si>
  <si>
    <t>13645157728</t>
  </si>
  <si>
    <t>2000-12-01</t>
  </si>
  <si>
    <t>2026-05-07 10:32:21</t>
  </si>
  <si>
    <t>江苏省 南京市 六合区 杨新路化建新一村49幢</t>
  </si>
  <si>
    <t>531688A3-E32C-40A2-8F1D-07B87BB02BDB</t>
  </si>
  <si>
    <t>1995026</t>
  </si>
  <si>
    <t>王群</t>
  </si>
  <si>
    <t>320112197408020425</t>
  </si>
  <si>
    <t>1974-08</t>
  </si>
  <si>
    <t>江苏南京</t>
  </si>
  <si>
    <t>13401997386</t>
  </si>
  <si>
    <t>南京金陵职业大学</t>
  </si>
  <si>
    <t>4AF6AB25-2193-4F01-8D2A-6DD1B41F8C17</t>
  </si>
  <si>
    <t>1995018</t>
  </si>
  <si>
    <t>32091119760925062X</t>
  </si>
  <si>
    <t>1976-09</t>
  </si>
  <si>
    <t>1999-08-12</t>
  </si>
  <si>
    <t>江苏省盐城市盐都区</t>
  </si>
  <si>
    <t>13851661792</t>
  </si>
  <si>
    <t>沈阳化工学院</t>
  </si>
  <si>
    <t>2026-03-20 17:33:21</t>
  </si>
  <si>
    <t>江苏省 南京市 建邺区 双闸街道金地中心风华</t>
  </si>
  <si>
    <t>5E05FEAC-8FC5-EAB6-C5C1-FF80FF672E8C</t>
  </si>
  <si>
    <t>1999002</t>
  </si>
  <si>
    <t>沈浩</t>
  </si>
  <si>
    <t>320112197708131629</t>
  </si>
  <si>
    <t>1977-08</t>
  </si>
  <si>
    <t>江苏省南京市秦淮区</t>
  </si>
  <si>
    <t>13115007516</t>
  </si>
  <si>
    <t>1995-06-30</t>
  </si>
  <si>
    <t>2026-03-20 17:33:23</t>
  </si>
  <si>
    <t>F02ABA3B-696C-07A4-3D79-82188739D448</t>
  </si>
  <si>
    <t>1995013</t>
  </si>
  <si>
    <t>320112197503220417</t>
  </si>
  <si>
    <t>副高级业务主管</t>
  </si>
  <si>
    <t>1975-03</t>
  </si>
  <si>
    <t>17805165367</t>
  </si>
  <si>
    <t>翻译</t>
  </si>
  <si>
    <t>2026-03-20 17:33:26</t>
  </si>
  <si>
    <t>江苏省 南京市 六合区 大厂街道滕泰雅苑4-1004</t>
  </si>
  <si>
    <t>C59A42FD-2D13-A298-79B6-3CEFAA2EC487</t>
  </si>
  <si>
    <t>1995022</t>
  </si>
  <si>
    <t>辞职</t>
  </si>
  <si>
    <t>320112197611120026</t>
  </si>
  <si>
    <t>1976-11</t>
  </si>
  <si>
    <t>13851880770</t>
  </si>
  <si>
    <t>南京中华会计函授学校</t>
  </si>
  <si>
    <t>2026-03-20 17:33:33</t>
  </si>
  <si>
    <t>江苏省 南京市 六合区 桂馨园16-403</t>
  </si>
  <si>
    <t>3DC5AE36-B032-9169-6197-60E3CE63DB31</t>
  </si>
  <si>
    <t>1995025</t>
  </si>
  <si>
    <t>张和玉</t>
  </si>
  <si>
    <t>341181198308014425</t>
  </si>
  <si>
    <t>1983-08</t>
  </si>
  <si>
    <t>2003-08-08</t>
  </si>
  <si>
    <t>安徽省滁州市天长市</t>
  </si>
  <si>
    <t>13951908817</t>
  </si>
  <si>
    <t>2003-07-01</t>
  </si>
  <si>
    <t>2025-12-26 16:53:18</t>
  </si>
  <si>
    <t>2026-03-20 17:33:51</t>
  </si>
  <si>
    <t>江苏省 南京市 六合区 大厂阿尔卡迪亚</t>
  </si>
  <si>
    <t>2CF5839F-14B0-27D6-A7A5-31DB7C390435</t>
  </si>
  <si>
    <t>2003019</t>
  </si>
  <si>
    <t>320705197706060010</t>
  </si>
  <si>
    <t>1977-06</t>
  </si>
  <si>
    <t>2001-08-02</t>
  </si>
  <si>
    <t>湖北省天门市</t>
  </si>
  <si>
    <t>13813863194</t>
  </si>
  <si>
    <t>2001-07-01</t>
  </si>
  <si>
    <t>2026-03-20 17:34:03</t>
  </si>
  <si>
    <t>33991982-900E-C108-4911-406977389BC8</t>
  </si>
  <si>
    <t>2001003</t>
  </si>
  <si>
    <t>320321198004047260</t>
  </si>
  <si>
    <t>1980-04</t>
  </si>
  <si>
    <t>2004-08-03</t>
  </si>
  <si>
    <t>江苏省徐州市丰县</t>
  </si>
  <si>
    <t>13770723960</t>
  </si>
  <si>
    <t>南京林业大学</t>
  </si>
  <si>
    <t>2004-07-01</t>
  </si>
  <si>
    <t>2026-03-20 17:34:08</t>
  </si>
  <si>
    <t>F8903CC5-3F08-5628-0687-CFB605FF86B7</t>
  </si>
  <si>
    <t>2004002</t>
  </si>
  <si>
    <t>340403198406121626</t>
  </si>
  <si>
    <t>1984-06</t>
  </si>
  <si>
    <t>2003-08-01</t>
  </si>
  <si>
    <t>安徽省六安市霍邱县</t>
  </si>
  <si>
    <t>18761615971</t>
  </si>
  <si>
    <t>安徽淮南化校</t>
  </si>
  <si>
    <t>2003-09-01</t>
  </si>
  <si>
    <t>2026-03-20 17:34:14</t>
  </si>
  <si>
    <t>江苏省 南京市 六合区 大厂扬子二村</t>
  </si>
  <si>
    <t>7A3D7AA3-65AB-9337-679A-C8AC5E6837E5</t>
  </si>
  <si>
    <t>2003010</t>
  </si>
  <si>
    <t>320112197903190456</t>
  </si>
  <si>
    <t>1979-03</t>
  </si>
  <si>
    <t>2004-08-01</t>
  </si>
  <si>
    <t>18914739488</t>
  </si>
  <si>
    <t>华中理工大学</t>
  </si>
  <si>
    <t>2026-03-23 14:37:33</t>
  </si>
  <si>
    <t>江苏省 南京市 鼓楼区 场门口小区</t>
  </si>
  <si>
    <t>B3280803-7494-91CC-8DBA-EA08E66D1138</t>
  </si>
  <si>
    <t>2004003</t>
  </si>
  <si>
    <t>340403198409062211</t>
  </si>
  <si>
    <t>1984-09</t>
  </si>
  <si>
    <t>安徽省淮南市</t>
  </si>
  <si>
    <t>13956444276</t>
  </si>
  <si>
    <t>2026-03-23 14:37:35</t>
  </si>
  <si>
    <t>安徽省 淮南市 田家庵区 向阳路31—190</t>
  </si>
  <si>
    <t>0E001364-B0D2-6B91-0EF3-FC02D8F84FE4</t>
  </si>
  <si>
    <t>2003018</t>
  </si>
  <si>
    <t>340403198406241222</t>
  </si>
  <si>
    <t>2003-08-07</t>
  </si>
  <si>
    <t>13813035048</t>
  </si>
  <si>
    <t>2026-03-20 17:34:39</t>
  </si>
  <si>
    <t>江苏省 南京市 浦口区 正荣润江城</t>
  </si>
  <si>
    <t>52E29344-F605-3CA9-8A4D-8BC659203234</t>
  </si>
  <si>
    <t>2003008</t>
  </si>
  <si>
    <t>131102198201061016</t>
  </si>
  <si>
    <t>1982-01</t>
  </si>
  <si>
    <t>2005-08-30</t>
  </si>
  <si>
    <t>13337727476</t>
  </si>
  <si>
    <t>2020-02-20</t>
  </si>
  <si>
    <t>2025-12-26 16:53:17</t>
  </si>
  <si>
    <t>BF48FF0E-A0A3-DE35-24F7-A9445D63611B</t>
  </si>
  <si>
    <t>2005021</t>
  </si>
  <si>
    <t>342222198207022836</t>
  </si>
  <si>
    <t>1982-07</t>
  </si>
  <si>
    <t>2005-08-15</t>
  </si>
  <si>
    <t>安徽省宿州市萧县</t>
  </si>
  <si>
    <t>13813033003</t>
  </si>
  <si>
    <t>安徽理工大学</t>
  </si>
  <si>
    <t>2026-03-20 17:34:52</t>
  </si>
  <si>
    <t>江苏省 南京市 六合区 阿尔卡迪亚A栋211</t>
  </si>
  <si>
    <t>922D5602-A913-EFD3-ED2D-795041A01420</t>
  </si>
  <si>
    <t>2005010</t>
  </si>
  <si>
    <t>341225198204080094</t>
  </si>
  <si>
    <t>1982-04</t>
  </si>
  <si>
    <t>2004-08-04</t>
  </si>
  <si>
    <t>安徽省阜阳市阜南县</t>
  </si>
  <si>
    <t>18921447275</t>
  </si>
  <si>
    <t>自动化</t>
  </si>
  <si>
    <t>2026-03-20 17:35:13</t>
  </si>
  <si>
    <t>江苏省 南京市 六合区 大厂街道阿尔卡迪亚天权苑</t>
  </si>
  <si>
    <t>BC5ED495-49D8-054C-22F9-1E739109D03E</t>
  </si>
  <si>
    <t>2004014</t>
  </si>
  <si>
    <t>340826198112124430</t>
  </si>
  <si>
    <t>1981-12</t>
  </si>
  <si>
    <t>2005-08-05</t>
  </si>
  <si>
    <t>13913929347</t>
  </si>
  <si>
    <t>D51AC04F-262D-474A-9598-0136F9B70A81</t>
  </si>
  <si>
    <t>2005017</t>
  </si>
  <si>
    <t>342129198311270820</t>
  </si>
  <si>
    <t>1983-11</t>
  </si>
  <si>
    <t>2005-08-02</t>
  </si>
  <si>
    <t>安徽省阜阳市界首市</t>
  </si>
  <si>
    <t>15851827168</t>
  </si>
  <si>
    <t>2005-06-30</t>
  </si>
  <si>
    <t>2026-03-20 17:35:22</t>
  </si>
  <si>
    <t>江苏省 南京市 浦口区 旭日上城一区</t>
  </si>
  <si>
    <t>2EDB2828-3E14-2FA4-618C-3F439BA0B027</t>
  </si>
  <si>
    <t>2005001</t>
  </si>
  <si>
    <t>34212919820817761X</t>
  </si>
  <si>
    <t>1982-08</t>
  </si>
  <si>
    <t>2005-08-20</t>
  </si>
  <si>
    <t>13813351476</t>
  </si>
  <si>
    <t>2026-03-20 17:35:24</t>
  </si>
  <si>
    <t>江苏省 南京市 江宁区 秣陵街道兰台街99号</t>
  </si>
  <si>
    <t>D6B91CF8-7DA3-9602-236C-E9ADC01440E1</t>
  </si>
  <si>
    <t>2005009</t>
  </si>
  <si>
    <t>321183198212251337</t>
  </si>
  <si>
    <t>1982-12</t>
  </si>
  <si>
    <t>2005-08-09</t>
  </si>
  <si>
    <t>18502535239</t>
  </si>
  <si>
    <t>淮阴工学院</t>
  </si>
  <si>
    <t>2026-03-20 17:35:27</t>
  </si>
  <si>
    <t>江苏省 南京市 浦口区 泰山新村街道明发滨江新城</t>
  </si>
  <si>
    <t>C639F454-2AA0-53F8-F04A-92E5FE81C9D7</t>
  </si>
  <si>
    <t>2005024</t>
  </si>
  <si>
    <t>李兰兰</t>
  </si>
  <si>
    <t>340323198206144727</t>
  </si>
  <si>
    <t>1982-06</t>
  </si>
  <si>
    <t>2005-08-01</t>
  </si>
  <si>
    <t>安徽省蚌埠市固镇县</t>
  </si>
  <si>
    <t>13813929701</t>
  </si>
  <si>
    <t>2026-03-20 17:35:28</t>
  </si>
  <si>
    <t>江苏省 南京市 六合区 大厂</t>
  </si>
  <si>
    <t>F6208A9A-EDE2-293D-A7A8-0588BE904365</t>
  </si>
  <si>
    <t>2005018</t>
  </si>
  <si>
    <t>高塽</t>
  </si>
  <si>
    <t>320682198411252201</t>
  </si>
  <si>
    <t>1984-11</t>
  </si>
  <si>
    <t>江苏省南通市如皋市</t>
  </si>
  <si>
    <t>13813399562</t>
  </si>
  <si>
    <t>南京化工职业技术学院</t>
  </si>
  <si>
    <t>2026-03-20 17:35:31</t>
  </si>
  <si>
    <t>江苏省 南京市 浦口区 天润城七街区31-205</t>
  </si>
  <si>
    <t>71ACECD8-F415-E02E-2AEA-AA39C64C2B7C</t>
  </si>
  <si>
    <t>2005013</t>
  </si>
  <si>
    <t>342622198110026840</t>
  </si>
  <si>
    <t>1981-10</t>
  </si>
  <si>
    <t>2004-08-02</t>
  </si>
  <si>
    <t>安徽省巢湖市庐江县</t>
  </si>
  <si>
    <t>15951621936</t>
  </si>
  <si>
    <t>徐州工业学校</t>
  </si>
  <si>
    <t>2000-07-01</t>
  </si>
  <si>
    <t>江苏省 南京市 六合区 腾泰雅苑</t>
  </si>
  <si>
    <t>607B30E2-E7A7-4134-7C13-941AE14E4C42</t>
  </si>
  <si>
    <t>2004011</t>
  </si>
  <si>
    <t>341225198103031920</t>
  </si>
  <si>
    <t>1981-03</t>
  </si>
  <si>
    <t>18921448648</t>
  </si>
  <si>
    <t>安徽省铜陵职业技术学院</t>
  </si>
  <si>
    <t>2026-03-23 14:37:40</t>
  </si>
  <si>
    <t>江苏省 南京市 六合区 阿尔卡迪亚天权苑</t>
  </si>
  <si>
    <t>CD91008D-0324-319F-CD2F-11D8F343DDB2</t>
  </si>
  <si>
    <t>2005029</t>
  </si>
  <si>
    <t>夏凤琴</t>
  </si>
  <si>
    <t>341221198101304125</t>
  </si>
  <si>
    <t>1981-01</t>
  </si>
  <si>
    <t>2004-08-05</t>
  </si>
  <si>
    <t>安徽省阜阳市临泉县</t>
  </si>
  <si>
    <t>13585196845</t>
  </si>
  <si>
    <t>2026-03-20 17:35:48</t>
  </si>
  <si>
    <t>江苏省 南京市 浦口区 盘锦花园</t>
  </si>
  <si>
    <t>DC45C453-4A43-70CD-9A84-9BC0970299B5</t>
  </si>
  <si>
    <t>2004010</t>
  </si>
  <si>
    <t>320112198310290018</t>
  </si>
  <si>
    <t>1983-10</t>
  </si>
  <si>
    <t>2005-08-27</t>
  </si>
  <si>
    <t>13951873923</t>
  </si>
  <si>
    <t>金肯学院</t>
  </si>
  <si>
    <t>2026-03-20 17:35:49</t>
  </si>
  <si>
    <t>江苏省 南京市 六合区 阿尔卡迪亚D13-103</t>
  </si>
  <si>
    <t>E0942DFC-E811-69F4-7EB0-ACC683EEF3CC</t>
  </si>
  <si>
    <t>2005019</t>
  </si>
  <si>
    <t>340825198412221922</t>
  </si>
  <si>
    <t>1984-12</t>
  </si>
  <si>
    <t>2007-08-01</t>
  </si>
  <si>
    <t>安徽省安庆市太湖县</t>
  </si>
  <si>
    <t>13770815881</t>
  </si>
  <si>
    <t>2007-07-01</t>
  </si>
  <si>
    <t>2025-12-26 16:53:16</t>
  </si>
  <si>
    <t>2026-03-20 17:35:56</t>
  </si>
  <si>
    <t>77C288A0-95B2-2412-94EB-48E65FCC05B6</t>
  </si>
  <si>
    <t>2007008</t>
  </si>
  <si>
    <t>320112198607210437</t>
  </si>
  <si>
    <t>1986-07</t>
  </si>
  <si>
    <t>山东省潍坊市临朐县</t>
  </si>
  <si>
    <t>17749513238</t>
  </si>
  <si>
    <t>钟山职业技术学院</t>
  </si>
  <si>
    <t>团员</t>
  </si>
  <si>
    <t>江苏省 南京市 六合区 大厂街道化建新村17-102</t>
  </si>
  <si>
    <t>B5A7C124-0771-4DB1-CA1A-088BE5548471</t>
  </si>
  <si>
    <t>2007002</t>
  </si>
  <si>
    <t>320924198511256114</t>
  </si>
  <si>
    <t>1985-11</t>
  </si>
  <si>
    <t>江苏省盐城市射阳县</t>
  </si>
  <si>
    <t>13770812382</t>
  </si>
  <si>
    <t>预备党员</t>
  </si>
  <si>
    <t>2026-03-20 17:36:00</t>
  </si>
  <si>
    <t>江苏省 南京市 六合区 大厂兰亭苑</t>
  </si>
  <si>
    <t>6E9274AC-4853-E5C3-1FAF-B668D967C670</t>
  </si>
  <si>
    <t>2007003</t>
  </si>
  <si>
    <t>362323198608097535</t>
  </si>
  <si>
    <t>1986-08</t>
  </si>
  <si>
    <t>2008-08-05</t>
  </si>
  <si>
    <t>江西省上饶市玉山县</t>
  </si>
  <si>
    <t>13813016503</t>
  </si>
  <si>
    <t>过控</t>
  </si>
  <si>
    <t>江苏工业学院</t>
  </si>
  <si>
    <t>2008-07-01</t>
  </si>
  <si>
    <t>2026-03-23 14:37:41</t>
  </si>
  <si>
    <t>江苏省 南京市 浦口区 江苏省南京市浦口区天华北路2号</t>
  </si>
  <si>
    <t>2742202E-7291-E928-3EB4-697D92F686B9</t>
  </si>
  <si>
    <t>2008002</t>
  </si>
  <si>
    <t>320112198401060824</t>
  </si>
  <si>
    <t>1984-01</t>
  </si>
  <si>
    <t>2009-12-01</t>
  </si>
  <si>
    <t>15895811599</t>
  </si>
  <si>
    <t>江苏大学</t>
  </si>
  <si>
    <t>2026-03-20 17:36:07</t>
  </si>
  <si>
    <t>江苏省 南京市 六合区 大厂街道福基旭东新城</t>
  </si>
  <si>
    <t>9BFAA301-7B57-F63A-CADA-0969F8EDC66C</t>
  </si>
  <si>
    <t>2009001</t>
  </si>
  <si>
    <t>320112198309230421</t>
  </si>
  <si>
    <t>1983-09</t>
  </si>
  <si>
    <t>2008-06-01</t>
  </si>
  <si>
    <t>安徽省宿州市灵璧县</t>
  </si>
  <si>
    <t>13813009950</t>
  </si>
  <si>
    <t>南京信息工程大学</t>
  </si>
  <si>
    <t>2026-03-23 14:37:44</t>
  </si>
  <si>
    <t>江苏省 南京市 六合区 化建新一村51-406</t>
  </si>
  <si>
    <t>55E2BAC7-C322-57FE-78D3-B4DFD30FFC34</t>
  </si>
  <si>
    <t>2008007</t>
  </si>
  <si>
    <t>131024198401137225</t>
  </si>
  <si>
    <t>河北省廊坊市香河县</t>
  </si>
  <si>
    <t>15951784026</t>
  </si>
  <si>
    <t>2007-06-30</t>
  </si>
  <si>
    <t>2026-03-20 17:36:16</t>
  </si>
  <si>
    <t>D327A9EE-525B-73DA-7A54-A7F7D7C9DC93</t>
  </si>
  <si>
    <t>2007009</t>
  </si>
  <si>
    <t>32058619880622212x</t>
  </si>
  <si>
    <t>1988-06</t>
  </si>
  <si>
    <t>2010-08-19</t>
  </si>
  <si>
    <t>15050573061</t>
  </si>
  <si>
    <t>苏州卫生职业技术学院</t>
  </si>
  <si>
    <t>2010-07-01</t>
  </si>
  <si>
    <t>2025-12-26 16:53:15</t>
  </si>
  <si>
    <t>2026-03-20 17:36:43</t>
  </si>
  <si>
    <t>江苏省 南京市 六合区 兰亭苑</t>
  </si>
  <si>
    <t>C0BC63A3-9710-6449-36ED-836D55F23E24</t>
  </si>
  <si>
    <t>2010042</t>
  </si>
  <si>
    <t>320102198604260022</t>
  </si>
  <si>
    <t>1986-04</t>
  </si>
  <si>
    <t>2009-08-17</t>
  </si>
  <si>
    <t>江苏省常州市</t>
  </si>
  <si>
    <t>17788380697</t>
  </si>
  <si>
    <t>江苏省广播电视大学</t>
  </si>
  <si>
    <t>2026-03-20 17:36:49</t>
  </si>
  <si>
    <t>江苏省 南京市 浦口区 雅居乐滨江国际三期10幢2606室</t>
  </si>
  <si>
    <t>188BA660-C400-65C5-CE92-CABB772E018A</t>
  </si>
  <si>
    <t>2009024</t>
  </si>
  <si>
    <t>340826198504185822</t>
  </si>
  <si>
    <t>1985-04</t>
  </si>
  <si>
    <t>2009-08-25</t>
  </si>
  <si>
    <t>安徽省安庆市宿松县</t>
  </si>
  <si>
    <t>15951620529</t>
  </si>
  <si>
    <t>安徽建筑工业学院</t>
  </si>
  <si>
    <t>江苏省 南京市 浦口区 旭日爱上城一区3-1605</t>
  </si>
  <si>
    <t>1C3CB41B-CD5E-23F0-49A0-6CA3544BD81D</t>
  </si>
  <si>
    <t>2009019</t>
  </si>
  <si>
    <t>352202198807250011</t>
  </si>
  <si>
    <t>1988-07</t>
  </si>
  <si>
    <t>2010-08-13</t>
  </si>
  <si>
    <t>15301585299</t>
  </si>
  <si>
    <t>合肥工业大学</t>
  </si>
  <si>
    <t>2026-03-20 17:36:53</t>
  </si>
  <si>
    <t>4C51310C-7027-E840-6A5A-8E910590EB19</t>
  </si>
  <si>
    <t>2010039</t>
  </si>
  <si>
    <t>320125198909151753</t>
  </si>
  <si>
    <t>1989-09</t>
  </si>
  <si>
    <t>2009-08-18</t>
  </si>
  <si>
    <t>江苏省南京市高淳县</t>
  </si>
  <si>
    <t>13585168162</t>
  </si>
  <si>
    <t>江苏信息职业技术学院</t>
  </si>
  <si>
    <t>2026-05-07 10:32:29</t>
  </si>
  <si>
    <t>江苏省 南京市 高淳区 碧桂园</t>
  </si>
  <si>
    <t>8EA035B4-7295-08CC-AF2E-DC2FA663CD1D</t>
  </si>
  <si>
    <t>2009023</t>
  </si>
  <si>
    <t>320826198611270834</t>
  </si>
  <si>
    <t>1986-11</t>
  </si>
  <si>
    <t>2009-08-11</t>
  </si>
  <si>
    <t>13952062336</t>
  </si>
  <si>
    <t>2009-07-01</t>
  </si>
  <si>
    <t>2026-03-20 17:36:57</t>
  </si>
  <si>
    <t>江苏省 南京市 六合区 杨新路229号</t>
  </si>
  <si>
    <t>B4CE359A-55EA-F54B-FFDC-5C03A1AE2614</t>
  </si>
  <si>
    <t>2009028</t>
  </si>
  <si>
    <t>32128419880520022X</t>
  </si>
  <si>
    <t>1988-05</t>
  </si>
  <si>
    <t>2010-08-02</t>
  </si>
  <si>
    <t>江苏省泰州市姜堰市</t>
  </si>
  <si>
    <t>17372957615</t>
  </si>
  <si>
    <t>淮海工学院</t>
  </si>
  <si>
    <t>2026-03-23 14:37:53</t>
  </si>
  <si>
    <t>9C23AE03-2E5E-4F61-85DD-73A280B990CC</t>
  </si>
  <si>
    <t>2010002</t>
  </si>
  <si>
    <t>360203198401213524</t>
  </si>
  <si>
    <t>2010-08-14</t>
  </si>
  <si>
    <t>15996462921</t>
  </si>
  <si>
    <t>硕士</t>
  </si>
  <si>
    <t>2026-03-20 17:37:04</t>
  </si>
  <si>
    <t>50DC0644-5F77-90DB-3A5D-A9D0E76EB3FB</t>
  </si>
  <si>
    <t>2010021</t>
  </si>
  <si>
    <t>610602198706082219</t>
  </si>
  <si>
    <t>1987-06</t>
  </si>
  <si>
    <t>2010-08-04</t>
  </si>
  <si>
    <t>陕西省延安市宝塔区</t>
  </si>
  <si>
    <t>15951799756</t>
  </si>
  <si>
    <t>2010-06-10</t>
  </si>
  <si>
    <t>2026-03-23 14:37:54</t>
  </si>
  <si>
    <t>江苏省 南京市 六合区 江苏省南京市六合区杨庄北村8-602</t>
  </si>
  <si>
    <t>F4D185D4-BC72-49CD-F7EE-B091C8832ADD</t>
  </si>
  <si>
    <t>2010003</t>
  </si>
  <si>
    <t>341224198505055339</t>
  </si>
  <si>
    <t>1985-05</t>
  </si>
  <si>
    <t>2009-08-01</t>
  </si>
  <si>
    <t>安徽省亳州市蒙城县</t>
  </si>
  <si>
    <t>18652030663</t>
  </si>
  <si>
    <t>2026-03-20 17:37:08</t>
  </si>
  <si>
    <t>江苏省 南京市 六合区 草芳路600号</t>
  </si>
  <si>
    <t>62227C16-7073-E58D-4F85-C84D34F63CCF</t>
  </si>
  <si>
    <t>2009007</t>
  </si>
  <si>
    <t>34081119870822514X</t>
  </si>
  <si>
    <t>1987-08</t>
  </si>
  <si>
    <t>2009-08-04</t>
  </si>
  <si>
    <t>安徽省安庆市怀宁县</t>
  </si>
  <si>
    <t>17351772387</t>
  </si>
  <si>
    <t>2026-03-20 17:37:12</t>
  </si>
  <si>
    <t>江苏省 南京市 浦口区 雅居乐滨江国际</t>
  </si>
  <si>
    <t>711718CB-4857-E634-363E-81F9FDEA3A4D</t>
  </si>
  <si>
    <t>2009016</t>
  </si>
  <si>
    <t>150402198710161110</t>
  </si>
  <si>
    <t>1987-10</t>
  </si>
  <si>
    <t>2010-08-20</t>
  </si>
  <si>
    <t>辽宁省朝阳市凌源市</t>
  </si>
  <si>
    <t>15996320305</t>
  </si>
  <si>
    <t>2026-03-20 17:37:19</t>
  </si>
  <si>
    <t>51D86ADF-FC56-0E5A-0C18-C643861DC501</t>
  </si>
  <si>
    <t>2010009</t>
  </si>
  <si>
    <t>刘晨</t>
  </si>
  <si>
    <t>320112198706111610</t>
  </si>
  <si>
    <t>2009-08-23</t>
  </si>
  <si>
    <t>18751817570</t>
  </si>
  <si>
    <t>2009-06-30</t>
  </si>
  <si>
    <t>2026-03-23 14:37:56</t>
  </si>
  <si>
    <t>江苏省 南京市 六合区 大厂街道铭望府2栋2104</t>
  </si>
  <si>
    <t>1BCF9941-A794-A3C1-5108-2E7D3E01F738</t>
  </si>
  <si>
    <t>2009010</t>
  </si>
  <si>
    <t>320482198709030803</t>
  </si>
  <si>
    <t>1987-09</t>
  </si>
  <si>
    <t>2009-08-24</t>
  </si>
  <si>
    <t>江苏省常州市金坛市</t>
  </si>
  <si>
    <t>13914491813</t>
  </si>
  <si>
    <t>南京航空航天大学</t>
  </si>
  <si>
    <t>江苏省 南京市 六合区 大厂草芳路600号兰亭苑5-2101</t>
  </si>
  <si>
    <t>68540227-B376-614B-8199-A082A783F872</t>
  </si>
  <si>
    <t>2009026</t>
  </si>
  <si>
    <t>320112198402100410</t>
  </si>
  <si>
    <t>1984-02</t>
  </si>
  <si>
    <t>2012-07-01</t>
  </si>
  <si>
    <t>山东省滨州市邹平县</t>
  </si>
  <si>
    <t>15851626810</t>
  </si>
  <si>
    <t>南京财经大学</t>
  </si>
  <si>
    <t>2012-01-10</t>
  </si>
  <si>
    <t>2025-12-26 16:53:14</t>
  </si>
  <si>
    <t>江苏省 南京市 浦口区 弘扬时光里</t>
  </si>
  <si>
    <t>第十四分公司</t>
  </si>
  <si>
    <t>95ED6A20-82FF-20C4-D042-915FAA1D2E74</t>
  </si>
  <si>
    <t>2012023</t>
  </si>
  <si>
    <t>372924198412210031</t>
  </si>
  <si>
    <t>2010-02-01</t>
  </si>
  <si>
    <t>山东省荷泽市成武县</t>
  </si>
  <si>
    <t>18402531854</t>
  </si>
  <si>
    <t>2026-03-20 17:37:39</t>
  </si>
  <si>
    <t>6EF31F92-9B42-CB0B-6B70-01FCDFD7F8ED</t>
  </si>
  <si>
    <t>2010046</t>
  </si>
  <si>
    <t>410726198902126628</t>
  </si>
  <si>
    <t>1989-02</t>
  </si>
  <si>
    <t>2012-07-27</t>
  </si>
  <si>
    <t>河南省新乡市延津县</t>
  </si>
  <si>
    <t>15715172026</t>
  </si>
  <si>
    <t>常州大学</t>
  </si>
  <si>
    <t>2026-03-20 17:37:42</t>
  </si>
  <si>
    <t>江苏省 南京市 六合区 杨新路229</t>
  </si>
  <si>
    <t>AB5A5546-F738-A185-0929-520E18891771</t>
  </si>
  <si>
    <t>2012002</t>
  </si>
  <si>
    <t>320111198911130830</t>
  </si>
  <si>
    <t>1989-11</t>
  </si>
  <si>
    <t>2012-07-24</t>
  </si>
  <si>
    <t>183351822767</t>
  </si>
  <si>
    <t>2026-03-20 17:37:45</t>
  </si>
  <si>
    <t>江苏省 南京市 六合区 凤滨嘉园</t>
  </si>
  <si>
    <t>E3D53ED8-4F7E-AD6E-AF22-BC52876A5F5B</t>
  </si>
  <si>
    <t>2012024</t>
  </si>
  <si>
    <t>刘强</t>
  </si>
  <si>
    <t>320112198112240415</t>
  </si>
  <si>
    <t>13851811211</t>
  </si>
  <si>
    <t>2026-03-23 14:37:59</t>
  </si>
  <si>
    <t>005B2356-B30D-874E-A8C6-CE4DE1843779</t>
  </si>
  <si>
    <t>2012025</t>
  </si>
  <si>
    <t>342401199007161894</t>
  </si>
  <si>
    <t>1990-07</t>
  </si>
  <si>
    <t>2012-07-03</t>
  </si>
  <si>
    <t>安徽省六安市</t>
  </si>
  <si>
    <t>15150521420</t>
  </si>
  <si>
    <t>2012-06-20</t>
  </si>
  <si>
    <t>2026-03-20 17:37:46</t>
  </si>
  <si>
    <t>安徽省 六安市 裕安区 大别山路8号徽商银行家属区</t>
  </si>
  <si>
    <t>A731671B-DD99-2A1B-B691-23E3AFC42817</t>
  </si>
  <si>
    <t>2012018</t>
  </si>
  <si>
    <t>321283198909266825</t>
  </si>
  <si>
    <t>2011-07-01</t>
  </si>
  <si>
    <t>江苏省泰州市兴化市</t>
  </si>
  <si>
    <t>15951609498</t>
  </si>
  <si>
    <t>南京人口管理干部学院</t>
  </si>
  <si>
    <t>2026-03-20 17:38:11</t>
  </si>
  <si>
    <t>江苏省 南京市 六合区 江苏省南京市六合区大厂街道福基旭东新城</t>
  </si>
  <si>
    <t>849F7E88-B2EC-8C37-7ADB-D2ADF6224891</t>
  </si>
  <si>
    <t>2011025</t>
  </si>
  <si>
    <t>341181198901232415</t>
  </si>
  <si>
    <t>1989-01</t>
  </si>
  <si>
    <t>2011-07-19</t>
  </si>
  <si>
    <t>13585151644</t>
  </si>
  <si>
    <t>安徽财经大学</t>
  </si>
  <si>
    <t>2026-03-20 17:38:16</t>
  </si>
  <si>
    <t>江苏省 南京市 江宁区 华汇康城41-202</t>
  </si>
  <si>
    <t>3FF31F4F-1F8A-51E9-F0CB-0FC2139BD2F0</t>
  </si>
  <si>
    <t>2011007</t>
  </si>
  <si>
    <t>陈梅生</t>
  </si>
  <si>
    <t>320125196601174810</t>
  </si>
  <si>
    <t>1966-01</t>
  </si>
  <si>
    <t>2013-02-01</t>
  </si>
  <si>
    <t>15301599533</t>
  </si>
  <si>
    <t>2025-12-26 16:53:13</t>
  </si>
  <si>
    <t>A885E14F-984E-0380-AAE7-9A38C3147505</t>
  </si>
  <si>
    <t>2013006</t>
  </si>
  <si>
    <t>321102198707051021</t>
  </si>
  <si>
    <t>1987-07</t>
  </si>
  <si>
    <t>2012-05-01</t>
  </si>
  <si>
    <t>15062266628</t>
  </si>
  <si>
    <t>2026-03-20 17:38:40</t>
  </si>
  <si>
    <t>590DDFF5-51C5-3E43-2949-C47F33ED53E5</t>
  </si>
  <si>
    <t>2012031</t>
  </si>
  <si>
    <t>321027198912083075</t>
  </si>
  <si>
    <t>1989-12</t>
  </si>
  <si>
    <t>2012-07-18</t>
  </si>
  <si>
    <t>江苏省扬州市邗江区</t>
  </si>
  <si>
    <t>15105151967</t>
  </si>
  <si>
    <t>2012-06-22</t>
  </si>
  <si>
    <t>2026-03-20 17:38:42</t>
  </si>
  <si>
    <t>江苏省 扬州市 邗江区 甘泉街道焦巷村杨庄组6好</t>
  </si>
  <si>
    <t>A19EE526-06CA-65D7-8E40-BB84D1DAFB42</t>
  </si>
  <si>
    <t>2012053</t>
  </si>
  <si>
    <t>320105198610121642</t>
  </si>
  <si>
    <t>1986-10</t>
  </si>
  <si>
    <t>2009-09-01</t>
  </si>
  <si>
    <t>2013-03-01</t>
  </si>
  <si>
    <t>13813383147</t>
  </si>
  <si>
    <t>2026-03-20 17:38:48</t>
  </si>
  <si>
    <t>江苏省 南京市 六合区 阿尔卡迪亚</t>
  </si>
  <si>
    <t>7107BBA6-246C-6208-5975-893E0540E742</t>
  </si>
  <si>
    <t>2013045</t>
  </si>
  <si>
    <t>320112198512210469</t>
  </si>
  <si>
    <t>1985-12</t>
  </si>
  <si>
    <t>2012-04-01</t>
  </si>
  <si>
    <t>13813351240</t>
  </si>
  <si>
    <t>2026-05-07 10:32:35</t>
  </si>
  <si>
    <t>B08F0284-5D4B-98EB-10A4-288A2BE02567</t>
  </si>
  <si>
    <t>2012043</t>
  </si>
  <si>
    <t>320112199112050827</t>
  </si>
  <si>
    <t>1991-12</t>
  </si>
  <si>
    <t>2013-08-01</t>
  </si>
  <si>
    <t>15062297372</t>
  </si>
  <si>
    <t>2013-07-01</t>
  </si>
  <si>
    <t>2026-03-20 17:38:52</t>
  </si>
  <si>
    <t>江苏省 南京市 六合区 大厂街道，新华七村</t>
  </si>
  <si>
    <t>E50A41A0-31C3-C5D8-2080-2D6EA2353D45</t>
  </si>
  <si>
    <t>2013003</t>
  </si>
  <si>
    <t>320902198710131017</t>
  </si>
  <si>
    <t>江苏盐城</t>
  </si>
  <si>
    <t>15105156797</t>
  </si>
  <si>
    <t>机制</t>
  </si>
  <si>
    <t>2026-03-20 17:38:53</t>
  </si>
  <si>
    <t>4853D952-E121-FDF7-E811-A32C64C0F764</t>
  </si>
  <si>
    <t>2013052</t>
  </si>
  <si>
    <t>320684198801021129</t>
  </si>
  <si>
    <t>1988-01</t>
  </si>
  <si>
    <t>2013-04-01</t>
  </si>
  <si>
    <t>15094310671</t>
  </si>
  <si>
    <t>2011-06-11</t>
  </si>
  <si>
    <t>江苏省 南京市 浦口区 柳州东路6号</t>
  </si>
  <si>
    <t>48541662-7E02-B704-DE62-8C759574167C</t>
  </si>
  <si>
    <t>2013047</t>
  </si>
  <si>
    <t>320483199001173869</t>
  </si>
  <si>
    <t>1990-01</t>
  </si>
  <si>
    <t>2013-10-08</t>
  </si>
  <si>
    <t>2013-10-01</t>
  </si>
  <si>
    <t>15951847605</t>
  </si>
  <si>
    <t>2012-01-01</t>
  </si>
  <si>
    <t>2025-12-26 16:53:12</t>
  </si>
  <si>
    <t>2026-03-20 17:38:58</t>
  </si>
  <si>
    <t>江苏省 南京市 浦口区 盘金华府24栋</t>
  </si>
  <si>
    <t>D030B1FB-5520-84B7-280D-E8199BC23936</t>
  </si>
  <si>
    <t>2013091</t>
  </si>
  <si>
    <t>320621199212226336</t>
  </si>
  <si>
    <t>1992-12</t>
  </si>
  <si>
    <t>2014-08-01</t>
  </si>
  <si>
    <t>江苏南通</t>
  </si>
  <si>
    <t>18761611047</t>
  </si>
  <si>
    <t>2014-06-30</t>
  </si>
  <si>
    <t>2026-03-20 17:39:14</t>
  </si>
  <si>
    <t>江苏省 南京市 六合区 龙池街道潘杨路保利观棠和府</t>
  </si>
  <si>
    <t>3A2A8E86-F194-6CCD-108C-8217346F057C</t>
  </si>
  <si>
    <t>2014040</t>
  </si>
  <si>
    <t>32092519900123758X</t>
  </si>
  <si>
    <t>江苏省盐城市建湖县</t>
  </si>
  <si>
    <t>15050572685</t>
  </si>
  <si>
    <t>2026-03-20 17:39:15</t>
  </si>
  <si>
    <t>江苏省 南京市 六合区 大厂街道杨庄新村西苑</t>
  </si>
  <si>
    <t>A0C8F480-3B3B-D89E-582F-F9CAA90EBCBC</t>
  </si>
  <si>
    <t>2013062</t>
  </si>
  <si>
    <t>杨祎</t>
  </si>
  <si>
    <t>429006199405141529</t>
  </si>
  <si>
    <t>1994-05</t>
  </si>
  <si>
    <t>15720816897</t>
  </si>
  <si>
    <t>扬州工业职业技术学院</t>
  </si>
  <si>
    <t>2026-03-20 17:39:16</t>
  </si>
  <si>
    <t>江苏省 南京市 六合区 无</t>
  </si>
  <si>
    <t>A31D158E-43E4-89E6-3781-455E91A9DFB3</t>
  </si>
  <si>
    <t>2014032</t>
  </si>
  <si>
    <t>周斌</t>
  </si>
  <si>
    <t>32011219930810003X</t>
  </si>
  <si>
    <t>1993-08</t>
  </si>
  <si>
    <t>2013-06-01</t>
  </si>
  <si>
    <t>电工</t>
  </si>
  <si>
    <t>2014-07-10</t>
  </si>
  <si>
    <t>2026-03-23 14:38:08</t>
  </si>
  <si>
    <t>0113B2A4-9AC3-02EF-C746-C4E29BEE4A6E</t>
  </si>
  <si>
    <t>2013087</t>
  </si>
  <si>
    <t>王真民</t>
  </si>
  <si>
    <t>320112196711060011</t>
  </si>
  <si>
    <t>1967-11</t>
  </si>
  <si>
    <t>1987-07-25</t>
  </si>
  <si>
    <t>2015-07-01</t>
  </si>
  <si>
    <t>13809000805</t>
  </si>
  <si>
    <t>江苏省 南京市 浦口区 保利西江月8-3001</t>
  </si>
  <si>
    <t>88F2387C-52F5-B2D0-CC32-9AADFC837CD7</t>
  </si>
  <si>
    <t>2015003</t>
  </si>
  <si>
    <t>张磊</t>
  </si>
  <si>
    <t>32072219880502813X</t>
  </si>
  <si>
    <t>15152540165</t>
  </si>
  <si>
    <t>连云港职业技术学院</t>
  </si>
  <si>
    <t>2011-06-01</t>
  </si>
  <si>
    <t>34CA504F-A895-40B8-A25E-049337C179FF</t>
  </si>
  <si>
    <t>2013079</t>
  </si>
  <si>
    <t>320381198805120014</t>
  </si>
  <si>
    <t>18762289792</t>
  </si>
  <si>
    <t>江苏师范大学</t>
  </si>
  <si>
    <t>江苏省 南京市 浦口区 沿江街道威尼斯水城19街区11幢1501</t>
  </si>
  <si>
    <t>F911AC29-7423-A867-A635-171A36E6812F</t>
  </si>
  <si>
    <t>2014004</t>
  </si>
  <si>
    <t>320122198012030026</t>
  </si>
  <si>
    <t>1980-12</t>
  </si>
  <si>
    <t>2014-03-03</t>
  </si>
  <si>
    <t>2014-03-01</t>
  </si>
  <si>
    <t>15852916642</t>
  </si>
  <si>
    <t>2020-12-15</t>
  </si>
  <si>
    <t>江苏省 南京市 浦口区 新华西路盘金华府9幢</t>
  </si>
  <si>
    <t>D0684212-8912-E3E9-C9D3-A95D6B7C45E0</t>
  </si>
  <si>
    <t>2014022</t>
  </si>
  <si>
    <t>320981199502115717</t>
  </si>
  <si>
    <t>1995-02</t>
  </si>
  <si>
    <t>2017-08-01</t>
  </si>
  <si>
    <t>13016950211</t>
  </si>
  <si>
    <t>南京大学金陵学院</t>
  </si>
  <si>
    <t>2017-06-30</t>
  </si>
  <si>
    <t>2025-12-26 16:53:11</t>
  </si>
  <si>
    <t>2026-03-20 17:39:41</t>
  </si>
  <si>
    <t>江苏省 南京市 六合区 大厂街道杨新路南京南化建设有限公司(慈善幸福路)</t>
  </si>
  <si>
    <t>DE183234-9EA1-4F9E-859B-41CDDED59077</t>
  </si>
  <si>
    <t>2017025</t>
  </si>
  <si>
    <t>320682199312045789</t>
  </si>
  <si>
    <t>事务工B</t>
  </si>
  <si>
    <t>1993-12</t>
  </si>
  <si>
    <t>2015-09-01</t>
  </si>
  <si>
    <t>2016-07-01</t>
  </si>
  <si>
    <t>17721482060</t>
  </si>
  <si>
    <t>江苏海事职业技术学院</t>
  </si>
  <si>
    <t>2015-06-30</t>
  </si>
  <si>
    <t>2026-03-20 17:39:45</t>
  </si>
  <si>
    <t>江苏省 南京市 六合区 大厂健民路365号北门</t>
  </si>
  <si>
    <t>F2830AD3-AA45-4677-B6A5-2240FBEBAE5F</t>
  </si>
  <si>
    <t>2016060</t>
  </si>
  <si>
    <t>张晶晶</t>
  </si>
  <si>
    <t>320682199402175982</t>
  </si>
  <si>
    <t>1994-02</t>
  </si>
  <si>
    <t>2017-07-01</t>
  </si>
  <si>
    <t>江苏如皋</t>
  </si>
  <si>
    <t>17368478726</t>
  </si>
  <si>
    <t>南京晓庄学院</t>
  </si>
  <si>
    <t>2016-06-30</t>
  </si>
  <si>
    <t>2026-03-20 17:40:03</t>
  </si>
  <si>
    <t>江苏省 南京市 六合区 大厂街道草房路600号</t>
  </si>
  <si>
    <t>4F1B89BB-CE08-48C6-B4D9-D45C9D20BD76</t>
  </si>
  <si>
    <t>2017011</t>
  </si>
  <si>
    <t>王星宇</t>
  </si>
  <si>
    <t>320112197706110015</t>
  </si>
  <si>
    <t>2005-03-01</t>
  </si>
  <si>
    <t>2017-11-01</t>
  </si>
  <si>
    <t>15651905767</t>
  </si>
  <si>
    <t>2025-12-26 16:53:10</t>
  </si>
  <si>
    <t>2026-03-23 14:38:24</t>
  </si>
  <si>
    <t>270CE435-4FB8-4031-852C-1E771889794A</t>
  </si>
  <si>
    <t>2017115</t>
  </si>
  <si>
    <t>321023199402012620</t>
  </si>
  <si>
    <t>2017-09-01</t>
  </si>
  <si>
    <t>江苏扬州</t>
  </si>
  <si>
    <t>13151553399</t>
  </si>
  <si>
    <t>2026-03-20 17:40:06</t>
  </si>
  <si>
    <t>江苏省 南京市 六合区 凤滨家园14</t>
  </si>
  <si>
    <t>2061C042-8C7E-4A85-924D-E06B388520A1</t>
  </si>
  <si>
    <t>2017111</t>
  </si>
  <si>
    <t>洪路</t>
  </si>
  <si>
    <t>32011219970726121X</t>
  </si>
  <si>
    <t>2018-01-01</t>
  </si>
  <si>
    <t>17312272177</t>
  </si>
  <si>
    <t>2022-02-19</t>
  </si>
  <si>
    <t>江苏省 南京市 六合区 芳庭潘园40栋403</t>
  </si>
  <si>
    <t>A223947B-E058-49ED-87F6-A2C898AB56D4</t>
  </si>
  <si>
    <t>2018002</t>
  </si>
  <si>
    <t>362323198701194524</t>
  </si>
  <si>
    <t>1987-01</t>
  </si>
  <si>
    <t>2017-10-01</t>
  </si>
  <si>
    <t>江西玉山</t>
  </si>
  <si>
    <t>13813016530</t>
  </si>
  <si>
    <t>江西师范大学</t>
  </si>
  <si>
    <t>2008-06-30</t>
  </si>
  <si>
    <t>2026-03-20 17:40:10</t>
  </si>
  <si>
    <t>9179617E-27CC-4046-ADD2-0FFA2B702EB4</t>
  </si>
  <si>
    <t>2017113</t>
  </si>
  <si>
    <t>320381199302111815</t>
  </si>
  <si>
    <t>1993-02</t>
  </si>
  <si>
    <t>江苏新沂</t>
  </si>
  <si>
    <t>18705183508</t>
  </si>
  <si>
    <t>南京信息工程大学滨江学院</t>
  </si>
  <si>
    <t>江苏省 南京市 浦口区 浦口区</t>
  </si>
  <si>
    <t>87EBC15F-C43A-49F9-840A-A1130B77716A</t>
  </si>
  <si>
    <t>2017094</t>
  </si>
  <si>
    <t>320302199312235015</t>
  </si>
  <si>
    <t>江苏徐州</t>
  </si>
  <si>
    <t>13218000820</t>
  </si>
  <si>
    <t>金陵科技学院</t>
  </si>
  <si>
    <t>2026-03-20 17:40:18</t>
  </si>
  <si>
    <t>江苏省 南京市 浦口区 大华锦绣时代</t>
  </si>
  <si>
    <t>189C892A-6E05-4E17-99CA-EA4D085ECF4F</t>
  </si>
  <si>
    <t>2017084</t>
  </si>
  <si>
    <t>320322199402012515</t>
  </si>
  <si>
    <t>16605168851</t>
  </si>
  <si>
    <t>2026-05-07 10:32:40</t>
  </si>
  <si>
    <t>江苏省 徐州市 沛县 杨屯镇许庙村</t>
  </si>
  <si>
    <t>01C72BAD-5D9A-4710-BEF3-4B6C1C97EFA3</t>
  </si>
  <si>
    <t>2017102</t>
  </si>
  <si>
    <t>卢佳华</t>
  </si>
  <si>
    <t>320681199505247612</t>
  </si>
  <si>
    <t>1995-05</t>
  </si>
  <si>
    <t>江苏启东</t>
  </si>
  <si>
    <t>16651621520</t>
  </si>
  <si>
    <t>江苏省 南通市 启东市 吕四港镇</t>
  </si>
  <si>
    <t>F426CE7B-CAD9-4325-9046-5B1B4A773765</t>
  </si>
  <si>
    <t>2017096</t>
  </si>
  <si>
    <t>210521198911080780</t>
  </si>
  <si>
    <t>2018-03-01</t>
  </si>
  <si>
    <t>辽宁本溪</t>
  </si>
  <si>
    <t>15105156735</t>
  </si>
  <si>
    <t>江苏科技大学</t>
  </si>
  <si>
    <t>2025-12-26 16:53:09</t>
  </si>
  <si>
    <t>6C37BA23-973A-4C3F-8A12-512C4FD5D016</t>
  </si>
  <si>
    <t>2018009</t>
  </si>
  <si>
    <t>610581198506034423</t>
  </si>
  <si>
    <t>1985-06</t>
  </si>
  <si>
    <t>2018-02-01</t>
  </si>
  <si>
    <t>陕西</t>
  </si>
  <si>
    <t>15951622784</t>
  </si>
  <si>
    <t>陕西经济管理职业技术学院</t>
  </si>
  <si>
    <t>2026-03-20 17:40:42</t>
  </si>
  <si>
    <t>江苏省 南京市 浦口区 天润城1-4街区44幢906室</t>
  </si>
  <si>
    <t>4028F873-F80E-4E80-AD80-13C2D9D87FF2</t>
  </si>
  <si>
    <t>2018007</t>
  </si>
  <si>
    <t>320112199512240419</t>
  </si>
  <si>
    <t>1995-12</t>
  </si>
  <si>
    <t>2018-08-01</t>
  </si>
  <si>
    <t>15950582069</t>
  </si>
  <si>
    <t>东南大学成贤学院</t>
  </si>
  <si>
    <t>2018-06-30</t>
  </si>
  <si>
    <t>2026-03-20 17:40:46</t>
  </si>
  <si>
    <t>江苏省 南京市 浦口区 化建新一村</t>
  </si>
  <si>
    <t>BB8BD308-5620-45F2-88FC-6A40DB2C5F9B</t>
  </si>
  <si>
    <t>2018071</t>
  </si>
  <si>
    <t>李露</t>
  </si>
  <si>
    <t>320123198910151643</t>
  </si>
  <si>
    <t>1989-10</t>
  </si>
  <si>
    <t>2011-03-01</t>
  </si>
  <si>
    <t>18014729002</t>
  </si>
  <si>
    <t>2011-06-30</t>
  </si>
  <si>
    <t>2026-03-23 14:38:29</t>
  </si>
  <si>
    <t>D0785F4A-37EB-4913-ABCA-5864E178782F</t>
  </si>
  <si>
    <t>2018012</t>
  </si>
  <si>
    <t>320111199210203624</t>
  </si>
  <si>
    <t>1992-10</t>
  </si>
  <si>
    <t>2012-08-01</t>
  </si>
  <si>
    <t>2018-07-01</t>
  </si>
  <si>
    <t>15050572872</t>
  </si>
  <si>
    <t>南京联合职业技术学院</t>
  </si>
  <si>
    <t>2012-06-30</t>
  </si>
  <si>
    <t>2026-03-20 17:40:52</t>
  </si>
  <si>
    <t>江苏省 南京市 浦口区 蓝海雅苑</t>
  </si>
  <si>
    <t>53B069AE-B93D-4BAC-B7F7-36EC8DC8838D</t>
  </si>
  <si>
    <t>2018029</t>
  </si>
  <si>
    <t>321283198806206440</t>
  </si>
  <si>
    <t>2019-03-01</t>
  </si>
  <si>
    <t>江苏泰州</t>
  </si>
  <si>
    <t>15850735672</t>
  </si>
  <si>
    <t>南京农业大学</t>
  </si>
  <si>
    <t>2025-12-26 16:53:08</t>
  </si>
  <si>
    <t>2026-03-20 17:40:56</t>
  </si>
  <si>
    <t>江苏省 南京市 六合区 葛塘街道建发和章</t>
  </si>
  <si>
    <t>CD6382A1-B122-4B99-8CC7-156F49605369</t>
  </si>
  <si>
    <t>2019003</t>
  </si>
  <si>
    <t>320123198711081611</t>
  </si>
  <si>
    <t>1987-11</t>
  </si>
  <si>
    <t>2018-12-01</t>
  </si>
  <si>
    <t>南京市六合区</t>
  </si>
  <si>
    <t>13655170460</t>
  </si>
  <si>
    <t>2008-01-31</t>
  </si>
  <si>
    <t>江苏省 南京市 浦口区 泰山街道海德北岸城3幢508室</t>
  </si>
  <si>
    <t>54601EF4-CDD3-439B-869B-10454866EE07</t>
  </si>
  <si>
    <t>2018151</t>
  </si>
  <si>
    <t>320125199703273610</t>
  </si>
  <si>
    <t>1997-03</t>
  </si>
  <si>
    <t>2019-08-01</t>
  </si>
  <si>
    <t>南京高淳</t>
  </si>
  <si>
    <t>15295378185</t>
  </si>
  <si>
    <t>盐城工学院</t>
  </si>
  <si>
    <t>2019-07-01</t>
  </si>
  <si>
    <t>2026-03-23 14:38:33</t>
  </si>
  <si>
    <t>江苏省 南京市 高淳区 南漪路梧桐公馆21栋601</t>
  </si>
  <si>
    <t>第十九分公司</t>
  </si>
  <si>
    <t>1F4031C7-AAE6-4D65-A62F-50B74E7A8B04</t>
  </si>
  <si>
    <t>2019050</t>
  </si>
  <si>
    <t>320882199111171229</t>
  </si>
  <si>
    <t>1991-11</t>
  </si>
  <si>
    <t>2019-04-01</t>
  </si>
  <si>
    <t>13160073671</t>
  </si>
  <si>
    <t>江苏财经职业技术学院</t>
  </si>
  <si>
    <t>2026-03-20 17:41:16</t>
  </si>
  <si>
    <t>69BBF63F-9246-4701-8B67-365CCBEF74C5</t>
  </si>
  <si>
    <t>2019005</t>
  </si>
  <si>
    <t>杨文涛</t>
  </si>
  <si>
    <t>429006197302051556</t>
  </si>
  <si>
    <t>辅助工种初级工</t>
  </si>
  <si>
    <t>1973-02</t>
  </si>
  <si>
    <t>17302521712</t>
  </si>
  <si>
    <t>1985-06-30</t>
  </si>
  <si>
    <t>2026-03-23 14:38:34</t>
  </si>
  <si>
    <t>3537CB17-5419-4D8F-9ED2-3A39D5401E98</t>
  </si>
  <si>
    <t>2019006</t>
  </si>
  <si>
    <t>320112199608170435</t>
  </si>
  <si>
    <t>1996-08</t>
  </si>
  <si>
    <t>15195826601</t>
  </si>
  <si>
    <t>江苏大学京江学院</t>
  </si>
  <si>
    <t>2026-03-23 14:38:35</t>
  </si>
  <si>
    <t>江苏省 南京市 浦口区 沿江街道兰新路19号印象花园3幢</t>
  </si>
  <si>
    <t>E33CD15F-717D-4B7D-B684-5ACB9A1539C8</t>
  </si>
  <si>
    <t>2018127</t>
  </si>
  <si>
    <t>142201198710099022</t>
  </si>
  <si>
    <t>2012-06-01</t>
  </si>
  <si>
    <t>2019-06-01</t>
  </si>
  <si>
    <t>甘肃天水</t>
  </si>
  <si>
    <t>15951643319</t>
  </si>
  <si>
    <t>牡丹江大学</t>
  </si>
  <si>
    <t>2026-03-20 17:41:24</t>
  </si>
  <si>
    <t>江苏省 南京市 六合区 大厂街道宝润花园</t>
  </si>
  <si>
    <t>9E5D77FA-C9E4-4800-92D2-5545D3E9DF44</t>
  </si>
  <si>
    <t>2019010</t>
  </si>
  <si>
    <t>410225199710126229</t>
  </si>
  <si>
    <t>1997-10</t>
  </si>
  <si>
    <t>河南开封</t>
  </si>
  <si>
    <t>17714385872</t>
  </si>
  <si>
    <t>商丘师范学院</t>
  </si>
  <si>
    <t>2026-03-23 14:38:36</t>
  </si>
  <si>
    <t>河南省 开封市 龙亭区 复兴大道</t>
  </si>
  <si>
    <t>1FBC2415-0109-484C-8EE4-41214F0BEA74</t>
  </si>
  <si>
    <t>2019013</t>
  </si>
  <si>
    <t>闫至琴</t>
  </si>
  <si>
    <t>652801199601156726</t>
  </si>
  <si>
    <t>1996-01</t>
  </si>
  <si>
    <t>2019-10-01</t>
  </si>
  <si>
    <t>河南周口</t>
  </si>
  <si>
    <t>18152600115</t>
  </si>
  <si>
    <t>能源与动力</t>
  </si>
  <si>
    <t>2025-12-26 16:53:07</t>
  </si>
  <si>
    <t>2026-03-20 17:41:25</t>
  </si>
  <si>
    <t>江苏省 南京市 六合区 鹭岛荣府二期21-901</t>
  </si>
  <si>
    <t>4E20A2FD-6FD1-4F0E-98BB-5F590219FD4F</t>
  </si>
  <si>
    <t>2019154</t>
  </si>
  <si>
    <t>320925199705287411</t>
  </si>
  <si>
    <t>1997-05</t>
  </si>
  <si>
    <t>15051958339</t>
  </si>
  <si>
    <t>常州工学院</t>
  </si>
  <si>
    <t>2026-03-20 17:41:27</t>
  </si>
  <si>
    <t>江苏省 盐城市 建湖县 秀丰文苑</t>
  </si>
  <si>
    <t>F7BEFA56-0F61-4B6D-9895-0112E4BCE8DA</t>
  </si>
  <si>
    <t>2019069</t>
  </si>
  <si>
    <t>320113199405102447</t>
  </si>
  <si>
    <t>2016-09-01</t>
  </si>
  <si>
    <t>15951793072</t>
  </si>
  <si>
    <t>徐州工程学院</t>
  </si>
  <si>
    <t>2026-03-23 14:38:37</t>
  </si>
  <si>
    <t>江苏省 南京市 建邺区 金虹花园</t>
  </si>
  <si>
    <t>928B9258-5BFE-4D80-AC7E-7B83D0BFDA89</t>
  </si>
  <si>
    <t>2019156</t>
  </si>
  <si>
    <t>321027199706302411</t>
  </si>
  <si>
    <t>1997-06</t>
  </si>
  <si>
    <t>18360570916</t>
  </si>
  <si>
    <t>江苏海洋大学</t>
  </si>
  <si>
    <t>江苏省 扬州市 邗江区 中信泰富锦上9栋402室</t>
  </si>
  <si>
    <t>E46064C0-3531-4A07-A902-0FEA5660E7AE</t>
  </si>
  <si>
    <t>2019123</t>
  </si>
  <si>
    <t>320111199611023616</t>
  </si>
  <si>
    <t>1996-11</t>
  </si>
  <si>
    <t>17826626055</t>
  </si>
  <si>
    <t>南京理工大学泰州科技学院</t>
  </si>
  <si>
    <t>2026-03-20 17:41:39</t>
  </si>
  <si>
    <t>江苏省 南京市 浦口区 盘金华府</t>
  </si>
  <si>
    <t>50B596F4-937A-428E-90D1-AFB956681D4A</t>
  </si>
  <si>
    <t>2019139</t>
  </si>
  <si>
    <t>320706199509211516</t>
  </si>
  <si>
    <t>1995-09</t>
  </si>
  <si>
    <t>江苏连云港</t>
  </si>
  <si>
    <t>18013343837</t>
  </si>
  <si>
    <t>南京工程学院</t>
  </si>
  <si>
    <t>2026-03-23 14:38:41</t>
  </si>
  <si>
    <t>江苏省 连云港市 海州区 新坝镇人民政府新坝街21-2号附近</t>
  </si>
  <si>
    <t>10B95FEE-BDCE-4D16-953D-46FE4D53A452</t>
  </si>
  <si>
    <t>2019131</t>
  </si>
  <si>
    <t>成哲辉</t>
  </si>
  <si>
    <t>320112199808080418</t>
  </si>
  <si>
    <t>1998-08</t>
  </si>
  <si>
    <t>2020-08-01</t>
  </si>
  <si>
    <t>13851831352</t>
  </si>
  <si>
    <t>2020-06-30</t>
  </si>
  <si>
    <t>2025-12-26 16:53:06</t>
  </si>
  <si>
    <t>2026-03-20 17:41:47</t>
  </si>
  <si>
    <t>江苏省 南京市 六合区 化建新一村53幢814室</t>
  </si>
  <si>
    <t>7C1BAB51-6735-4604-BC55-EA9FB6E2F4E9</t>
  </si>
  <si>
    <t>2020116</t>
  </si>
  <si>
    <t>320324199602015932</t>
  </si>
  <si>
    <t>1996-02</t>
  </si>
  <si>
    <t>18151306531</t>
  </si>
  <si>
    <t>2020-07-30</t>
  </si>
  <si>
    <t>2026-03-20 17:41:48</t>
  </si>
  <si>
    <t>江苏省 徐州市 睢宁县 睢宁大院</t>
  </si>
  <si>
    <t>5FA827F8-1B26-4210-AE6F-5661FD30D77C</t>
  </si>
  <si>
    <t>2020106</t>
  </si>
  <si>
    <t>李犇</t>
  </si>
  <si>
    <t>320723199704033010</t>
  </si>
  <si>
    <t>技术助理(二)</t>
  </si>
  <si>
    <t>1997-04</t>
  </si>
  <si>
    <t>13912161779</t>
  </si>
  <si>
    <t>江苏省经贸技师学院</t>
  </si>
  <si>
    <t>2020-11-01</t>
  </si>
  <si>
    <t>2026-03-23 14:38:43</t>
  </si>
  <si>
    <t>江苏省 连云港市 海州区 凤凰·星城B区</t>
  </si>
  <si>
    <t>383B00DA-D5C7-4C20-9D31-53928A941F1A</t>
  </si>
  <si>
    <t>2020076</t>
  </si>
  <si>
    <t>32011219950805164X</t>
  </si>
  <si>
    <t>1995-08</t>
  </si>
  <si>
    <t>15951627903</t>
  </si>
  <si>
    <t>台湾大学</t>
  </si>
  <si>
    <t>2026-03-23 14:38:45</t>
  </si>
  <si>
    <t>江苏省 南京市 栖霞区 万科燕语光年</t>
  </si>
  <si>
    <t>南京永利重工制造有限公司</t>
  </si>
  <si>
    <t>D7139C45-9903-4125-A59B-20E4421C7FC3</t>
  </si>
  <si>
    <t>2020099</t>
  </si>
  <si>
    <t>320683199906306030</t>
  </si>
  <si>
    <t>1999-06</t>
  </si>
  <si>
    <t>18851780027</t>
  </si>
  <si>
    <t>南京科技职业学院</t>
  </si>
  <si>
    <t>2026-03-20 17:41:57</t>
  </si>
  <si>
    <t>江苏省 南京市 六合区 葛塘街道蔚蓝星宸</t>
  </si>
  <si>
    <t>FF63B5D6-9D47-44EC-B128-8D7F7E17B583</t>
  </si>
  <si>
    <t>2020041</t>
  </si>
  <si>
    <t>321283199909155812</t>
  </si>
  <si>
    <t>1999-09</t>
  </si>
  <si>
    <t>15052803531</t>
  </si>
  <si>
    <t>正德职业技术学院</t>
  </si>
  <si>
    <t>2026-03-23 14:38:46</t>
  </si>
  <si>
    <t>北京市 北京城区 东城区</t>
  </si>
  <si>
    <t>241F877F-3B2F-463A-BD97-B7773210817C</t>
  </si>
  <si>
    <t>2020058</t>
  </si>
  <si>
    <t>320325198101249142</t>
  </si>
  <si>
    <t>2021-05-01</t>
  </si>
  <si>
    <t>江苏邳州</t>
  </si>
  <si>
    <t>15951777873</t>
  </si>
  <si>
    <t>2025-12-26 16:53:05</t>
  </si>
  <si>
    <t>2026-05-07 10:32:43</t>
  </si>
  <si>
    <t>江苏省 南京市 六合区 大厂街道化建新一村</t>
  </si>
  <si>
    <t>D4C507CE-046A-2067-762A-2381454301C7</t>
  </si>
  <si>
    <t>2021015</t>
  </si>
  <si>
    <t>320123199803240012</t>
  </si>
  <si>
    <t>1998-03</t>
  </si>
  <si>
    <t>2020-09-01</t>
  </si>
  <si>
    <t>15150579550</t>
  </si>
  <si>
    <t>南京理工大学紫金学院</t>
  </si>
  <si>
    <t>2020-07-01</t>
  </si>
  <si>
    <t>2026-03-20 17:42:08</t>
  </si>
  <si>
    <t>江苏省 南京市 六合区 丽岛新苑</t>
  </si>
  <si>
    <t>DBCA83CE-4297-4B02-A04C-054F77B2BF32</t>
  </si>
  <si>
    <t>2020126</t>
  </si>
  <si>
    <t>320112199403291612</t>
  </si>
  <si>
    <t>1994-03</t>
  </si>
  <si>
    <t>2017-03-01</t>
  </si>
  <si>
    <t>2021-01-01</t>
  </si>
  <si>
    <t>18606191843</t>
  </si>
  <si>
    <t>首都师范大学</t>
  </si>
  <si>
    <t>2026-03-20 17:42:10</t>
  </si>
  <si>
    <t>江苏省 南京市 六合区 大厂街道</t>
  </si>
  <si>
    <t>EBE9EBC0-A891-449F-9112-02E8F185FD83</t>
  </si>
  <si>
    <t>2020131</t>
  </si>
  <si>
    <t>320923199404016041</t>
  </si>
  <si>
    <t>1994-04</t>
  </si>
  <si>
    <t>2021-07-01</t>
  </si>
  <si>
    <t>18861827205</t>
  </si>
  <si>
    <t>无锡商业职业技术学院</t>
  </si>
  <si>
    <t>240F1A77-2C16-4E15-9E61-7FBD1BA974C5</t>
  </si>
  <si>
    <t>2021020</t>
  </si>
  <si>
    <t>320123198806075230</t>
  </si>
  <si>
    <t>2021-06-01</t>
  </si>
  <si>
    <t>18994058061</t>
  </si>
  <si>
    <t>南京邮电大学</t>
  </si>
  <si>
    <t>2026-03-20 17:42:14</t>
  </si>
  <si>
    <t>江苏省 南京市 六合区 雄州街道汇锦水岸城</t>
  </si>
  <si>
    <t>39E7E521-61BC-48D8-9F8A-C62259F01AC3</t>
  </si>
  <si>
    <t>2021014</t>
  </si>
  <si>
    <t>320981198711142223</t>
  </si>
  <si>
    <t>技术助理(四)</t>
  </si>
  <si>
    <t>2009-01-01</t>
  </si>
  <si>
    <t>江苏东台</t>
  </si>
  <si>
    <t>15951625184</t>
  </si>
  <si>
    <t>2008-01-02</t>
  </si>
  <si>
    <t>2026-03-20 17:42:15</t>
  </si>
  <si>
    <t>江苏省 南京市 浦口区 海德北岸3-508室</t>
  </si>
  <si>
    <t>6AAC3E0E-E7F7-44BE-B3DE-714972BFC75D</t>
  </si>
  <si>
    <t>2021018</t>
  </si>
  <si>
    <t>320112200006070424</t>
  </si>
  <si>
    <t>2000-06</t>
  </si>
  <si>
    <t>2021-08-01</t>
  </si>
  <si>
    <t>18751845779</t>
  </si>
  <si>
    <t>2025-12-26 16:53:04</t>
  </si>
  <si>
    <t>2026-03-20 17:42:19</t>
  </si>
  <si>
    <t>江苏省 南京市 六合区 圣德山庄</t>
  </si>
  <si>
    <t>6CE13899-BF3F-4266-B49B-78E6AE7FF882</t>
  </si>
  <si>
    <t>2021069</t>
  </si>
  <si>
    <t>320125199808092058</t>
  </si>
  <si>
    <t>15161536231</t>
  </si>
  <si>
    <t>2026-03-20 17:42:32</t>
  </si>
  <si>
    <t>江苏省 南京市 高淳区 淳溪镇临城村</t>
  </si>
  <si>
    <t>223CE0CE-D65F-4701-BB4B-31E112A96815</t>
  </si>
  <si>
    <t>2021096</t>
  </si>
  <si>
    <t>吴俣</t>
  </si>
  <si>
    <t>320112198909160412</t>
  </si>
  <si>
    <t>2010-08-01</t>
  </si>
  <si>
    <t>2021-12-01</t>
  </si>
  <si>
    <t>18551639737</t>
  </si>
  <si>
    <t>盐城师范学院</t>
  </si>
  <si>
    <t>2025-12-26 16:53:03</t>
  </si>
  <si>
    <t>2026-03-20 17:42:44</t>
  </si>
  <si>
    <t>江苏省 南京市 六合区 杨庄北村12-303</t>
  </si>
  <si>
    <t>15207E91-00F7-4C68-9C92-821DDA68A937</t>
  </si>
  <si>
    <t>2021115</t>
  </si>
  <si>
    <t>320623199711194220</t>
  </si>
  <si>
    <t>1997-11</t>
  </si>
  <si>
    <t>2022-03-01</t>
  </si>
  <si>
    <t>江苏如东</t>
  </si>
  <si>
    <t>15189788757</t>
  </si>
  <si>
    <t>2021-06-30</t>
  </si>
  <si>
    <t>2026-05-07 10:32:46</t>
  </si>
  <si>
    <t>8C3FE3E2-1D77-40C4-9692-463329C0962E</t>
  </si>
  <si>
    <t>2022008</t>
  </si>
  <si>
    <t>320982200011231774</t>
  </si>
  <si>
    <t>2000-11</t>
  </si>
  <si>
    <t>2022-08-01</t>
  </si>
  <si>
    <t>13046575793</t>
  </si>
  <si>
    <t>扬州大学广陵学院</t>
  </si>
  <si>
    <t>2022-06-30</t>
  </si>
  <si>
    <t>2025-12-26 16:53:02</t>
  </si>
  <si>
    <t>2026-03-23 14:38:53</t>
  </si>
  <si>
    <t>江苏省 盐城市 大丰区 建成村167号</t>
  </si>
  <si>
    <t>65F76BB5-88DC-4397-BA34-23C458684BD8</t>
  </si>
  <si>
    <t>2022077</t>
  </si>
  <si>
    <t>45032419990120314X</t>
  </si>
  <si>
    <t>1999-01</t>
  </si>
  <si>
    <t>广西桂林</t>
  </si>
  <si>
    <t>13768039580</t>
  </si>
  <si>
    <t>北部湾大学</t>
  </si>
  <si>
    <t>广西壮族自治区 桂林市 全州县 全州镇</t>
  </si>
  <si>
    <t>2089A12F-FD62-4AEC-8A3D-B0B6FA1B2A24</t>
  </si>
  <si>
    <t>2022109</t>
  </si>
  <si>
    <t>341124199810124838</t>
  </si>
  <si>
    <t>1998-10</t>
  </si>
  <si>
    <t>安徽全椒</t>
  </si>
  <si>
    <t>13218079557</t>
  </si>
  <si>
    <t>常州大学怀德学院</t>
  </si>
  <si>
    <t>2022-06-01</t>
  </si>
  <si>
    <t>2025-12-26 16:53:01</t>
  </si>
  <si>
    <t>2026-03-23 14:39:02</t>
  </si>
  <si>
    <t>安徽省 滁州市 全椒县 襄河镇颐高唐宁府</t>
  </si>
  <si>
    <t>32049119-968A-48D3-9E57-FD2E7F44A3F5</t>
  </si>
  <si>
    <t>2022136</t>
  </si>
  <si>
    <t>320322199907165920</t>
  </si>
  <si>
    <t>1999-07</t>
  </si>
  <si>
    <t>2022-09-01</t>
  </si>
  <si>
    <t>18796208057</t>
  </si>
  <si>
    <t>哈尔滨师范大学</t>
  </si>
  <si>
    <t>2026-03-20 17:43:18</t>
  </si>
  <si>
    <t>江苏省 南京市 浦口区 林景紫园</t>
  </si>
  <si>
    <t>A86CFC70-0468-4282-9254-FE01CEC42889</t>
  </si>
  <si>
    <t>2022162</t>
  </si>
  <si>
    <t>张家诚</t>
  </si>
  <si>
    <t>142431199904153617</t>
  </si>
  <si>
    <t>1999-04</t>
  </si>
  <si>
    <t>山西晋中</t>
  </si>
  <si>
    <t>17635197456</t>
  </si>
  <si>
    <t>2026-03-23 14:39:03</t>
  </si>
  <si>
    <t>山西省 晋中市 平遥县 洪善镇冀郭村正阳街13号</t>
  </si>
  <si>
    <t>DF5D0072-4871-4AEC-BA38-BE1D3FC4A9F5</t>
  </si>
  <si>
    <t>2022133</t>
  </si>
  <si>
    <t>340322198905177820</t>
  </si>
  <si>
    <t>1989-05</t>
  </si>
  <si>
    <t>安徽蚌埠</t>
  </si>
  <si>
    <t>15256635462</t>
  </si>
  <si>
    <t>铜陵学院</t>
  </si>
  <si>
    <t>2026-03-20 17:43:23</t>
  </si>
  <si>
    <t>598AB609-9142-4F31-8CD7-C90F73BFE3CC</t>
  </si>
  <si>
    <t>2022153</t>
  </si>
  <si>
    <t>342201200004012417</t>
  </si>
  <si>
    <t>2000-04</t>
  </si>
  <si>
    <t>安徽宿州</t>
  </si>
  <si>
    <t>15150579786</t>
  </si>
  <si>
    <t>阜阳师范大学信息工程学院</t>
  </si>
  <si>
    <t>2026-03-20 17:43:25</t>
  </si>
  <si>
    <t>安徽省 宿州市 埇桥区 芦岭镇</t>
  </si>
  <si>
    <t>4DEEF301-AA58-4559-9BCA-7A9F7955CB6F</t>
  </si>
  <si>
    <t>2022140</t>
  </si>
  <si>
    <t>320112198809020439</t>
  </si>
  <si>
    <t>1988-09</t>
  </si>
  <si>
    <t>2014-07-01</t>
  </si>
  <si>
    <t>2023-07-01</t>
  </si>
  <si>
    <t>13605163014</t>
  </si>
  <si>
    <t>仁荷大学</t>
  </si>
  <si>
    <t>2025-12-26 16:53:00</t>
  </si>
  <si>
    <t>2026-03-20 17:43:31</t>
  </si>
  <si>
    <t>江苏省 南京市 六合区 化建新村</t>
  </si>
  <si>
    <t>90D97BD0-ED5C-4BE5-B89B-6136861C5DA3</t>
  </si>
  <si>
    <t>2023018</t>
  </si>
  <si>
    <t>唐嘉聪</t>
  </si>
  <si>
    <t>512021200207159175</t>
  </si>
  <si>
    <t>技术助理(三)</t>
  </si>
  <si>
    <t>2002-07</t>
  </si>
  <si>
    <t>2023-08-01</t>
  </si>
  <si>
    <t>四川资阳</t>
  </si>
  <si>
    <t>15208177489</t>
  </si>
  <si>
    <t>四川建筑职业技术学院</t>
  </si>
  <si>
    <t>四川省 资阳市 安岳县 驯龙镇三清村七组79号</t>
  </si>
  <si>
    <t>733B3109-F494-47E2-88B9-1F4A21A9BB4B</t>
  </si>
  <si>
    <t>2023078</t>
  </si>
  <si>
    <t>140430199107091611</t>
  </si>
  <si>
    <t>1991-07</t>
  </si>
  <si>
    <t>2023-04-18</t>
  </si>
  <si>
    <t>山西沁县</t>
  </si>
  <si>
    <t>13162722628</t>
  </si>
  <si>
    <t>给排水</t>
  </si>
  <si>
    <t>上海应用技术大学</t>
  </si>
  <si>
    <t>2026-05-07 10:32:48</t>
  </si>
  <si>
    <t>山西省 太原市 尖草坪区 富力天禧城</t>
  </si>
  <si>
    <t>F1F45664-8437-4708-BE88-B15C91F48C8C</t>
  </si>
  <si>
    <t>2023012</t>
  </si>
  <si>
    <t>吴秋晗</t>
  </si>
  <si>
    <t>320112199508240459</t>
  </si>
  <si>
    <t>2023-05-15</t>
  </si>
  <si>
    <t>上海</t>
  </si>
  <si>
    <t>19281960124</t>
  </si>
  <si>
    <t>2026-03-20 17:43:43</t>
  </si>
  <si>
    <t>CB64AC0F-B39D-4350-A2B0-7E5E718E78B1</t>
  </si>
  <si>
    <t>2023014</t>
  </si>
  <si>
    <t>320112200102180842</t>
  </si>
  <si>
    <t>2001-02</t>
  </si>
  <si>
    <t>2023-02-01</t>
  </si>
  <si>
    <t>18114034850</t>
  </si>
  <si>
    <t>江苏联合职业技术学校</t>
  </si>
  <si>
    <t>2025-12-26 16:52:59</t>
  </si>
  <si>
    <t>2026-04-24 14:55:19</t>
  </si>
  <si>
    <t>江苏省 南京市 六合区 葛塘街道</t>
  </si>
  <si>
    <t>5816D277-1B82-41C9-B0D0-884B2E7AB89F</t>
  </si>
  <si>
    <t>2023131</t>
  </si>
  <si>
    <t>320123200108271234</t>
  </si>
  <si>
    <t>2001-08</t>
  </si>
  <si>
    <t>15348368884</t>
  </si>
  <si>
    <t>2026-03-20 17:43:49</t>
  </si>
  <si>
    <t>江苏省 南京市 六合区 荣盛文承楠苑葛塘街道和旭路500号</t>
  </si>
  <si>
    <t>2D9C5DA5-0788-4D68-8C5C-665C8CB860FB</t>
  </si>
  <si>
    <t>2023119</t>
  </si>
  <si>
    <t>321302200207170172</t>
  </si>
  <si>
    <t>江苏宿迁</t>
  </si>
  <si>
    <t>13773995612</t>
  </si>
  <si>
    <t>2026-03-23 14:39:08</t>
  </si>
  <si>
    <t>江苏省 宿迁市 宿城区 嘉汇御景园</t>
  </si>
  <si>
    <t>99126FCC-E6D5-437C-B947-E1A2DD903A15</t>
  </si>
  <si>
    <t>2023104</t>
  </si>
  <si>
    <t>王振彬</t>
  </si>
  <si>
    <t>342422200102182519</t>
  </si>
  <si>
    <t>安徽淮南</t>
  </si>
  <si>
    <t>17891636671</t>
  </si>
  <si>
    <t>安徽扬子职业技术学院</t>
  </si>
  <si>
    <t>2023-06-30</t>
  </si>
  <si>
    <t>2026-03-23 14:39:09</t>
  </si>
  <si>
    <t>安徽省 淮南市 寿县</t>
  </si>
  <si>
    <t>1E3CDA59-7BAF-4F53-AC15-9C79EB792459</t>
  </si>
  <si>
    <t>2023125</t>
  </si>
  <si>
    <t>周冰倩</t>
  </si>
  <si>
    <t>360421200005300021</t>
  </si>
  <si>
    <t>2000-05</t>
  </si>
  <si>
    <t>江西九江</t>
  </si>
  <si>
    <t>15979933285</t>
  </si>
  <si>
    <t>江西理工大学应用科学学院</t>
  </si>
  <si>
    <t>江西省 九江市 柴桑区 沙河街道双瑞路136号</t>
  </si>
  <si>
    <t>0B5DC80C-561C-42AF-904D-7F9F1B362E8F</t>
  </si>
  <si>
    <t>2023111</t>
  </si>
  <si>
    <t>殷嘉敏</t>
  </si>
  <si>
    <t>32112120000607254X</t>
  </si>
  <si>
    <t>江苏镇江</t>
  </si>
  <si>
    <t>17551862565</t>
  </si>
  <si>
    <t>南京审计大学</t>
  </si>
  <si>
    <t>江苏省 南京市 六合区 化建新一村54栋1104</t>
  </si>
  <si>
    <t>74D0CD9B-B4E1-483D-BD0D-F23AFD91C5EA</t>
  </si>
  <si>
    <t>2023128</t>
  </si>
  <si>
    <t>341021200001065250</t>
  </si>
  <si>
    <t>2000-01</t>
  </si>
  <si>
    <t>安徽黄山</t>
  </si>
  <si>
    <t>19826566974</t>
  </si>
  <si>
    <t>池州学院</t>
  </si>
  <si>
    <t>2026-03-20 17:43:56</t>
  </si>
  <si>
    <t>安徽省 黄山市 歙县 霞坑镇霞坑镇洪琴村</t>
  </si>
  <si>
    <t>13DCDE32-78AA-4F62-B7F7-1DA8997AD262</t>
  </si>
  <si>
    <t>2023123</t>
  </si>
  <si>
    <t>340111200101085031</t>
  </si>
  <si>
    <t>2001-01</t>
  </si>
  <si>
    <t>安徽合肥</t>
  </si>
  <si>
    <t>15556965031</t>
  </si>
  <si>
    <t>宿州学院</t>
  </si>
  <si>
    <t>2026-03-20 17:43:57</t>
  </si>
  <si>
    <t>安徽省 合肥市 蜀山区 车城西区</t>
  </si>
  <si>
    <t>8D82CA1E-8694-4D29-AB09-7FBE5DA82323</t>
  </si>
  <si>
    <t>2023117</t>
  </si>
  <si>
    <t>320125200301030718</t>
  </si>
  <si>
    <t>2003-01</t>
  </si>
  <si>
    <t>2024-08-01</t>
  </si>
  <si>
    <t>18951820103</t>
  </si>
  <si>
    <t>机电</t>
  </si>
  <si>
    <t>无锡科技职业学院</t>
  </si>
  <si>
    <t>2024-07-01</t>
  </si>
  <si>
    <t>2025-12-26 16:52:58</t>
  </si>
  <si>
    <t>2026-03-23 14:39:13</t>
  </si>
  <si>
    <t>江苏省 南京市 高淳区 淳溪街道北岭路107号名仕居西区</t>
  </si>
  <si>
    <t>34AF166F-088B-44F4-AA15-323B8D1229BA</t>
  </si>
  <si>
    <t>2024025</t>
  </si>
  <si>
    <t>511902200308127518</t>
  </si>
  <si>
    <t>2003-08</t>
  </si>
  <si>
    <t>四川巴中</t>
  </si>
  <si>
    <t>17882707621</t>
  </si>
  <si>
    <t>江苏建筑职业技术学院</t>
  </si>
  <si>
    <t>2024-06-11</t>
  </si>
  <si>
    <t>2026-03-23 14:39:14</t>
  </si>
  <si>
    <t>四川省 绵阳市 涪城区</t>
  </si>
  <si>
    <t>D4AA4623-8E60-4967-881F-DC5A9726B5BD</t>
  </si>
  <si>
    <t>2024011</t>
  </si>
  <si>
    <t>林新远</t>
  </si>
  <si>
    <t>320123200101264816</t>
  </si>
  <si>
    <t>15851883905</t>
  </si>
  <si>
    <t>2026-03-20 17:44:07</t>
  </si>
  <si>
    <t>江苏省 南京市 六合区 横梁街道石源路40号</t>
  </si>
  <si>
    <t>6FB63460-13AF-44F2-BF29-EF0E4AF36D88</t>
  </si>
  <si>
    <t>2024016</t>
  </si>
  <si>
    <t>341323200108062016</t>
  </si>
  <si>
    <t>17856254317</t>
  </si>
  <si>
    <t>安徽科技学院</t>
  </si>
  <si>
    <t>2024-06-30</t>
  </si>
  <si>
    <t>2026-03-20 17:44:08</t>
  </si>
  <si>
    <t>安徽省 宿州市 灵璧县 虞姬镇刘明</t>
  </si>
  <si>
    <t>9A829B13-B76E-4151-BF86-D9E4D9CC195A</t>
  </si>
  <si>
    <t>2024018</t>
  </si>
  <si>
    <t>纪武军</t>
  </si>
  <si>
    <t>342901199911130671</t>
  </si>
  <si>
    <t>1999-11</t>
  </si>
  <si>
    <t>安徽池州</t>
  </si>
  <si>
    <t>17327693712</t>
  </si>
  <si>
    <t>安徽省 池州市 贵池区 乌沙街道</t>
  </si>
  <si>
    <t>34E4998C-A014-476B-9CAC-BBA8475BEB56</t>
  </si>
  <si>
    <t>2024013</t>
  </si>
  <si>
    <t>32032120011029023X</t>
  </si>
  <si>
    <t>2001-10</t>
  </si>
  <si>
    <t>13667546448</t>
  </si>
  <si>
    <t>2026-03-23 14:39:15</t>
  </si>
  <si>
    <t>新疆维吾尔自治区 巴音郭楞蒙古自治州 库尔勒市 发达路与友好路城和家园一期五号楼三单元101</t>
  </si>
  <si>
    <t>EE9397FF-3540-438E-BF56-4D8551E2E61F</t>
  </si>
  <si>
    <t>2024038</t>
  </si>
  <si>
    <t>包元昌</t>
  </si>
  <si>
    <t>320722200111282010</t>
  </si>
  <si>
    <t>2001-11</t>
  </si>
  <si>
    <t>18352818718</t>
  </si>
  <si>
    <t>江苏省 连云港市 海州区 岗埠农场修理厂小区</t>
  </si>
  <si>
    <t>E7921F22-4AF7-41CC-A530-5FF2AA5747D3</t>
  </si>
  <si>
    <t>2024007</t>
  </si>
  <si>
    <t>熊宇彤</t>
  </si>
  <si>
    <t>340826200111274410</t>
  </si>
  <si>
    <t>安徽安庆</t>
  </si>
  <si>
    <t>18555067591</t>
  </si>
  <si>
    <t>安徽文达信息工程学院</t>
  </si>
  <si>
    <t>2026-03-20 17:44:15</t>
  </si>
  <si>
    <t>安徽省 安庆市 宿松县</t>
  </si>
  <si>
    <t>5D14210E-07AC-437D-A2D2-2CFC83ED551A</t>
  </si>
  <si>
    <t>2024033</t>
  </si>
  <si>
    <t>320112200103030811</t>
  </si>
  <si>
    <t>2001-03</t>
  </si>
  <si>
    <t>17512533391</t>
  </si>
  <si>
    <t>南通理工学院</t>
  </si>
  <si>
    <t>2025-12-26 16:52:57</t>
  </si>
  <si>
    <t>2026-03-23 14:39:19</t>
  </si>
  <si>
    <t>江苏省 南京市 六合区 葛塘街道仁锦苑一栋1201</t>
  </si>
  <si>
    <t>CC797872-89FD-438E-BBEA-443E6CB4D6FE</t>
  </si>
  <si>
    <t>2024052</t>
  </si>
  <si>
    <t>412702199907138121</t>
  </si>
  <si>
    <t>15537179367</t>
  </si>
  <si>
    <t>哈尔滨华德学院</t>
  </si>
  <si>
    <t>2026-03-20 17:44:20</t>
  </si>
  <si>
    <t>河南省 周口市 项城市 工业南路1号</t>
  </si>
  <si>
    <t>96257BB9-60EC-4891-8AB1-2D7E37355F84</t>
  </si>
  <si>
    <t>2024050</t>
  </si>
  <si>
    <t>林威</t>
  </si>
  <si>
    <t>350922200302060177</t>
  </si>
  <si>
    <t>2003-02</t>
  </si>
  <si>
    <t>2025-08-01</t>
  </si>
  <si>
    <t>福建宁德</t>
  </si>
  <si>
    <t>18402561426</t>
  </si>
  <si>
    <t>2025-06-30</t>
  </si>
  <si>
    <t>江苏省 南京市 浦口区 泰山街道浦园北路一号</t>
  </si>
  <si>
    <t>136087EC-52C7-44D0-9A7E-D42819FAE607</t>
  </si>
  <si>
    <t>2025028</t>
  </si>
  <si>
    <t>史明</t>
  </si>
  <si>
    <t>32011219761219043X</t>
  </si>
  <si>
    <t>1976-12</t>
  </si>
  <si>
    <t>2025-03-11</t>
  </si>
  <si>
    <t>CD3348FD-D848-44EA-81A7-5D0F56166C64</t>
  </si>
  <si>
    <t>2025004</t>
  </si>
  <si>
    <t>320111200206064815</t>
  </si>
  <si>
    <t>2002-06</t>
  </si>
  <si>
    <t>2024-11-01</t>
  </si>
  <si>
    <t>17712427303</t>
  </si>
  <si>
    <t>2024-06-21</t>
  </si>
  <si>
    <t>2026-04-15 10:47:35</t>
  </si>
  <si>
    <t>江苏省 南京市 浦口区 南京宇航模具有限公司永丰街124号-2</t>
  </si>
  <si>
    <t>8714D43A-ECDE-4514-A2C9-98A7A3FDD58F</t>
  </si>
  <si>
    <t>2024055</t>
  </si>
  <si>
    <t>341125199908201295</t>
  </si>
  <si>
    <t>1999-08</t>
  </si>
  <si>
    <t>安徽滁州</t>
  </si>
  <si>
    <t>17856026297</t>
  </si>
  <si>
    <t>研究生</t>
  </si>
  <si>
    <t>2026-05-07 10:32:49</t>
  </si>
  <si>
    <t>江苏省 南京市 六合区 盘龙山庄</t>
  </si>
  <si>
    <t>1EB869E7-F71D-4EBC-904E-1D36CDCA97DF</t>
  </si>
  <si>
    <t>2025013</t>
  </si>
  <si>
    <t>夏国玺</t>
  </si>
  <si>
    <t>320830200012225235</t>
  </si>
  <si>
    <t>2000-12</t>
  </si>
  <si>
    <t>2023-09-01</t>
  </si>
  <si>
    <t>2025-04-22</t>
  </si>
  <si>
    <t>江苏省淮安市盱眙县</t>
  </si>
  <si>
    <t>18020392279</t>
  </si>
  <si>
    <t>2026-03-20 17:44:28</t>
  </si>
  <si>
    <t>江苏省 淮安市 盱眙县 马坝镇妇女组</t>
  </si>
  <si>
    <t>0185648A-34D8-49D3-9114-CCEFD0CB8864</t>
  </si>
  <si>
    <t>2025005</t>
  </si>
  <si>
    <t>440681200306202019</t>
  </si>
  <si>
    <t>2003-06</t>
  </si>
  <si>
    <t>湖南衡阳</t>
  </si>
  <si>
    <t>18684590819</t>
  </si>
  <si>
    <t>2025-12-26 16:52:56</t>
  </si>
  <si>
    <t>湖南省 衡阳市 蒸湘区 联合街道西合路3号5栋1310</t>
  </si>
  <si>
    <t>C7FB42E2-6FC1-4708-A8E0-25E781A2DCB8</t>
  </si>
  <si>
    <t>2025067</t>
  </si>
  <si>
    <t>徐成威</t>
  </si>
  <si>
    <t>320123200309304813</t>
  </si>
  <si>
    <t>2003-09</t>
  </si>
  <si>
    <t>18061498019</t>
  </si>
  <si>
    <t>江苏省 南京市 秦淮区 莫愁路340号</t>
  </si>
  <si>
    <t>D867E69D-8E2C-43BB-8A0F-E75338B95255</t>
  </si>
  <si>
    <t>2025053</t>
  </si>
  <si>
    <t>杨悦</t>
  </si>
  <si>
    <t>511725200412068566</t>
  </si>
  <si>
    <t>2004-12</t>
  </si>
  <si>
    <t>四川达州</t>
  </si>
  <si>
    <t>18951808825</t>
  </si>
  <si>
    <t>南京中医药大学</t>
  </si>
  <si>
    <t>3447E764-8987-41F1-A884-5D5767496EC5</t>
  </si>
  <si>
    <t>2025056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</si>
</sst>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sz val="11"/>
      <color indexed="8"/>
      <name val="宋体"/>
      <charset val="134"/>
      <scheme val="minor"/>
    </font>
    <font>
      <b/>
      <sz val="14"/>
      <color indexed="9"/>
      <name val="Calibri"/>
      <charset val="134"/>
    </font>
    <font>
      <b/>
      <sz val="9"/>
      <color theme="1"/>
      <name val="微软雅黑"/>
      <charset val="134"/>
    </font>
    <font>
      <sz val="9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9"/>
      <color theme="1"/>
      <name val="宋体-简"/>
      <charset val="134"/>
    </font>
  </fonts>
  <fills count="36">
    <fill>
      <patternFill patternType="none"/>
    </fill>
    <fill>
      <patternFill patternType="gray125"/>
    </fill>
    <fill>
      <patternFill patternType="solid">
        <fgColor rgb="FF107FFF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0" fillId="5" borderId="2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10" fillId="0" borderId="3">
      <alignment vertical="center"/>
    </xf>
    <xf numFmtId="0" fontId="11" fillId="0" borderId="3">
      <alignment vertical="center"/>
    </xf>
    <xf numFmtId="0" fontId="12" fillId="0" borderId="4">
      <alignment vertical="center"/>
    </xf>
    <xf numFmtId="0" fontId="12" fillId="0" borderId="0">
      <alignment vertical="center"/>
    </xf>
    <xf numFmtId="0" fontId="13" fillId="6" borderId="5">
      <alignment vertical="center"/>
    </xf>
    <xf numFmtId="0" fontId="14" fillId="7" borderId="6">
      <alignment vertical="center"/>
    </xf>
    <xf numFmtId="0" fontId="15" fillId="7" borderId="5">
      <alignment vertical="center"/>
    </xf>
    <xf numFmtId="0" fontId="16" fillId="8" borderId="7">
      <alignment vertical="center"/>
    </xf>
    <xf numFmtId="0" fontId="17" fillId="0" borderId="8">
      <alignment vertical="center"/>
    </xf>
    <xf numFmtId="0" fontId="18" fillId="0" borderId="9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1" fillId="11" borderId="0">
      <alignment vertical="center"/>
    </xf>
    <xf numFmtId="0" fontId="22" fillId="12" borderId="0">
      <alignment vertical="center"/>
    </xf>
    <xf numFmtId="0" fontId="23" fillId="13" borderId="0">
      <alignment vertical="center"/>
    </xf>
    <xf numFmtId="0" fontId="23" fillId="14" borderId="0">
      <alignment vertical="center"/>
    </xf>
    <xf numFmtId="0" fontId="22" fillId="15" borderId="0">
      <alignment vertical="center"/>
    </xf>
    <xf numFmtId="0" fontId="22" fillId="16" borderId="0">
      <alignment vertical="center"/>
    </xf>
    <xf numFmtId="0" fontId="23" fillId="17" borderId="0">
      <alignment vertical="center"/>
    </xf>
    <xf numFmtId="0" fontId="23" fillId="18" borderId="0">
      <alignment vertical="center"/>
    </xf>
    <xf numFmtId="0" fontId="22" fillId="19" borderId="0">
      <alignment vertical="center"/>
    </xf>
    <xf numFmtId="0" fontId="22" fillId="20" borderId="0">
      <alignment vertical="center"/>
    </xf>
    <xf numFmtId="0" fontId="23" fillId="21" borderId="0">
      <alignment vertical="center"/>
    </xf>
    <xf numFmtId="0" fontId="23" fillId="22" borderId="0">
      <alignment vertical="center"/>
    </xf>
    <xf numFmtId="0" fontId="22" fillId="23" borderId="0">
      <alignment vertical="center"/>
    </xf>
    <xf numFmtId="0" fontId="22" fillId="24" borderId="0">
      <alignment vertical="center"/>
    </xf>
    <xf numFmtId="0" fontId="23" fillId="25" borderId="0">
      <alignment vertical="center"/>
    </xf>
    <xf numFmtId="0" fontId="23" fillId="26" borderId="0">
      <alignment vertical="center"/>
    </xf>
    <xf numFmtId="0" fontId="22" fillId="27" borderId="0">
      <alignment vertical="center"/>
    </xf>
    <xf numFmtId="0" fontId="22" fillId="28" borderId="0">
      <alignment vertical="center"/>
    </xf>
    <xf numFmtId="0" fontId="23" fillId="29" borderId="0">
      <alignment vertical="center"/>
    </xf>
    <xf numFmtId="0" fontId="23" fillId="30" borderId="0">
      <alignment vertical="center"/>
    </xf>
    <xf numFmtId="0" fontId="22" fillId="31" borderId="0">
      <alignment vertical="center"/>
    </xf>
    <xf numFmtId="0" fontId="22" fillId="32" borderId="0">
      <alignment vertical="center"/>
    </xf>
    <xf numFmtId="0" fontId="23" fillId="33" borderId="0">
      <alignment vertical="center"/>
    </xf>
    <xf numFmtId="0" fontId="23" fillId="34" borderId="0">
      <alignment vertical="center"/>
    </xf>
    <xf numFmtId="0" fontId="22" fillId="35" borderId="0">
      <alignment vertical="center"/>
    </xf>
  </cellStyleXfs>
  <cellXfs count="11">
    <xf numFmtId="0" fontId="0" fillId="0" borderId="0" xfId="0" applyAlignment="1">
      <alignment vertical="center"/>
    </xf>
    <xf numFmtId="0" fontId="1" fillId="0" borderId="0" xfId="0" applyFont="1" applyFill="1" applyAlignment="1">
      <alignment vertical="center"/>
    </xf>
    <xf numFmtId="0" fontId="2" fillId="2" borderId="1" xfId="0" applyFont="1" applyFill="1" applyBorder="1" applyAlignment="1">
      <alignment horizontal="left" vertical="center" wrapText="1"/>
    </xf>
    <xf numFmtId="0" fontId="1" fillId="0" borderId="1" xfId="0" applyFont="1" applyFill="1" applyBorder="1" applyAlignment="1">
      <alignment horizontal="left" vertical="center" wrapText="1"/>
    </xf>
    <xf numFmtId="0" fontId="1" fillId="0" borderId="1" xfId="0" applyFont="1" applyFill="1" applyBorder="1" applyAlignment="1">
      <alignment horizontal="right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0" fillId="0" borderId="0" xfId="0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&#27491;&#24335;&#21592;&#24037;&#22522;&#30784;&#34920;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Sheet2"/>
      <sheetName val="Hidden_Options_33"/>
    </sheetNames>
    <sheetDataSet>
      <sheetData sheetId="0"/>
      <sheetData sheetId="1"/>
      <sheetData sheetId="2"/>
    </sheetDataSet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7"/>
  <sheetViews>
    <sheetView workbookViewId="0">
      <pane ySplit="1" topLeftCell="A2" activePane="bottomLeft" state="frozen"/>
      <selection/>
      <selection pane="bottomLeft" activeCell="P21" sqref="P21"/>
    </sheetView>
  </sheetViews>
  <sheetFormatPr defaultColWidth="9.23076923076923" defaultRowHeight="16.8"/>
  <cols>
    <col min="2" max="3" width="12.5384615384615" customWidth="1"/>
    <col min="5" max="6" width="15.1538461538462" customWidth="1"/>
    <col min="7" max="7" width="20" customWidth="1"/>
    <col min="8" max="8" width="10.3076923076923" customWidth="1"/>
    <col min="9" max="9" width="15.1538461538462" customWidth="1"/>
  </cols>
  <sheetData>
    <row r="1" spans="1:9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9" t="s">
        <v>8</v>
      </c>
    </row>
    <row r="2" spans="1:9">
      <c r="A2" s="8">
        <f>ROW()-1</f>
        <v>1</v>
      </c>
      <c r="B2" s="8" t="s">
        <v>9</v>
      </c>
      <c r="C2" s="8">
        <f>COUNTIFS(职能部门人员台账!A:A,B2)</f>
        <v>6</v>
      </c>
      <c r="D2" s="8">
        <v>4</v>
      </c>
      <c r="E2" s="8">
        <f>SUMIFS(职能部门人员ERP操作!E:E,职能部门人员ERP操作!A:A,B2,职能部门人员ERP操作!D:D,"发起者")</f>
        <v>65</v>
      </c>
      <c r="F2" s="8">
        <f>SUMIFS(职能部门人员ERP操作!E:E,职能部门人员ERP操作!A:A,B2,职能部门人员ERP操作!D:D,"*审批*")</f>
        <v>4230</v>
      </c>
      <c r="G2" s="8">
        <f>SUMIFS(职能部门人员ERP操作!F:F,职能部门人员ERP操作!A:A,B2)</f>
        <v>1946295</v>
      </c>
      <c r="H2" s="8">
        <f>SUMIFS(职能部门人员ERP操作!G:G,职能部门人员ERP操作!A:A,B2)</f>
        <v>28</v>
      </c>
      <c r="I2" s="8">
        <f>SUMIFS(职能部门人员ERP操作!H:H,职能部门人员ERP操作!A:A,B2)</f>
        <v>40</v>
      </c>
    </row>
    <row r="3" spans="1:9">
      <c r="A3" s="8">
        <f t="shared" ref="A3:A16" si="0">ROW()-1</f>
        <v>2</v>
      </c>
      <c r="B3" s="8" t="s">
        <v>10</v>
      </c>
      <c r="C3" s="8">
        <f>COUNTIFS(职能部门人员台账!A:A,B3)</f>
        <v>15</v>
      </c>
      <c r="D3" s="8">
        <v>6</v>
      </c>
      <c r="E3" s="8">
        <f>SUMIFS(职能部门人员ERP操作!E:E,职能部门人员ERP操作!A:A,B3,职能部门人员ERP操作!D:D,"发起者")</f>
        <v>121</v>
      </c>
      <c r="F3" s="8">
        <f>SUMIFS(职能部门人员ERP操作!E:E,职能部门人员ERP操作!A:A,B3,职能部门人员ERP操作!D:D,"*审批*")</f>
        <v>965</v>
      </c>
      <c r="G3" s="8">
        <f>SUMIFS(职能部门人员ERP操作!F:F,职能部门人员ERP操作!A:A,B3)</f>
        <v>913705</v>
      </c>
      <c r="H3" s="8">
        <f>SUMIFS(职能部门人员ERP操作!G:G,职能部门人员ERP操作!A:A,B3)</f>
        <v>1</v>
      </c>
      <c r="I3" s="8">
        <f>SUMIFS(职能部门人员ERP操作!H:H,职能部门人员ERP操作!A:A,B3)</f>
        <v>2</v>
      </c>
    </row>
    <row r="4" spans="1:9">
      <c r="A4" s="8">
        <f t="shared" si="0"/>
        <v>3</v>
      </c>
      <c r="B4" s="8" t="s">
        <v>11</v>
      </c>
      <c r="C4" s="8">
        <f>COUNTIFS(职能部门人员台账!A:A,B4)</f>
        <v>10</v>
      </c>
      <c r="D4" s="8">
        <v>10</v>
      </c>
      <c r="E4" s="8">
        <f>SUMIFS(职能部门人员ERP操作!E:E,职能部门人员ERP操作!A:A,B4,职能部门人员ERP操作!D:D,"发起者")</f>
        <v>44</v>
      </c>
      <c r="F4" s="8">
        <f>SUMIFS(职能部门人员ERP操作!E:E,职能部门人员ERP操作!A:A,B4,职能部门人员ERP操作!D:D,"*审批*")</f>
        <v>40026</v>
      </c>
      <c r="G4" s="8">
        <f>SUMIFS(职能部门人员ERP操作!F:F,职能部门人员ERP操作!A:A,B4)</f>
        <v>25164981</v>
      </c>
      <c r="H4" s="8">
        <f>SUMIFS(职能部门人员ERP操作!G:G,职能部门人员ERP操作!A:A,B4)</f>
        <v>721</v>
      </c>
      <c r="I4" s="8">
        <f>SUMIFS(职能部门人员ERP操作!H:H,职能部门人员ERP操作!A:A,B4)</f>
        <v>1011</v>
      </c>
    </row>
    <row r="5" spans="1:9">
      <c r="A5" s="8">
        <f t="shared" si="0"/>
        <v>4</v>
      </c>
      <c r="B5" s="8" t="s">
        <v>12</v>
      </c>
      <c r="C5" s="8">
        <f>COUNTIFS(职能部门人员台账!A:A,B5)</f>
        <v>10</v>
      </c>
      <c r="D5" s="8">
        <v>10</v>
      </c>
      <c r="E5" s="8">
        <f>SUMIFS(职能部门人员ERP操作!E:E,职能部门人员ERP操作!A:A,B5,职能部门人员ERP操作!D:D,"发起者")</f>
        <v>61</v>
      </c>
      <c r="F5" s="8">
        <f>SUMIFS(职能部门人员ERP操作!E:E,职能部门人员ERP操作!A:A,B5,职能部门人员ERP操作!D:D,"*审批*")</f>
        <v>1929</v>
      </c>
      <c r="G5" s="8">
        <f>SUMIFS(职能部门人员ERP操作!F:F,职能部门人员ERP操作!A:A,B5)</f>
        <v>565947</v>
      </c>
      <c r="H5" s="8">
        <f>SUMIFS(职能部门人员ERP操作!G:G,职能部门人员ERP操作!A:A,B5)</f>
        <v>11</v>
      </c>
      <c r="I5" s="8">
        <f>SUMIFS(职能部门人员ERP操作!H:H,职能部门人员ERP操作!A:A,B5)</f>
        <v>34</v>
      </c>
    </row>
    <row r="6" spans="1:9">
      <c r="A6" s="8">
        <f t="shared" si="0"/>
        <v>5</v>
      </c>
      <c r="B6" s="8" t="s">
        <v>13</v>
      </c>
      <c r="C6" s="8">
        <f>COUNTIFS(职能部门人员台账!A:A,B6)</f>
        <v>8</v>
      </c>
      <c r="D6" s="8">
        <v>7</v>
      </c>
      <c r="E6" s="8">
        <f>SUMIFS(职能部门人员ERP操作!E:E,职能部门人员ERP操作!A:A,B6,职能部门人员ERP操作!D:D,"发起者")</f>
        <v>2837</v>
      </c>
      <c r="F6" s="8">
        <f>SUMIFS(职能部门人员ERP操作!E:E,职能部门人员ERP操作!A:A,B6,职能部门人员ERP操作!D:D,"*审批*")</f>
        <v>26889</v>
      </c>
      <c r="G6" s="8">
        <f>SUMIFS(职能部门人员ERP操作!F:F,职能部门人员ERP操作!A:A,B6)</f>
        <v>73769892</v>
      </c>
      <c r="H6" s="8">
        <f>SUMIFS(职能部门人员ERP操作!G:G,职能部门人员ERP操作!A:A,B6)</f>
        <v>1427</v>
      </c>
      <c r="I6" s="8">
        <f>SUMIFS(职能部门人员ERP操作!H:H,职能部门人员ERP操作!A:A,B6)</f>
        <v>8501</v>
      </c>
    </row>
    <row r="7" spans="1:9">
      <c r="A7" s="8">
        <f t="shared" si="0"/>
        <v>6</v>
      </c>
      <c r="B7" s="8" t="s">
        <v>14</v>
      </c>
      <c r="C7" s="8">
        <f>COUNTIFS(职能部门人员台账!A:A,B7)</f>
        <v>10</v>
      </c>
      <c r="D7" s="8">
        <v>9</v>
      </c>
      <c r="E7" s="8">
        <f>SUMIFS(职能部门人员ERP操作!E:E,职能部门人员ERP操作!A:A,B7,职能部门人员ERP操作!D:D,"发起者")</f>
        <v>48</v>
      </c>
      <c r="F7" s="8">
        <f>SUMIFS(职能部门人员ERP操作!E:E,职能部门人员ERP操作!A:A,B7,职能部门人员ERP操作!D:D,"*审批*")</f>
        <v>3544</v>
      </c>
      <c r="G7" s="8">
        <f>SUMIFS(职能部门人员ERP操作!F:F,职能部门人员ERP操作!A:A,B7)</f>
        <v>1752929</v>
      </c>
      <c r="H7" s="8">
        <f>SUMIFS(职能部门人员ERP操作!G:G,职能部门人员ERP操作!A:A,B7)</f>
        <v>330</v>
      </c>
      <c r="I7" s="8">
        <f>SUMIFS(职能部门人员ERP操作!H:H,职能部门人员ERP操作!A:A,B7)</f>
        <v>407</v>
      </c>
    </row>
    <row r="8" spans="1:9">
      <c r="A8" s="8">
        <f t="shared" si="0"/>
        <v>7</v>
      </c>
      <c r="B8" s="8" t="s">
        <v>15</v>
      </c>
      <c r="C8" s="8">
        <f>COUNTIFS(职能部门人员台账!A:A,B8)</f>
        <v>23</v>
      </c>
      <c r="D8" s="8">
        <v>14</v>
      </c>
      <c r="E8" s="8">
        <f>SUMIFS(职能部门人员ERP操作!E:E,职能部门人员ERP操作!A:A,B8,职能部门人员ERP操作!D:D,"发起者")</f>
        <v>656</v>
      </c>
      <c r="F8" s="8">
        <f>SUMIFS(职能部门人员ERP操作!E:E,职能部门人员ERP操作!A:A,B8,职能部门人员ERP操作!D:D,"*审批*")</f>
        <v>4272</v>
      </c>
      <c r="G8" s="8">
        <f>SUMIFS(职能部门人员ERP操作!F:F,职能部门人员ERP操作!A:A,B8)</f>
        <v>21581216</v>
      </c>
      <c r="H8" s="8">
        <f>SUMIFS(职能部门人员ERP操作!G:G,职能部门人员ERP操作!A:A,B8)</f>
        <v>174</v>
      </c>
      <c r="I8" s="8">
        <f>SUMIFS(职能部门人员ERP操作!H:H,职能部门人员ERP操作!A:A,B8)</f>
        <v>529</v>
      </c>
    </row>
    <row r="9" spans="1:9">
      <c r="A9" s="8">
        <f t="shared" si="0"/>
        <v>8</v>
      </c>
      <c r="B9" s="8" t="s">
        <v>16</v>
      </c>
      <c r="C9" s="8">
        <f>COUNTIFS(职能部门人员台账!A:A,B9)</f>
        <v>7</v>
      </c>
      <c r="D9" s="8">
        <v>7</v>
      </c>
      <c r="E9" s="8">
        <f>SUMIFS(职能部门人员ERP操作!E:E,职能部门人员ERP操作!A:A,B9,职能部门人员ERP操作!D:D,"发起者")</f>
        <v>484</v>
      </c>
      <c r="F9" s="8">
        <f>SUMIFS(职能部门人员ERP操作!E:E,职能部门人员ERP操作!A:A,B9,职能部门人员ERP操作!D:D,"*审批*")</f>
        <v>8890</v>
      </c>
      <c r="G9" s="8">
        <f>SUMIFS(职能部门人员ERP操作!F:F,职能部门人员ERP操作!A:A,B9)</f>
        <v>7670723</v>
      </c>
      <c r="H9" s="8">
        <f>SUMIFS(职能部门人员ERP操作!G:G,职能部门人员ERP操作!A:A,B9)</f>
        <v>233</v>
      </c>
      <c r="I9" s="8">
        <f>SUMIFS(职能部门人员ERP操作!H:H,职能部门人员ERP操作!A:A,B9)</f>
        <v>717</v>
      </c>
    </row>
    <row r="10" spans="1:9">
      <c r="A10" s="8">
        <f t="shared" si="0"/>
        <v>9</v>
      </c>
      <c r="B10" s="8" t="s">
        <v>17</v>
      </c>
      <c r="C10" s="8">
        <f>COUNTIFS(职能部门人员台账!A:A,B10)</f>
        <v>2</v>
      </c>
      <c r="D10" s="8">
        <v>1</v>
      </c>
      <c r="E10" s="8">
        <f>SUMIFS(职能部门人员ERP操作!E:E,职能部门人员ERP操作!A:A,B10,职能部门人员ERP操作!D:D,"发起者")</f>
        <v>61</v>
      </c>
      <c r="F10" s="8">
        <f>SUMIFS(职能部门人员ERP操作!E:E,职能部门人员ERP操作!A:A,B10,职能部门人员ERP操作!D:D,"*审批*")</f>
        <v>9704</v>
      </c>
      <c r="G10" s="8">
        <f>SUMIFS(职能部门人员ERP操作!F:F,职能部门人员ERP操作!A:A,B10)</f>
        <v>3089524</v>
      </c>
      <c r="H10" s="8">
        <f>SUMIFS(职能部门人员ERP操作!G:G,职能部门人员ERP操作!A:A,B10)</f>
        <v>178</v>
      </c>
      <c r="I10" s="8">
        <f>SUMIFS(职能部门人员ERP操作!H:H,职能部门人员ERP操作!A:A,B10)</f>
        <v>379</v>
      </c>
    </row>
    <row r="11" spans="1:9">
      <c r="A11" s="8">
        <f t="shared" si="0"/>
        <v>10</v>
      </c>
      <c r="B11" s="8" t="s">
        <v>18</v>
      </c>
      <c r="C11" s="8">
        <f>COUNTIFS(职能部门人员台账!A:A,B11)</f>
        <v>22</v>
      </c>
      <c r="D11" s="8">
        <v>14</v>
      </c>
      <c r="E11" s="8">
        <f>SUMIFS(职能部门人员ERP操作!E:E,职能部门人员ERP操作!A:A,B11,职能部门人员ERP操作!D:D,"发起者")</f>
        <v>252</v>
      </c>
      <c r="F11" s="8">
        <f>SUMIFS(职能部门人员ERP操作!E:E,职能部门人员ERP操作!A:A,B11,职能部门人员ERP操作!D:D,"*审批*")</f>
        <v>12115</v>
      </c>
      <c r="G11" s="8">
        <f>SUMIFS(职能部门人员ERP操作!F:F,职能部门人员ERP操作!A:A,B11)</f>
        <v>3537751</v>
      </c>
      <c r="H11" s="8">
        <f>SUMIFS(职能部门人员ERP操作!G:G,职能部门人员ERP操作!A:A,B11)</f>
        <v>84</v>
      </c>
      <c r="I11" s="8">
        <f>SUMIFS(职能部门人员ERP操作!H:H,职能部门人员ERP操作!A:A,B11)</f>
        <v>154</v>
      </c>
    </row>
    <row r="12" spans="1:9">
      <c r="A12" s="8">
        <f t="shared" si="0"/>
        <v>11</v>
      </c>
      <c r="B12" s="8" t="s">
        <v>19</v>
      </c>
      <c r="C12" s="8">
        <f>COUNTIFS(职能部门人员台账!A:A,B12)</f>
        <v>11</v>
      </c>
      <c r="D12" s="8">
        <v>11</v>
      </c>
      <c r="E12" s="8">
        <f>SUMIFS(职能部门人员ERP操作!E:E,职能部门人员ERP操作!A:A,B12,职能部门人员ERP操作!D:D,"发起者")</f>
        <v>738</v>
      </c>
      <c r="F12" s="8">
        <f>SUMIFS(职能部门人员ERP操作!E:E,职能部门人员ERP操作!A:A,B12,职能部门人员ERP操作!D:D,"*审批*")</f>
        <v>18608</v>
      </c>
      <c r="G12" s="8">
        <f>SUMIFS(职能部门人员ERP操作!F:F,职能部门人员ERP操作!A:A,B12)</f>
        <v>10887835</v>
      </c>
      <c r="H12" s="8">
        <f>SUMIFS(职能部门人员ERP操作!G:G,职能部门人员ERP操作!A:A,B12)</f>
        <v>1178</v>
      </c>
      <c r="I12" s="8">
        <f>SUMIFS(职能部门人员ERP操作!H:H,职能部门人员ERP操作!A:A,B12)</f>
        <v>1745</v>
      </c>
    </row>
    <row r="13" spans="1:9">
      <c r="A13" s="8">
        <f t="shared" si="0"/>
        <v>12</v>
      </c>
      <c r="B13" s="8" t="s">
        <v>20</v>
      </c>
      <c r="C13" s="8">
        <f>COUNTIFS(职能部门人员台账!A:A,B13)</f>
        <v>30</v>
      </c>
      <c r="D13" s="8">
        <v>22</v>
      </c>
      <c r="E13" s="8">
        <f>SUMIFS(职能部门人员ERP操作!E:E,职能部门人员ERP操作!A:A,B13,职能部门人员ERP操作!D:D,"发起者")</f>
        <v>885</v>
      </c>
      <c r="F13" s="8">
        <f>SUMIFS(职能部门人员ERP操作!E:E,职能部门人员ERP操作!A:A,B13,职能部门人员ERP操作!D:D,"*审批*")</f>
        <v>14424</v>
      </c>
      <c r="G13" s="8">
        <f>SUMIFS(职能部门人员ERP操作!F:F,职能部门人员ERP操作!A:A,B13)</f>
        <v>5310149</v>
      </c>
      <c r="H13" s="8">
        <f>SUMIFS(职能部门人员ERP操作!G:G,职能部门人员ERP操作!A:A,B13)</f>
        <v>621</v>
      </c>
      <c r="I13" s="8">
        <f>SUMIFS(职能部门人员ERP操作!H:H,职能部门人员ERP操作!A:A,B13)</f>
        <v>1261</v>
      </c>
    </row>
    <row r="14" spans="1:9">
      <c r="A14" s="8">
        <f t="shared" si="0"/>
        <v>13</v>
      </c>
      <c r="B14" s="8" t="s">
        <v>21</v>
      </c>
      <c r="C14" s="8">
        <f>COUNTIFS(职能部门人员台账!A:A,B14)</f>
        <v>9</v>
      </c>
      <c r="D14" s="8">
        <v>9</v>
      </c>
      <c r="E14" s="8">
        <f>SUMIFS(职能部门人员ERP操作!E:E,职能部门人员ERP操作!A:A,B14,职能部门人员ERP操作!D:D,"发起者")</f>
        <v>501</v>
      </c>
      <c r="F14" s="8">
        <f>SUMIFS(职能部门人员ERP操作!E:E,职能部门人员ERP操作!A:A,B14,职能部门人员ERP操作!D:D,"*审批*")</f>
        <v>5947</v>
      </c>
      <c r="G14" s="8">
        <f>SUMIFS(职能部门人员ERP操作!F:F,职能部门人员ERP操作!A:A,B14)</f>
        <v>11876366</v>
      </c>
      <c r="H14" s="8">
        <f>SUMIFS(职能部门人员ERP操作!G:G,职能部门人员ERP操作!A:A,B14)</f>
        <v>334</v>
      </c>
      <c r="I14" s="8">
        <f>SUMIFS(职能部门人员ERP操作!H:H,职能部门人员ERP操作!A:A,B14)</f>
        <v>1519</v>
      </c>
    </row>
    <row r="15" spans="1:9">
      <c r="A15" s="8">
        <f t="shared" si="0"/>
        <v>14</v>
      </c>
      <c r="B15" s="8" t="s">
        <v>22</v>
      </c>
      <c r="C15" s="8">
        <f>COUNTIFS(职能部门人员台账!A:A,B15)</f>
        <v>25</v>
      </c>
      <c r="D15" s="8">
        <v>25</v>
      </c>
      <c r="E15" s="8">
        <f>SUMIFS(职能部门人员ERP操作!E:E,职能部门人员ERP操作!A:A,B15,职能部门人员ERP操作!D:D,"发起者")</f>
        <v>3334</v>
      </c>
      <c r="F15" s="8">
        <f>SUMIFS(职能部门人员ERP操作!E:E,职能部门人员ERP操作!A:A,B15,职能部门人员ERP操作!D:D,"*审批*")</f>
        <v>133779</v>
      </c>
      <c r="G15" s="8">
        <f>SUMIFS(职能部门人员ERP操作!F:F,职能部门人员ERP操作!A:A,B15)</f>
        <v>422719875</v>
      </c>
      <c r="H15" s="8">
        <f>SUMIFS(职能部门人员ERP操作!G:G,职能部门人员ERP操作!A:A,B15)</f>
        <v>2853</v>
      </c>
      <c r="I15" s="8">
        <f>SUMIFS(职能部门人员ERP操作!H:H,职能部门人员ERP操作!A:A,B15)</f>
        <v>4048</v>
      </c>
    </row>
    <row r="16" spans="1:9">
      <c r="A16" s="8">
        <f t="shared" si="0"/>
        <v>15</v>
      </c>
      <c r="B16" s="8" t="s">
        <v>23</v>
      </c>
      <c r="C16" s="8">
        <f>COUNTIFS(职能部门人员台账!A:A,B16)</f>
        <v>20</v>
      </c>
      <c r="D16" s="8">
        <v>10</v>
      </c>
      <c r="E16" s="8">
        <f>SUMIFS(职能部门人员ERP操作!E:E,职能部门人员ERP操作!A:A,B16,职能部门人员ERP操作!D:D,"发起者")</f>
        <v>207</v>
      </c>
      <c r="F16" s="8">
        <f>SUMIFS(职能部门人员ERP操作!E:E,职能部门人员ERP操作!A:A,B16,职能部门人员ERP操作!D:D,"*审批*")</f>
        <v>10855</v>
      </c>
      <c r="G16" s="8">
        <f>SUMIFS(职能部门人员ERP操作!F:F,职能部门人员ERP操作!A:A,B16)</f>
        <v>144947571</v>
      </c>
      <c r="H16" s="8">
        <f>SUMIFS(职能部门人员ERP操作!G:G,职能部门人员ERP操作!A:A,B16)</f>
        <v>70</v>
      </c>
      <c r="I16" s="8">
        <f>SUMIFS(职能部门人员ERP操作!H:H,职能部门人员ERP操作!A:A,B16)</f>
        <v>387</v>
      </c>
    </row>
    <row r="17" spans="1:9">
      <c r="A17" s="10"/>
      <c r="B17" s="10" t="s">
        <v>24</v>
      </c>
      <c r="C17" s="10">
        <f t="shared" ref="C17:I17" si="1">SUM(C2:C16)</f>
        <v>208</v>
      </c>
      <c r="D17" s="10">
        <f t="shared" si="1"/>
        <v>159</v>
      </c>
      <c r="E17" s="10">
        <f t="shared" si="1"/>
        <v>10294</v>
      </c>
      <c r="F17" s="10">
        <f t="shared" si="1"/>
        <v>296177</v>
      </c>
      <c r="G17" s="10">
        <f t="shared" si="1"/>
        <v>735734759</v>
      </c>
      <c r="H17" s="10">
        <f t="shared" si="1"/>
        <v>8243</v>
      </c>
      <c r="I17" s="10">
        <f t="shared" si="1"/>
        <v>20734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75"/>
  <sheetViews>
    <sheetView tabSelected="1" workbookViewId="0">
      <pane ySplit="1" topLeftCell="A2" activePane="bottomLeft" state="frozen"/>
      <selection/>
      <selection pane="bottomLeft" activeCell="L13" sqref="L13"/>
    </sheetView>
  </sheetViews>
  <sheetFormatPr defaultColWidth="9" defaultRowHeight="16.8" outlineLevelCol="7"/>
  <cols>
    <col min="1" max="8" width="15.6923076923077" style="6" customWidth="1"/>
    <col min="9" max="10" width="12.8173076923077"/>
  </cols>
  <sheetData>
    <row r="1" spans="1:8">
      <c r="A1" s="7" t="s">
        <v>1</v>
      </c>
      <c r="B1" s="7" t="s">
        <v>25</v>
      </c>
      <c r="C1" s="7" t="s">
        <v>26</v>
      </c>
      <c r="D1" s="7" t="s">
        <v>27</v>
      </c>
      <c r="E1" s="7" t="s">
        <v>28</v>
      </c>
      <c r="F1" s="7" t="s">
        <v>6</v>
      </c>
      <c r="G1" s="7" t="s">
        <v>7</v>
      </c>
      <c r="H1" s="7" t="s">
        <v>8</v>
      </c>
    </row>
    <row r="2" spans="1:8">
      <c r="A2" s="8" t="s">
        <v>9</v>
      </c>
      <c r="B2" s="8" t="s">
        <v>29</v>
      </c>
      <c r="C2" s="8" t="s">
        <v>30</v>
      </c>
      <c r="D2" s="8" t="s">
        <v>31</v>
      </c>
      <c r="E2" s="8">
        <v>24</v>
      </c>
      <c r="F2" s="8">
        <v>6374</v>
      </c>
      <c r="G2" s="8">
        <v>0</v>
      </c>
      <c r="H2" s="8">
        <v>0</v>
      </c>
    </row>
    <row r="3" spans="1:8">
      <c r="A3" s="8" t="s">
        <v>9</v>
      </c>
      <c r="B3" s="8" t="s">
        <v>29</v>
      </c>
      <c r="C3" s="8" t="s">
        <v>30</v>
      </c>
      <c r="D3" s="8" t="s">
        <v>32</v>
      </c>
      <c r="E3" s="8">
        <v>5</v>
      </c>
      <c r="F3" s="8">
        <v>588</v>
      </c>
      <c r="G3" s="8">
        <v>0</v>
      </c>
      <c r="H3" s="8">
        <v>1</v>
      </c>
    </row>
    <row r="4" spans="1:8">
      <c r="A4" s="8" t="s">
        <v>9</v>
      </c>
      <c r="B4" s="8" t="s">
        <v>33</v>
      </c>
      <c r="C4" s="8" t="s">
        <v>30</v>
      </c>
      <c r="D4" s="8" t="s">
        <v>31</v>
      </c>
      <c r="E4" s="8">
        <v>3405</v>
      </c>
      <c r="F4" s="8">
        <v>1331324</v>
      </c>
      <c r="G4" s="8">
        <v>21</v>
      </c>
      <c r="H4" s="8">
        <v>28</v>
      </c>
    </row>
    <row r="5" spans="1:8">
      <c r="A5" s="8" t="s">
        <v>9</v>
      </c>
      <c r="B5" s="8" t="s">
        <v>33</v>
      </c>
      <c r="C5" s="8" t="s">
        <v>30</v>
      </c>
      <c r="D5" s="8" t="s">
        <v>32</v>
      </c>
      <c r="E5" s="8">
        <v>21</v>
      </c>
      <c r="F5" s="8">
        <v>1219</v>
      </c>
      <c r="G5" s="8">
        <v>0</v>
      </c>
      <c r="H5" s="8">
        <v>0</v>
      </c>
    </row>
    <row r="6" spans="1:8">
      <c r="A6" s="8" t="s">
        <v>9</v>
      </c>
      <c r="B6" s="8" t="s">
        <v>34</v>
      </c>
      <c r="C6" s="8" t="s">
        <v>30</v>
      </c>
      <c r="D6" s="8" t="s">
        <v>31</v>
      </c>
      <c r="E6" s="8">
        <v>653</v>
      </c>
      <c r="F6" s="8">
        <v>511612</v>
      </c>
      <c r="G6" s="8">
        <v>7</v>
      </c>
      <c r="H6" s="8">
        <v>10</v>
      </c>
    </row>
    <row r="7" spans="1:8">
      <c r="A7" s="8" t="s">
        <v>9</v>
      </c>
      <c r="B7" s="8" t="s">
        <v>34</v>
      </c>
      <c r="C7" s="8" t="s">
        <v>30</v>
      </c>
      <c r="D7" s="8" t="s">
        <v>32</v>
      </c>
      <c r="E7" s="8">
        <v>37</v>
      </c>
      <c r="F7" s="8">
        <v>23671</v>
      </c>
      <c r="G7" s="8">
        <v>0</v>
      </c>
      <c r="H7" s="8">
        <v>1</v>
      </c>
    </row>
    <row r="8" spans="1:8">
      <c r="A8" s="8" t="s">
        <v>9</v>
      </c>
      <c r="B8" s="8" t="s">
        <v>35</v>
      </c>
      <c r="C8" s="8" t="s">
        <v>30</v>
      </c>
      <c r="D8" s="8" t="s">
        <v>31</v>
      </c>
      <c r="E8" s="8">
        <v>148</v>
      </c>
      <c r="F8" s="8">
        <v>63111</v>
      </c>
      <c r="G8" s="8">
        <v>0</v>
      </c>
      <c r="H8" s="8">
        <v>0</v>
      </c>
    </row>
    <row r="9" spans="1:8">
      <c r="A9" s="8" t="s">
        <v>9</v>
      </c>
      <c r="B9" s="8" t="s">
        <v>35</v>
      </c>
      <c r="C9" s="8" t="s">
        <v>30</v>
      </c>
      <c r="D9" s="8" t="s">
        <v>32</v>
      </c>
      <c r="E9" s="8">
        <v>2</v>
      </c>
      <c r="F9" s="8">
        <v>8396</v>
      </c>
      <c r="G9" s="8">
        <v>0</v>
      </c>
      <c r="H9" s="8">
        <v>0</v>
      </c>
    </row>
    <row r="10" spans="1:8">
      <c r="A10" s="8" t="s">
        <v>10</v>
      </c>
      <c r="B10" s="8" t="s">
        <v>36</v>
      </c>
      <c r="C10" s="8" t="s">
        <v>30</v>
      </c>
      <c r="D10" s="8" t="s">
        <v>31</v>
      </c>
      <c r="E10" s="8">
        <v>2</v>
      </c>
      <c r="F10" s="8">
        <v>179</v>
      </c>
      <c r="G10" s="8">
        <v>0</v>
      </c>
      <c r="H10" s="8">
        <v>0</v>
      </c>
    </row>
    <row r="11" spans="1:8">
      <c r="A11" s="8" t="s">
        <v>10</v>
      </c>
      <c r="B11" s="8" t="s">
        <v>37</v>
      </c>
      <c r="C11" s="8" t="s">
        <v>30</v>
      </c>
      <c r="D11" s="8" t="s">
        <v>31</v>
      </c>
      <c r="E11" s="8">
        <v>345</v>
      </c>
      <c r="F11" s="8">
        <v>5961</v>
      </c>
      <c r="G11" s="8">
        <v>0</v>
      </c>
      <c r="H11" s="8">
        <v>0</v>
      </c>
    </row>
    <row r="12" spans="1:8">
      <c r="A12" s="8" t="s">
        <v>10</v>
      </c>
      <c r="B12" s="8" t="s">
        <v>37</v>
      </c>
      <c r="C12" s="8" t="s">
        <v>30</v>
      </c>
      <c r="D12" s="8" t="s">
        <v>32</v>
      </c>
      <c r="E12" s="8">
        <v>100</v>
      </c>
      <c r="F12" s="8">
        <v>9</v>
      </c>
      <c r="G12" s="8">
        <v>0</v>
      </c>
      <c r="H12" s="8">
        <v>0</v>
      </c>
    </row>
    <row r="13" spans="1:8">
      <c r="A13" s="8" t="s">
        <v>10</v>
      </c>
      <c r="B13" s="8" t="s">
        <v>38</v>
      </c>
      <c r="C13" s="8" t="s">
        <v>30</v>
      </c>
      <c r="D13" s="8" t="s">
        <v>31</v>
      </c>
      <c r="E13" s="8">
        <v>27</v>
      </c>
      <c r="F13" s="8">
        <v>23557</v>
      </c>
      <c r="G13" s="8">
        <v>0</v>
      </c>
      <c r="H13" s="8">
        <v>0</v>
      </c>
    </row>
    <row r="14" spans="1:8">
      <c r="A14" s="8" t="s">
        <v>10</v>
      </c>
      <c r="B14" s="8" t="s">
        <v>38</v>
      </c>
      <c r="C14" s="8" t="s">
        <v>30</v>
      </c>
      <c r="D14" s="8" t="s">
        <v>32</v>
      </c>
      <c r="E14" s="8">
        <v>8</v>
      </c>
      <c r="F14" s="8">
        <v>19</v>
      </c>
      <c r="G14" s="8">
        <v>0</v>
      </c>
      <c r="H14" s="8">
        <v>0</v>
      </c>
    </row>
    <row r="15" spans="1:8">
      <c r="A15" s="8" t="s">
        <v>10</v>
      </c>
      <c r="B15" s="8" t="s">
        <v>39</v>
      </c>
      <c r="C15" s="8" t="s">
        <v>30</v>
      </c>
      <c r="D15" s="8" t="s">
        <v>31</v>
      </c>
      <c r="E15" s="8">
        <v>19</v>
      </c>
      <c r="F15" s="8">
        <v>59413</v>
      </c>
      <c r="G15" s="8">
        <v>1</v>
      </c>
      <c r="H15" s="8">
        <v>1</v>
      </c>
    </row>
    <row r="16" spans="1:8">
      <c r="A16" s="8" t="s">
        <v>10</v>
      </c>
      <c r="B16" s="8" t="s">
        <v>39</v>
      </c>
      <c r="C16" s="8" t="s">
        <v>30</v>
      </c>
      <c r="D16" s="8" t="s">
        <v>32</v>
      </c>
      <c r="E16" s="8">
        <v>11</v>
      </c>
      <c r="F16" s="8">
        <v>594</v>
      </c>
      <c r="G16" s="8">
        <v>0</v>
      </c>
      <c r="H16" s="8">
        <v>0</v>
      </c>
    </row>
    <row r="17" spans="1:8">
      <c r="A17" s="8" t="s">
        <v>10</v>
      </c>
      <c r="B17" s="8" t="s">
        <v>40</v>
      </c>
      <c r="C17" s="8" t="s">
        <v>30</v>
      </c>
      <c r="D17" s="8" t="s">
        <v>31</v>
      </c>
      <c r="E17" s="8">
        <v>568</v>
      </c>
      <c r="F17" s="8">
        <v>823909</v>
      </c>
      <c r="G17" s="8">
        <v>0</v>
      </c>
      <c r="H17" s="8">
        <v>0</v>
      </c>
    </row>
    <row r="18" spans="1:8">
      <c r="A18" s="8" t="s">
        <v>10</v>
      </c>
      <c r="B18" s="8" t="s">
        <v>41</v>
      </c>
      <c r="C18" s="8" t="s">
        <v>30</v>
      </c>
      <c r="D18" s="8" t="s">
        <v>31</v>
      </c>
      <c r="E18" s="8">
        <v>4</v>
      </c>
      <c r="F18" s="8">
        <v>56</v>
      </c>
      <c r="G18" s="8">
        <v>0</v>
      </c>
      <c r="H18" s="8">
        <v>0</v>
      </c>
    </row>
    <row r="19" spans="1:8">
      <c r="A19" s="8" t="s">
        <v>10</v>
      </c>
      <c r="B19" s="8" t="s">
        <v>41</v>
      </c>
      <c r="C19" s="8" t="s">
        <v>30</v>
      </c>
      <c r="D19" s="8" t="s">
        <v>32</v>
      </c>
      <c r="E19" s="8">
        <v>2</v>
      </c>
      <c r="F19" s="8">
        <v>8</v>
      </c>
      <c r="G19" s="8">
        <v>0</v>
      </c>
      <c r="H19" s="8">
        <v>1</v>
      </c>
    </row>
    <row r="20" spans="1:8">
      <c r="A20" s="8" t="s">
        <v>11</v>
      </c>
      <c r="B20" s="8" t="s">
        <v>42</v>
      </c>
      <c r="C20" s="8" t="s">
        <v>30</v>
      </c>
      <c r="D20" s="8" t="s">
        <v>31</v>
      </c>
      <c r="E20" s="8">
        <v>2164</v>
      </c>
      <c r="F20" s="8">
        <v>1553398</v>
      </c>
      <c r="G20" s="8">
        <v>13</v>
      </c>
      <c r="H20" s="8">
        <v>16</v>
      </c>
    </row>
    <row r="21" spans="1:8">
      <c r="A21" s="8" t="s">
        <v>11</v>
      </c>
      <c r="B21" s="8" t="s">
        <v>43</v>
      </c>
      <c r="C21" s="8" t="s">
        <v>30</v>
      </c>
      <c r="D21" s="8" t="s">
        <v>31</v>
      </c>
      <c r="E21" s="8">
        <v>9081</v>
      </c>
      <c r="F21" s="8">
        <v>3254174</v>
      </c>
      <c r="G21" s="8">
        <v>152</v>
      </c>
      <c r="H21" s="8">
        <v>211</v>
      </c>
    </row>
    <row r="22" spans="1:8">
      <c r="A22" s="8" t="s">
        <v>11</v>
      </c>
      <c r="B22" s="8" t="s">
        <v>43</v>
      </c>
      <c r="C22" s="8" t="s">
        <v>30</v>
      </c>
      <c r="D22" s="8" t="s">
        <v>32</v>
      </c>
      <c r="E22" s="8">
        <v>10</v>
      </c>
      <c r="F22" s="8">
        <v>1726</v>
      </c>
      <c r="G22" s="8">
        <v>0</v>
      </c>
      <c r="H22" s="8">
        <v>0</v>
      </c>
    </row>
    <row r="23" spans="1:8">
      <c r="A23" s="8" t="s">
        <v>11</v>
      </c>
      <c r="B23" s="8" t="s">
        <v>44</v>
      </c>
      <c r="C23" s="8" t="s">
        <v>30</v>
      </c>
      <c r="D23" s="8" t="s">
        <v>31</v>
      </c>
      <c r="E23" s="8">
        <v>2453</v>
      </c>
      <c r="F23" s="8">
        <v>1412398</v>
      </c>
      <c r="G23" s="8">
        <v>4</v>
      </c>
      <c r="H23" s="8">
        <v>11</v>
      </c>
    </row>
    <row r="24" spans="1:8">
      <c r="A24" s="8" t="s">
        <v>11</v>
      </c>
      <c r="B24" s="8" t="s">
        <v>44</v>
      </c>
      <c r="C24" s="8" t="s">
        <v>30</v>
      </c>
      <c r="D24" s="8" t="s">
        <v>32</v>
      </c>
      <c r="E24" s="8">
        <v>2</v>
      </c>
      <c r="F24" s="8">
        <v>358</v>
      </c>
      <c r="G24" s="8">
        <v>0</v>
      </c>
      <c r="H24" s="8">
        <v>0</v>
      </c>
    </row>
    <row r="25" spans="1:8">
      <c r="A25" s="8" t="s">
        <v>11</v>
      </c>
      <c r="B25" s="8" t="s">
        <v>45</v>
      </c>
      <c r="C25" s="8" t="s">
        <v>30</v>
      </c>
      <c r="D25" s="8" t="s">
        <v>31</v>
      </c>
      <c r="E25" s="8">
        <v>3309</v>
      </c>
      <c r="F25" s="8">
        <v>693992</v>
      </c>
      <c r="G25" s="8">
        <v>15</v>
      </c>
      <c r="H25" s="8">
        <v>56</v>
      </c>
    </row>
    <row r="26" spans="1:8">
      <c r="A26" s="8" t="s">
        <v>11</v>
      </c>
      <c r="B26" s="8" t="s">
        <v>45</v>
      </c>
      <c r="C26" s="8" t="s">
        <v>30</v>
      </c>
      <c r="D26" s="8" t="s">
        <v>32</v>
      </c>
      <c r="E26" s="8">
        <v>25</v>
      </c>
      <c r="F26" s="8">
        <v>20</v>
      </c>
      <c r="G26" s="8">
        <v>0</v>
      </c>
      <c r="H26" s="8">
        <v>2</v>
      </c>
    </row>
    <row r="27" spans="1:8">
      <c r="A27" s="8" t="s">
        <v>11</v>
      </c>
      <c r="B27" s="8" t="s">
        <v>46</v>
      </c>
      <c r="C27" s="8" t="s">
        <v>30</v>
      </c>
      <c r="D27" s="8" t="s">
        <v>31</v>
      </c>
      <c r="E27" s="8">
        <v>3836</v>
      </c>
      <c r="F27" s="8">
        <v>3802126</v>
      </c>
      <c r="G27" s="8">
        <v>16</v>
      </c>
      <c r="H27" s="8">
        <v>117</v>
      </c>
    </row>
    <row r="28" spans="1:8">
      <c r="A28" s="8" t="s">
        <v>11</v>
      </c>
      <c r="B28" s="8" t="s">
        <v>47</v>
      </c>
      <c r="C28" s="8" t="s">
        <v>30</v>
      </c>
      <c r="D28" s="8" t="s">
        <v>31</v>
      </c>
      <c r="E28" s="8">
        <v>599</v>
      </c>
      <c r="F28" s="8">
        <v>278209</v>
      </c>
      <c r="G28" s="8">
        <v>0</v>
      </c>
      <c r="H28" s="8">
        <v>0</v>
      </c>
    </row>
    <row r="29" spans="1:8">
      <c r="A29" s="8" t="s">
        <v>11</v>
      </c>
      <c r="B29" s="8" t="s">
        <v>48</v>
      </c>
      <c r="C29" s="8" t="s">
        <v>30</v>
      </c>
      <c r="D29" s="8" t="s">
        <v>31</v>
      </c>
      <c r="E29" s="8">
        <v>3189</v>
      </c>
      <c r="F29" s="8">
        <v>2666576</v>
      </c>
      <c r="G29" s="8">
        <v>465</v>
      </c>
      <c r="H29" s="8">
        <v>519</v>
      </c>
    </row>
    <row r="30" spans="1:8">
      <c r="A30" s="8" t="s">
        <v>11</v>
      </c>
      <c r="B30" s="8" t="s">
        <v>48</v>
      </c>
      <c r="C30" s="8" t="s">
        <v>30</v>
      </c>
      <c r="D30" s="8" t="s">
        <v>32</v>
      </c>
      <c r="E30" s="8">
        <v>5</v>
      </c>
      <c r="F30" s="8">
        <v>22608</v>
      </c>
      <c r="G30" s="8">
        <v>0</v>
      </c>
      <c r="H30" s="8">
        <v>4</v>
      </c>
    </row>
    <row r="31" spans="1:8">
      <c r="A31" s="8" t="s">
        <v>11</v>
      </c>
      <c r="B31" s="8" t="s">
        <v>49</v>
      </c>
      <c r="C31" s="8" t="s">
        <v>30</v>
      </c>
      <c r="D31" s="8" t="s">
        <v>31</v>
      </c>
      <c r="E31" s="8">
        <v>5313</v>
      </c>
      <c r="F31" s="8">
        <v>6566753</v>
      </c>
      <c r="G31" s="8">
        <v>26</v>
      </c>
      <c r="H31" s="8">
        <v>36</v>
      </c>
    </row>
    <row r="32" spans="1:8">
      <c r="A32" s="8" t="s">
        <v>11</v>
      </c>
      <c r="B32" s="8" t="s">
        <v>49</v>
      </c>
      <c r="C32" s="8" t="s">
        <v>30</v>
      </c>
      <c r="D32" s="8" t="s">
        <v>32</v>
      </c>
      <c r="E32" s="8">
        <v>2</v>
      </c>
      <c r="F32" s="8">
        <v>0</v>
      </c>
      <c r="G32" s="8">
        <v>0</v>
      </c>
      <c r="H32" s="8">
        <v>0</v>
      </c>
    </row>
    <row r="33" spans="1:8">
      <c r="A33" s="8" t="s">
        <v>11</v>
      </c>
      <c r="B33" s="8" t="s">
        <v>50</v>
      </c>
      <c r="C33" s="8" t="s">
        <v>30</v>
      </c>
      <c r="D33" s="8" t="s">
        <v>31</v>
      </c>
      <c r="E33" s="8">
        <v>7198</v>
      </c>
      <c r="F33" s="8">
        <v>4199845</v>
      </c>
      <c r="G33" s="8">
        <v>29</v>
      </c>
      <c r="H33" s="8">
        <v>37</v>
      </c>
    </row>
    <row r="34" spans="1:8">
      <c r="A34" s="8" t="s">
        <v>11</v>
      </c>
      <c r="B34" s="8" t="s">
        <v>51</v>
      </c>
      <c r="C34" s="8" t="s">
        <v>30</v>
      </c>
      <c r="D34" s="8" t="s">
        <v>31</v>
      </c>
      <c r="E34" s="8">
        <v>2884</v>
      </c>
      <c r="F34" s="8">
        <v>712798</v>
      </c>
      <c r="G34" s="8">
        <v>1</v>
      </c>
      <c r="H34" s="8">
        <v>2</v>
      </c>
    </row>
    <row r="35" spans="1:8">
      <c r="A35" s="8" t="s">
        <v>12</v>
      </c>
      <c r="B35" s="8" t="s">
        <v>52</v>
      </c>
      <c r="C35" s="8" t="s">
        <v>30</v>
      </c>
      <c r="D35" s="8" t="s">
        <v>31</v>
      </c>
      <c r="E35" s="8">
        <v>12</v>
      </c>
      <c r="F35" s="8">
        <v>2919</v>
      </c>
      <c r="G35" s="8">
        <v>0</v>
      </c>
      <c r="H35" s="8">
        <v>0</v>
      </c>
    </row>
    <row r="36" spans="1:8">
      <c r="A36" s="8" t="s">
        <v>12</v>
      </c>
      <c r="B36" s="8" t="s">
        <v>52</v>
      </c>
      <c r="C36" s="8" t="s">
        <v>30</v>
      </c>
      <c r="D36" s="8" t="s">
        <v>32</v>
      </c>
      <c r="E36" s="8">
        <v>16</v>
      </c>
      <c r="F36" s="8">
        <v>72889</v>
      </c>
      <c r="G36" s="8">
        <v>0</v>
      </c>
      <c r="H36" s="8">
        <v>0</v>
      </c>
    </row>
    <row r="37" spans="1:8">
      <c r="A37" s="8" t="s">
        <v>12</v>
      </c>
      <c r="B37" s="8" t="s">
        <v>53</v>
      </c>
      <c r="C37" s="8" t="s">
        <v>30</v>
      </c>
      <c r="D37" s="8" t="s">
        <v>32</v>
      </c>
      <c r="E37" s="8">
        <v>5</v>
      </c>
      <c r="F37" s="8">
        <v>8800</v>
      </c>
      <c r="G37" s="8">
        <v>0</v>
      </c>
      <c r="H37" s="8">
        <v>1</v>
      </c>
    </row>
    <row r="38" spans="1:8">
      <c r="A38" s="8" t="s">
        <v>12</v>
      </c>
      <c r="B38" s="8" t="s">
        <v>54</v>
      </c>
      <c r="C38" s="8" t="s">
        <v>30</v>
      </c>
      <c r="D38" s="8" t="s">
        <v>31</v>
      </c>
      <c r="E38" s="8">
        <v>21</v>
      </c>
      <c r="F38" s="8">
        <v>2088</v>
      </c>
      <c r="G38" s="8">
        <v>2</v>
      </c>
      <c r="H38" s="8">
        <v>3</v>
      </c>
    </row>
    <row r="39" spans="1:8">
      <c r="A39" s="8" t="s">
        <v>12</v>
      </c>
      <c r="B39" s="8" t="s">
        <v>55</v>
      </c>
      <c r="C39" s="8" t="s">
        <v>30</v>
      </c>
      <c r="D39" s="8" t="s">
        <v>31</v>
      </c>
      <c r="E39" s="8">
        <v>52</v>
      </c>
      <c r="F39" s="8">
        <v>4020</v>
      </c>
      <c r="G39" s="8">
        <v>3</v>
      </c>
      <c r="H39" s="8">
        <v>7</v>
      </c>
    </row>
    <row r="40" spans="1:8">
      <c r="A40" s="8" t="s">
        <v>12</v>
      </c>
      <c r="B40" s="8" t="s">
        <v>55</v>
      </c>
      <c r="C40" s="8" t="s">
        <v>30</v>
      </c>
      <c r="D40" s="8" t="s">
        <v>32</v>
      </c>
      <c r="E40" s="8">
        <v>8</v>
      </c>
      <c r="F40" s="8">
        <v>418</v>
      </c>
      <c r="G40" s="8">
        <v>0</v>
      </c>
      <c r="H40" s="8">
        <v>0</v>
      </c>
    </row>
    <row r="41" spans="1:8">
      <c r="A41" s="8" t="s">
        <v>12</v>
      </c>
      <c r="B41" s="8" t="s">
        <v>56</v>
      </c>
      <c r="C41" s="8" t="s">
        <v>30</v>
      </c>
      <c r="D41" s="8" t="s">
        <v>31</v>
      </c>
      <c r="E41" s="8">
        <v>2</v>
      </c>
      <c r="F41" s="8">
        <v>26</v>
      </c>
      <c r="G41" s="8">
        <v>0</v>
      </c>
      <c r="H41" s="8">
        <v>0</v>
      </c>
    </row>
    <row r="42" spans="1:8">
      <c r="A42" s="8" t="s">
        <v>12</v>
      </c>
      <c r="B42" s="8" t="s">
        <v>56</v>
      </c>
      <c r="C42" s="8" t="s">
        <v>30</v>
      </c>
      <c r="D42" s="8" t="s">
        <v>32</v>
      </c>
      <c r="E42" s="8">
        <v>12</v>
      </c>
      <c r="F42" s="8">
        <v>10060</v>
      </c>
      <c r="G42" s="8">
        <v>0</v>
      </c>
      <c r="H42" s="8">
        <v>5</v>
      </c>
    </row>
    <row r="43" spans="1:8">
      <c r="A43" s="8" t="s">
        <v>12</v>
      </c>
      <c r="B43" s="8" t="s">
        <v>57</v>
      </c>
      <c r="C43" s="8" t="s">
        <v>30</v>
      </c>
      <c r="D43" s="8" t="s">
        <v>32</v>
      </c>
      <c r="E43" s="8">
        <v>1</v>
      </c>
      <c r="F43" s="8">
        <v>1</v>
      </c>
      <c r="G43" s="8">
        <v>0</v>
      </c>
      <c r="H43" s="8">
        <v>0</v>
      </c>
    </row>
    <row r="44" spans="1:8">
      <c r="A44" s="8" t="s">
        <v>12</v>
      </c>
      <c r="B44" s="8" t="s">
        <v>58</v>
      </c>
      <c r="C44" s="8" t="s">
        <v>30</v>
      </c>
      <c r="D44" s="8" t="s">
        <v>31</v>
      </c>
      <c r="E44" s="8">
        <v>13</v>
      </c>
      <c r="F44" s="8">
        <v>10306</v>
      </c>
      <c r="G44" s="8">
        <v>0</v>
      </c>
      <c r="H44" s="8">
        <v>0</v>
      </c>
    </row>
    <row r="45" spans="1:8">
      <c r="A45" s="8" t="s">
        <v>12</v>
      </c>
      <c r="B45" s="8" t="s">
        <v>59</v>
      </c>
      <c r="C45" s="8" t="s">
        <v>30</v>
      </c>
      <c r="D45" s="8" t="s">
        <v>31</v>
      </c>
      <c r="E45" s="8">
        <v>1829</v>
      </c>
      <c r="F45" s="8">
        <v>449286</v>
      </c>
      <c r="G45" s="8">
        <v>6</v>
      </c>
      <c r="H45" s="8">
        <v>16</v>
      </c>
    </row>
    <row r="46" spans="1:8">
      <c r="A46" s="8" t="s">
        <v>12</v>
      </c>
      <c r="B46" s="8" t="s">
        <v>59</v>
      </c>
      <c r="C46" s="8" t="s">
        <v>30</v>
      </c>
      <c r="D46" s="8" t="s">
        <v>32</v>
      </c>
      <c r="E46" s="8">
        <v>11</v>
      </c>
      <c r="F46" s="8">
        <v>265</v>
      </c>
      <c r="G46" s="8">
        <v>0</v>
      </c>
      <c r="H46" s="8">
        <v>0</v>
      </c>
    </row>
    <row r="47" spans="1:8">
      <c r="A47" s="8" t="s">
        <v>12</v>
      </c>
      <c r="B47" s="8" t="s">
        <v>60</v>
      </c>
      <c r="C47" s="8" t="s">
        <v>30</v>
      </c>
      <c r="D47" s="8" t="s">
        <v>32</v>
      </c>
      <c r="E47" s="8">
        <v>6</v>
      </c>
      <c r="F47" s="8">
        <v>1026</v>
      </c>
      <c r="G47" s="8">
        <v>0</v>
      </c>
      <c r="H47" s="8">
        <v>2</v>
      </c>
    </row>
    <row r="48" spans="1:8">
      <c r="A48" s="8" t="s">
        <v>12</v>
      </c>
      <c r="B48" s="8" t="s">
        <v>61</v>
      </c>
      <c r="C48" s="8" t="s">
        <v>30</v>
      </c>
      <c r="D48" s="8" t="s">
        <v>32</v>
      </c>
      <c r="E48" s="8">
        <v>2</v>
      </c>
      <c r="F48" s="8">
        <v>3843</v>
      </c>
      <c r="G48" s="8">
        <v>0</v>
      </c>
      <c r="H48" s="8">
        <v>0</v>
      </c>
    </row>
    <row r="49" spans="1:8">
      <c r="A49" s="8" t="s">
        <v>13</v>
      </c>
      <c r="B49" s="8" t="s">
        <v>62</v>
      </c>
      <c r="C49" s="8" t="s">
        <v>30</v>
      </c>
      <c r="D49" s="8" t="s">
        <v>31</v>
      </c>
      <c r="E49" s="8">
        <v>2056</v>
      </c>
      <c r="F49" s="8">
        <v>766770</v>
      </c>
      <c r="G49" s="8">
        <v>103</v>
      </c>
      <c r="H49" s="8">
        <v>219</v>
      </c>
    </row>
    <row r="50" spans="1:8">
      <c r="A50" s="8" t="s">
        <v>13</v>
      </c>
      <c r="B50" s="8" t="s">
        <v>62</v>
      </c>
      <c r="C50" s="8" t="s">
        <v>30</v>
      </c>
      <c r="D50" s="8" t="s">
        <v>32</v>
      </c>
      <c r="E50" s="8">
        <v>63</v>
      </c>
      <c r="F50" s="8">
        <v>524266</v>
      </c>
      <c r="G50" s="8">
        <v>0</v>
      </c>
      <c r="H50" s="8">
        <v>13</v>
      </c>
    </row>
    <row r="51" spans="1:8">
      <c r="A51" s="8" t="s">
        <v>13</v>
      </c>
      <c r="B51" s="8" t="s">
        <v>63</v>
      </c>
      <c r="C51" s="8" t="s">
        <v>30</v>
      </c>
      <c r="D51" s="8" t="s">
        <v>31</v>
      </c>
      <c r="E51" s="8">
        <v>160</v>
      </c>
      <c r="F51" s="8">
        <v>203072</v>
      </c>
      <c r="G51" s="8">
        <v>1</v>
      </c>
      <c r="H51" s="8">
        <v>9</v>
      </c>
    </row>
    <row r="52" spans="1:8">
      <c r="A52" s="8" t="s">
        <v>13</v>
      </c>
      <c r="B52" s="8" t="s">
        <v>63</v>
      </c>
      <c r="C52" s="8" t="s">
        <v>30</v>
      </c>
      <c r="D52" s="8" t="s">
        <v>32</v>
      </c>
      <c r="E52" s="8">
        <v>107</v>
      </c>
      <c r="F52" s="8">
        <v>107000</v>
      </c>
      <c r="G52" s="8">
        <v>0</v>
      </c>
      <c r="H52" s="8">
        <v>32</v>
      </c>
    </row>
    <row r="53" spans="1:8">
      <c r="A53" s="8" t="s">
        <v>13</v>
      </c>
      <c r="B53" s="8" t="s">
        <v>64</v>
      </c>
      <c r="C53" s="8" t="s">
        <v>30</v>
      </c>
      <c r="D53" s="8" t="s">
        <v>31</v>
      </c>
      <c r="E53" s="8">
        <v>25</v>
      </c>
      <c r="F53" s="8">
        <v>91041</v>
      </c>
      <c r="G53" s="8">
        <v>0</v>
      </c>
      <c r="H53" s="8">
        <v>0</v>
      </c>
    </row>
    <row r="54" spans="1:8">
      <c r="A54" s="8" t="s">
        <v>13</v>
      </c>
      <c r="B54" s="8" t="s">
        <v>65</v>
      </c>
      <c r="C54" s="8" t="s">
        <v>30</v>
      </c>
      <c r="D54" s="8" t="s">
        <v>31</v>
      </c>
      <c r="E54" s="8">
        <v>8269</v>
      </c>
      <c r="F54" s="8">
        <v>58438817</v>
      </c>
      <c r="G54" s="8">
        <v>755</v>
      </c>
      <c r="H54" s="8">
        <v>5220</v>
      </c>
    </row>
    <row r="55" spans="1:8">
      <c r="A55" s="8" t="s">
        <v>13</v>
      </c>
      <c r="B55" s="8" t="s">
        <v>65</v>
      </c>
      <c r="C55" s="8" t="s">
        <v>30</v>
      </c>
      <c r="D55" s="8" t="s">
        <v>32</v>
      </c>
      <c r="E55" s="8">
        <v>83</v>
      </c>
      <c r="F55" s="8">
        <v>110907</v>
      </c>
      <c r="G55" s="8">
        <v>0</v>
      </c>
      <c r="H55" s="8">
        <v>34</v>
      </c>
    </row>
    <row r="56" spans="1:8">
      <c r="A56" s="8" t="s">
        <v>13</v>
      </c>
      <c r="B56" s="8" t="s">
        <v>66</v>
      </c>
      <c r="C56" s="8" t="s">
        <v>30</v>
      </c>
      <c r="D56" s="8" t="s">
        <v>31</v>
      </c>
      <c r="E56" s="8">
        <v>849</v>
      </c>
      <c r="F56" s="8">
        <v>9041301</v>
      </c>
      <c r="G56" s="8">
        <v>135</v>
      </c>
      <c r="H56" s="8">
        <v>208</v>
      </c>
    </row>
    <row r="57" spans="1:8">
      <c r="A57" s="8" t="s">
        <v>13</v>
      </c>
      <c r="B57" s="8" t="s">
        <v>66</v>
      </c>
      <c r="C57" s="8" t="s">
        <v>30</v>
      </c>
      <c r="D57" s="8" t="s">
        <v>32</v>
      </c>
      <c r="E57" s="8">
        <v>99</v>
      </c>
      <c r="F57" s="8">
        <v>9898</v>
      </c>
      <c r="G57" s="8">
        <v>0</v>
      </c>
      <c r="H57" s="8">
        <v>32</v>
      </c>
    </row>
    <row r="58" spans="1:8">
      <c r="A58" s="8" t="s">
        <v>13</v>
      </c>
      <c r="B58" s="8" t="s">
        <v>67</v>
      </c>
      <c r="C58" s="8" t="s">
        <v>30</v>
      </c>
      <c r="D58" s="8" t="s">
        <v>31</v>
      </c>
      <c r="E58" s="8">
        <v>15300</v>
      </c>
      <c r="F58" s="8">
        <v>3452297</v>
      </c>
      <c r="G58" s="8">
        <v>412</v>
      </c>
      <c r="H58" s="8">
        <v>2608</v>
      </c>
    </row>
    <row r="59" spans="1:8">
      <c r="A59" s="8" t="s">
        <v>13</v>
      </c>
      <c r="B59" s="8" t="s">
        <v>67</v>
      </c>
      <c r="C59" s="8" t="s">
        <v>30</v>
      </c>
      <c r="D59" s="8" t="s">
        <v>32</v>
      </c>
      <c r="E59" s="8">
        <v>2481</v>
      </c>
      <c r="F59" s="8">
        <v>11332</v>
      </c>
      <c r="G59" s="8">
        <v>0</v>
      </c>
      <c r="H59" s="8">
        <v>68</v>
      </c>
    </row>
    <row r="60" spans="1:8">
      <c r="A60" s="8" t="s">
        <v>13</v>
      </c>
      <c r="B60" s="8" t="s">
        <v>68</v>
      </c>
      <c r="C60" s="8" t="s">
        <v>30</v>
      </c>
      <c r="D60" s="8" t="s">
        <v>31</v>
      </c>
      <c r="E60" s="8">
        <v>230</v>
      </c>
      <c r="F60" s="8">
        <v>1011022</v>
      </c>
      <c r="G60" s="8">
        <v>21</v>
      </c>
      <c r="H60" s="8">
        <v>57</v>
      </c>
    </row>
    <row r="61" spans="1:8">
      <c r="A61" s="8" t="s">
        <v>13</v>
      </c>
      <c r="B61" s="8" t="s">
        <v>68</v>
      </c>
      <c r="C61" s="8" t="s">
        <v>30</v>
      </c>
      <c r="D61" s="8" t="s">
        <v>32</v>
      </c>
      <c r="E61" s="8">
        <v>4</v>
      </c>
      <c r="F61" s="8">
        <v>2169</v>
      </c>
      <c r="G61" s="8">
        <v>0</v>
      </c>
      <c r="H61" s="8">
        <v>1</v>
      </c>
    </row>
    <row r="62" spans="1:8">
      <c r="A62" s="8" t="s">
        <v>14</v>
      </c>
      <c r="B62" s="8" t="s">
        <v>69</v>
      </c>
      <c r="C62" s="8" t="s">
        <v>30</v>
      </c>
      <c r="D62" s="8" t="s">
        <v>31</v>
      </c>
      <c r="E62" s="8">
        <v>1623</v>
      </c>
      <c r="F62" s="8">
        <v>717206</v>
      </c>
      <c r="G62" s="8">
        <v>9</v>
      </c>
      <c r="H62" s="8">
        <v>50</v>
      </c>
    </row>
    <row r="63" spans="1:8">
      <c r="A63" s="8" t="s">
        <v>14</v>
      </c>
      <c r="B63" s="8" t="s">
        <v>69</v>
      </c>
      <c r="C63" s="8" t="s">
        <v>30</v>
      </c>
      <c r="D63" s="8" t="s">
        <v>32</v>
      </c>
      <c r="E63" s="8">
        <v>10</v>
      </c>
      <c r="F63" s="8">
        <v>12</v>
      </c>
      <c r="G63" s="8">
        <v>0</v>
      </c>
      <c r="H63" s="8">
        <v>1</v>
      </c>
    </row>
    <row r="64" spans="1:8">
      <c r="A64" s="8" t="s">
        <v>14</v>
      </c>
      <c r="B64" s="8" t="s">
        <v>70</v>
      </c>
      <c r="C64" s="8" t="s">
        <v>30</v>
      </c>
      <c r="D64" s="8" t="s">
        <v>31</v>
      </c>
      <c r="E64" s="8">
        <v>1067</v>
      </c>
      <c r="F64" s="8">
        <v>401395</v>
      </c>
      <c r="G64" s="8">
        <v>189</v>
      </c>
      <c r="H64" s="8">
        <v>221</v>
      </c>
    </row>
    <row r="65" spans="1:8">
      <c r="A65" s="8" t="s">
        <v>14</v>
      </c>
      <c r="B65" s="8" t="s">
        <v>70</v>
      </c>
      <c r="C65" s="8" t="s">
        <v>30</v>
      </c>
      <c r="D65" s="8" t="s">
        <v>32</v>
      </c>
      <c r="E65" s="8">
        <v>7</v>
      </c>
      <c r="F65" s="8">
        <v>328</v>
      </c>
      <c r="G65" s="8">
        <v>0</v>
      </c>
      <c r="H65" s="8">
        <v>0</v>
      </c>
    </row>
    <row r="66" spans="1:8">
      <c r="A66" s="8" t="s">
        <v>14</v>
      </c>
      <c r="B66" s="8" t="s">
        <v>71</v>
      </c>
      <c r="C66" s="8" t="s">
        <v>30</v>
      </c>
      <c r="D66" s="8" t="s">
        <v>32</v>
      </c>
      <c r="E66" s="8">
        <v>2</v>
      </c>
      <c r="F66" s="8">
        <v>15</v>
      </c>
      <c r="G66" s="8">
        <v>0</v>
      </c>
      <c r="H66" s="8">
        <v>0</v>
      </c>
    </row>
    <row r="67" spans="1:8">
      <c r="A67" s="8" t="s">
        <v>14</v>
      </c>
      <c r="B67" s="8" t="s">
        <v>72</v>
      </c>
      <c r="C67" s="8" t="s">
        <v>30</v>
      </c>
      <c r="D67" s="8" t="s">
        <v>31</v>
      </c>
      <c r="E67" s="8">
        <v>239</v>
      </c>
      <c r="F67" s="8">
        <v>147415</v>
      </c>
      <c r="G67" s="8">
        <v>0</v>
      </c>
      <c r="H67" s="8">
        <v>0</v>
      </c>
    </row>
    <row r="68" spans="1:8">
      <c r="A68" s="8" t="s">
        <v>14</v>
      </c>
      <c r="B68" s="8" t="s">
        <v>73</v>
      </c>
      <c r="C68" s="8" t="s">
        <v>30</v>
      </c>
      <c r="D68" s="8" t="s">
        <v>31</v>
      </c>
      <c r="E68" s="8">
        <v>67</v>
      </c>
      <c r="F68" s="8">
        <v>15901</v>
      </c>
      <c r="G68" s="8">
        <v>4</v>
      </c>
      <c r="H68" s="8">
        <v>4</v>
      </c>
    </row>
    <row r="69" spans="1:8">
      <c r="A69" s="8" t="s">
        <v>14</v>
      </c>
      <c r="B69" s="8" t="s">
        <v>73</v>
      </c>
      <c r="C69" s="8" t="s">
        <v>30</v>
      </c>
      <c r="D69" s="8" t="s">
        <v>32</v>
      </c>
      <c r="E69" s="8">
        <v>4</v>
      </c>
      <c r="F69" s="8">
        <v>2</v>
      </c>
      <c r="G69" s="8">
        <v>0</v>
      </c>
      <c r="H69" s="8">
        <v>0</v>
      </c>
    </row>
    <row r="70" spans="1:8">
      <c r="A70" s="8" t="s">
        <v>14</v>
      </c>
      <c r="B70" s="8" t="s">
        <v>74</v>
      </c>
      <c r="C70" s="8" t="s">
        <v>30</v>
      </c>
      <c r="D70" s="8" t="s">
        <v>32</v>
      </c>
      <c r="E70" s="8">
        <v>4</v>
      </c>
      <c r="F70" s="8">
        <v>447</v>
      </c>
      <c r="G70" s="8">
        <v>0</v>
      </c>
      <c r="H70" s="8">
        <v>0</v>
      </c>
    </row>
    <row r="71" spans="1:8">
      <c r="A71" s="8" t="s">
        <v>14</v>
      </c>
      <c r="B71" s="8" t="s">
        <v>75</v>
      </c>
      <c r="C71" s="8" t="s">
        <v>30</v>
      </c>
      <c r="D71" s="8" t="s">
        <v>31</v>
      </c>
      <c r="E71" s="8">
        <v>10</v>
      </c>
      <c r="F71" s="8">
        <v>1195</v>
      </c>
      <c r="G71" s="8">
        <v>0</v>
      </c>
      <c r="H71" s="8">
        <v>0</v>
      </c>
    </row>
    <row r="72" spans="1:8">
      <c r="A72" s="8" t="s">
        <v>14</v>
      </c>
      <c r="B72" s="8" t="s">
        <v>75</v>
      </c>
      <c r="C72" s="8" t="s">
        <v>30</v>
      </c>
      <c r="D72" s="8" t="s">
        <v>32</v>
      </c>
      <c r="E72" s="8">
        <v>10</v>
      </c>
      <c r="F72" s="8">
        <v>48</v>
      </c>
      <c r="G72" s="8">
        <v>0</v>
      </c>
      <c r="H72" s="8">
        <v>0</v>
      </c>
    </row>
    <row r="73" spans="1:8">
      <c r="A73" s="8" t="s">
        <v>14</v>
      </c>
      <c r="B73" s="8" t="s">
        <v>76</v>
      </c>
      <c r="C73" s="8" t="s">
        <v>30</v>
      </c>
      <c r="D73" s="8" t="s">
        <v>31</v>
      </c>
      <c r="E73" s="8">
        <v>535</v>
      </c>
      <c r="F73" s="8">
        <v>468431</v>
      </c>
      <c r="G73" s="8">
        <v>128</v>
      </c>
      <c r="H73" s="8">
        <v>131</v>
      </c>
    </row>
    <row r="74" spans="1:8">
      <c r="A74" s="8" t="s">
        <v>14</v>
      </c>
      <c r="B74" s="8" t="s">
        <v>76</v>
      </c>
      <c r="C74" s="8" t="s">
        <v>30</v>
      </c>
      <c r="D74" s="8" t="s">
        <v>32</v>
      </c>
      <c r="E74" s="8">
        <v>6</v>
      </c>
      <c r="F74" s="8">
        <v>522</v>
      </c>
      <c r="G74" s="8">
        <v>0</v>
      </c>
      <c r="H74" s="8">
        <v>0</v>
      </c>
    </row>
    <row r="75" spans="1:8">
      <c r="A75" s="8" t="s">
        <v>14</v>
      </c>
      <c r="B75" s="8" t="s">
        <v>77</v>
      </c>
      <c r="C75" s="8" t="s">
        <v>30</v>
      </c>
      <c r="D75" s="8" t="s">
        <v>31</v>
      </c>
      <c r="E75" s="8">
        <v>3</v>
      </c>
      <c r="F75" s="8">
        <v>8</v>
      </c>
      <c r="G75" s="8">
        <v>0</v>
      </c>
      <c r="H75" s="8">
        <v>0</v>
      </c>
    </row>
    <row r="76" spans="1:8">
      <c r="A76" s="8" t="s">
        <v>14</v>
      </c>
      <c r="B76" s="8" t="s">
        <v>77</v>
      </c>
      <c r="C76" s="8" t="s">
        <v>30</v>
      </c>
      <c r="D76" s="8" t="s">
        <v>32</v>
      </c>
      <c r="E76" s="8">
        <v>5</v>
      </c>
      <c r="F76" s="8">
        <v>4</v>
      </c>
      <c r="G76" s="8">
        <v>0</v>
      </c>
      <c r="H76" s="8">
        <v>0</v>
      </c>
    </row>
    <row r="77" spans="1:8">
      <c r="A77" s="8" t="s">
        <v>15</v>
      </c>
      <c r="B77" s="8" t="s">
        <v>78</v>
      </c>
      <c r="C77" s="8" t="s">
        <v>30</v>
      </c>
      <c r="D77" s="8" t="s">
        <v>31</v>
      </c>
      <c r="E77" s="8">
        <v>64</v>
      </c>
      <c r="F77" s="8">
        <v>287647</v>
      </c>
      <c r="G77" s="8">
        <v>0</v>
      </c>
      <c r="H77" s="8">
        <v>27</v>
      </c>
    </row>
    <row r="78" spans="1:8">
      <c r="A78" s="8" t="s">
        <v>15</v>
      </c>
      <c r="B78" s="8" t="s">
        <v>78</v>
      </c>
      <c r="C78" s="8" t="s">
        <v>30</v>
      </c>
      <c r="D78" s="8" t="s">
        <v>32</v>
      </c>
      <c r="E78" s="8">
        <v>7</v>
      </c>
      <c r="F78" s="8">
        <v>11632</v>
      </c>
      <c r="G78" s="8">
        <v>0</v>
      </c>
      <c r="H78" s="8">
        <v>1</v>
      </c>
    </row>
    <row r="79" spans="1:8">
      <c r="A79" s="8" t="s">
        <v>15</v>
      </c>
      <c r="B79" s="8" t="s">
        <v>79</v>
      </c>
      <c r="C79" s="8" t="s">
        <v>30</v>
      </c>
      <c r="D79" s="8" t="s">
        <v>31</v>
      </c>
      <c r="E79" s="8">
        <v>299</v>
      </c>
      <c r="F79" s="8">
        <v>585724</v>
      </c>
      <c r="G79" s="8">
        <v>19</v>
      </c>
      <c r="H79" s="8">
        <v>52</v>
      </c>
    </row>
    <row r="80" spans="1:8">
      <c r="A80" s="8" t="s">
        <v>15</v>
      </c>
      <c r="B80" s="8" t="s">
        <v>79</v>
      </c>
      <c r="C80" s="8" t="s">
        <v>30</v>
      </c>
      <c r="D80" s="8" t="s">
        <v>32</v>
      </c>
      <c r="E80" s="8">
        <v>250</v>
      </c>
      <c r="F80" s="8">
        <v>381110</v>
      </c>
      <c r="G80" s="8">
        <v>0</v>
      </c>
      <c r="H80" s="8">
        <v>76</v>
      </c>
    </row>
    <row r="81" spans="1:8">
      <c r="A81" s="8" t="s">
        <v>15</v>
      </c>
      <c r="B81" s="8" t="s">
        <v>80</v>
      </c>
      <c r="C81" s="8" t="s">
        <v>30</v>
      </c>
      <c r="D81" s="8" t="s">
        <v>32</v>
      </c>
      <c r="E81" s="8">
        <v>2</v>
      </c>
      <c r="F81" s="8">
        <v>11136</v>
      </c>
      <c r="G81" s="8">
        <v>0</v>
      </c>
      <c r="H81" s="8">
        <v>1</v>
      </c>
    </row>
    <row r="82" spans="1:8">
      <c r="A82" s="8" t="s">
        <v>15</v>
      </c>
      <c r="B82" s="8" t="s">
        <v>81</v>
      </c>
      <c r="C82" s="8" t="s">
        <v>30</v>
      </c>
      <c r="D82" s="8" t="s">
        <v>32</v>
      </c>
      <c r="E82" s="8">
        <v>4</v>
      </c>
      <c r="F82" s="8">
        <v>48887</v>
      </c>
      <c r="G82" s="8">
        <v>0</v>
      </c>
      <c r="H82" s="8">
        <v>0</v>
      </c>
    </row>
    <row r="83" spans="1:8">
      <c r="A83" s="8" t="s">
        <v>15</v>
      </c>
      <c r="B83" s="8" t="s">
        <v>82</v>
      </c>
      <c r="C83" s="8" t="s">
        <v>30</v>
      </c>
      <c r="D83" s="8" t="s">
        <v>32</v>
      </c>
      <c r="E83" s="8">
        <v>32</v>
      </c>
      <c r="F83" s="8">
        <v>49780</v>
      </c>
      <c r="G83" s="8">
        <v>0</v>
      </c>
      <c r="H83" s="8">
        <v>12</v>
      </c>
    </row>
    <row r="84" spans="1:8">
      <c r="A84" s="8" t="s">
        <v>15</v>
      </c>
      <c r="B84" s="8" t="s">
        <v>83</v>
      </c>
      <c r="C84" s="8" t="s">
        <v>30</v>
      </c>
      <c r="D84" s="8" t="s">
        <v>31</v>
      </c>
      <c r="E84" s="8">
        <v>217</v>
      </c>
      <c r="F84" s="8">
        <v>366997</v>
      </c>
      <c r="G84" s="8">
        <v>14</v>
      </c>
      <c r="H84" s="8">
        <v>12</v>
      </c>
    </row>
    <row r="85" spans="1:8">
      <c r="A85" s="8" t="s">
        <v>15</v>
      </c>
      <c r="B85" s="8" t="s">
        <v>83</v>
      </c>
      <c r="C85" s="8" t="s">
        <v>30</v>
      </c>
      <c r="D85" s="8" t="s">
        <v>32</v>
      </c>
      <c r="E85" s="8">
        <v>6</v>
      </c>
      <c r="F85" s="8">
        <v>215472</v>
      </c>
      <c r="G85" s="8">
        <v>0</v>
      </c>
      <c r="H85" s="8">
        <v>1</v>
      </c>
    </row>
    <row r="86" spans="1:8">
      <c r="A86" s="8" t="s">
        <v>15</v>
      </c>
      <c r="B86" s="8" t="s">
        <v>84</v>
      </c>
      <c r="C86" s="8" t="s">
        <v>30</v>
      </c>
      <c r="D86" s="8" t="s">
        <v>31</v>
      </c>
      <c r="E86" s="8">
        <v>12</v>
      </c>
      <c r="F86" s="8">
        <v>7308</v>
      </c>
      <c r="G86" s="8">
        <v>1</v>
      </c>
      <c r="H86" s="8">
        <v>1</v>
      </c>
    </row>
    <row r="87" spans="1:8">
      <c r="A87" s="8" t="s">
        <v>15</v>
      </c>
      <c r="B87" s="8" t="s">
        <v>84</v>
      </c>
      <c r="C87" s="8" t="s">
        <v>30</v>
      </c>
      <c r="D87" s="8" t="s">
        <v>32</v>
      </c>
      <c r="E87" s="8">
        <v>6</v>
      </c>
      <c r="F87" s="8">
        <v>0</v>
      </c>
      <c r="G87" s="8">
        <v>0</v>
      </c>
      <c r="H87" s="8">
        <v>0</v>
      </c>
    </row>
    <row r="88" spans="1:8">
      <c r="A88" s="8" t="s">
        <v>15</v>
      </c>
      <c r="B88" s="8" t="s">
        <v>85</v>
      </c>
      <c r="C88" s="8" t="s">
        <v>30</v>
      </c>
      <c r="D88" s="8" t="s">
        <v>31</v>
      </c>
      <c r="E88" s="8">
        <v>5</v>
      </c>
      <c r="F88" s="8">
        <v>10883</v>
      </c>
      <c r="G88" s="8">
        <v>0</v>
      </c>
      <c r="H88" s="8">
        <v>4</v>
      </c>
    </row>
    <row r="89" spans="1:8">
      <c r="A89" s="8" t="s">
        <v>15</v>
      </c>
      <c r="B89" s="8" t="s">
        <v>85</v>
      </c>
      <c r="C89" s="8" t="s">
        <v>30</v>
      </c>
      <c r="D89" s="8" t="s">
        <v>32</v>
      </c>
      <c r="E89" s="8">
        <v>2</v>
      </c>
      <c r="F89" s="8">
        <v>145</v>
      </c>
      <c r="G89" s="8">
        <v>0</v>
      </c>
      <c r="H89" s="8">
        <v>0</v>
      </c>
    </row>
    <row r="90" spans="1:8">
      <c r="A90" s="8" t="s">
        <v>15</v>
      </c>
      <c r="B90" s="8" t="s">
        <v>86</v>
      </c>
      <c r="C90" s="8" t="s">
        <v>30</v>
      </c>
      <c r="D90" s="8" t="s">
        <v>31</v>
      </c>
      <c r="E90" s="8">
        <v>27</v>
      </c>
      <c r="F90" s="8">
        <v>3662</v>
      </c>
      <c r="G90" s="8">
        <v>0</v>
      </c>
      <c r="H90" s="8">
        <v>2</v>
      </c>
    </row>
    <row r="91" spans="1:8">
      <c r="A91" s="8" t="s">
        <v>15</v>
      </c>
      <c r="B91" s="8" t="s">
        <v>86</v>
      </c>
      <c r="C91" s="8" t="s">
        <v>30</v>
      </c>
      <c r="D91" s="8" t="s">
        <v>32</v>
      </c>
      <c r="E91" s="8">
        <v>54</v>
      </c>
      <c r="F91" s="8">
        <v>54131</v>
      </c>
      <c r="G91" s="8">
        <v>0</v>
      </c>
      <c r="H91" s="8">
        <v>27</v>
      </c>
    </row>
    <row r="92" spans="1:8">
      <c r="A92" s="8" t="s">
        <v>15</v>
      </c>
      <c r="B92" s="8" t="s">
        <v>87</v>
      </c>
      <c r="C92" s="8" t="s">
        <v>30</v>
      </c>
      <c r="D92" s="8" t="s">
        <v>31</v>
      </c>
      <c r="E92" s="8">
        <v>3100</v>
      </c>
      <c r="F92" s="8">
        <v>18462474</v>
      </c>
      <c r="G92" s="8">
        <v>129</v>
      </c>
      <c r="H92" s="8">
        <v>190</v>
      </c>
    </row>
    <row r="93" spans="1:8">
      <c r="A93" s="8" t="s">
        <v>15</v>
      </c>
      <c r="B93" s="8" t="s">
        <v>87</v>
      </c>
      <c r="C93" s="8" t="s">
        <v>30</v>
      </c>
      <c r="D93" s="8" t="s">
        <v>32</v>
      </c>
      <c r="E93" s="8">
        <v>251</v>
      </c>
      <c r="F93" s="8">
        <v>186991</v>
      </c>
      <c r="G93" s="8">
        <v>0</v>
      </c>
      <c r="H93" s="8">
        <v>103</v>
      </c>
    </row>
    <row r="94" spans="1:8">
      <c r="A94" s="8" t="s">
        <v>15</v>
      </c>
      <c r="B94" s="8" t="s">
        <v>88</v>
      </c>
      <c r="C94" s="8" t="s">
        <v>30</v>
      </c>
      <c r="D94" s="8" t="s">
        <v>31</v>
      </c>
      <c r="E94" s="8">
        <v>457</v>
      </c>
      <c r="F94" s="8">
        <v>652871</v>
      </c>
      <c r="G94" s="8">
        <v>11</v>
      </c>
      <c r="H94" s="8">
        <v>13</v>
      </c>
    </row>
    <row r="95" spans="1:8">
      <c r="A95" s="8" t="s">
        <v>15</v>
      </c>
      <c r="B95" s="8" t="s">
        <v>88</v>
      </c>
      <c r="C95" s="8" t="s">
        <v>30</v>
      </c>
      <c r="D95" s="8" t="s">
        <v>32</v>
      </c>
      <c r="E95" s="8">
        <v>32</v>
      </c>
      <c r="F95" s="8">
        <v>110587</v>
      </c>
      <c r="G95" s="8">
        <v>0</v>
      </c>
      <c r="H95" s="8">
        <v>1</v>
      </c>
    </row>
    <row r="96" spans="1:8">
      <c r="A96" s="8" t="s">
        <v>15</v>
      </c>
      <c r="B96" s="8" t="s">
        <v>89</v>
      </c>
      <c r="C96" s="8" t="s">
        <v>30</v>
      </c>
      <c r="D96" s="8" t="s">
        <v>31</v>
      </c>
      <c r="E96" s="8">
        <v>4</v>
      </c>
      <c r="F96" s="8">
        <v>63246</v>
      </c>
      <c r="G96" s="8">
        <v>0</v>
      </c>
      <c r="H96" s="8">
        <v>1</v>
      </c>
    </row>
    <row r="97" spans="1:8">
      <c r="A97" s="8" t="s">
        <v>15</v>
      </c>
      <c r="B97" s="8" t="s">
        <v>89</v>
      </c>
      <c r="C97" s="8" t="s">
        <v>30</v>
      </c>
      <c r="D97" s="8" t="s">
        <v>32</v>
      </c>
      <c r="E97" s="8">
        <v>8</v>
      </c>
      <c r="F97" s="8">
        <v>4127</v>
      </c>
      <c r="G97" s="8">
        <v>0</v>
      </c>
      <c r="H97" s="8">
        <v>2</v>
      </c>
    </row>
    <row r="98" spans="1:8">
      <c r="A98" s="8" t="s">
        <v>15</v>
      </c>
      <c r="B98" s="8" t="s">
        <v>90</v>
      </c>
      <c r="C98" s="8" t="s">
        <v>30</v>
      </c>
      <c r="D98" s="8" t="s">
        <v>31</v>
      </c>
      <c r="E98" s="8">
        <v>14</v>
      </c>
      <c r="F98" s="8">
        <v>33356</v>
      </c>
      <c r="G98" s="8">
        <v>0</v>
      </c>
      <c r="H98" s="8">
        <v>2</v>
      </c>
    </row>
    <row r="99" spans="1:8">
      <c r="A99" s="8" t="s">
        <v>15</v>
      </c>
      <c r="B99" s="8" t="s">
        <v>90</v>
      </c>
      <c r="C99" s="8" t="s">
        <v>30</v>
      </c>
      <c r="D99" s="8" t="s">
        <v>32</v>
      </c>
      <c r="E99" s="8">
        <v>2</v>
      </c>
      <c r="F99" s="8">
        <v>5873</v>
      </c>
      <c r="G99" s="8">
        <v>0</v>
      </c>
      <c r="H99" s="8">
        <v>1</v>
      </c>
    </row>
    <row r="100" spans="1:8">
      <c r="A100" s="8" t="s">
        <v>15</v>
      </c>
      <c r="B100" s="8" t="s">
        <v>91</v>
      </c>
      <c r="C100" s="8" t="s">
        <v>30</v>
      </c>
      <c r="D100" s="8" t="s">
        <v>31</v>
      </c>
      <c r="E100" s="8">
        <v>73</v>
      </c>
      <c r="F100" s="8">
        <v>27177</v>
      </c>
      <c r="G100" s="8">
        <v>0</v>
      </c>
      <c r="H100" s="8">
        <v>0</v>
      </c>
    </row>
    <row r="101" spans="1:8">
      <c r="A101" s="8" t="s">
        <v>16</v>
      </c>
      <c r="B101" s="8" t="s">
        <v>92</v>
      </c>
      <c r="C101" s="8" t="s">
        <v>30</v>
      </c>
      <c r="D101" s="8" t="s">
        <v>31</v>
      </c>
      <c r="E101" s="8">
        <v>4340</v>
      </c>
      <c r="F101" s="8">
        <v>2769223</v>
      </c>
      <c r="G101" s="8">
        <v>56</v>
      </c>
      <c r="H101" s="8">
        <v>80</v>
      </c>
    </row>
    <row r="102" spans="1:8">
      <c r="A102" s="8" t="s">
        <v>16</v>
      </c>
      <c r="B102" s="8" t="s">
        <v>92</v>
      </c>
      <c r="C102" s="8" t="s">
        <v>30</v>
      </c>
      <c r="D102" s="8" t="s">
        <v>32</v>
      </c>
      <c r="E102" s="8">
        <v>270</v>
      </c>
      <c r="F102" s="8">
        <v>14624</v>
      </c>
      <c r="G102" s="8">
        <v>0</v>
      </c>
      <c r="H102" s="8">
        <v>26</v>
      </c>
    </row>
    <row r="103" spans="1:8">
      <c r="A103" s="8" t="s">
        <v>16</v>
      </c>
      <c r="B103" s="8" t="s">
        <v>93</v>
      </c>
      <c r="C103" s="8" t="s">
        <v>30</v>
      </c>
      <c r="D103" s="8" t="s">
        <v>31</v>
      </c>
      <c r="E103" s="8">
        <v>14</v>
      </c>
      <c r="F103" s="8">
        <v>7414</v>
      </c>
      <c r="G103" s="8">
        <v>0</v>
      </c>
      <c r="H103" s="8">
        <v>0</v>
      </c>
    </row>
    <row r="104" spans="1:8">
      <c r="A104" s="8" t="s">
        <v>16</v>
      </c>
      <c r="B104" s="8" t="s">
        <v>93</v>
      </c>
      <c r="C104" s="8" t="s">
        <v>30</v>
      </c>
      <c r="D104" s="8" t="s">
        <v>32</v>
      </c>
      <c r="E104" s="8">
        <v>20</v>
      </c>
      <c r="F104" s="8">
        <v>1704</v>
      </c>
      <c r="G104" s="8">
        <v>0</v>
      </c>
      <c r="H104" s="8">
        <v>4</v>
      </c>
    </row>
    <row r="105" spans="1:8">
      <c r="A105" s="8" t="s">
        <v>16</v>
      </c>
      <c r="B105" s="8" t="s">
        <v>94</v>
      </c>
      <c r="C105" s="8" t="s">
        <v>30</v>
      </c>
      <c r="D105" s="8" t="s">
        <v>31</v>
      </c>
      <c r="E105" s="8">
        <v>189</v>
      </c>
      <c r="F105" s="8">
        <v>972273</v>
      </c>
      <c r="G105" s="8">
        <v>3</v>
      </c>
      <c r="H105" s="8">
        <v>3</v>
      </c>
    </row>
    <row r="106" spans="1:8">
      <c r="A106" s="8" t="s">
        <v>16</v>
      </c>
      <c r="B106" s="8" t="s">
        <v>94</v>
      </c>
      <c r="C106" s="8" t="s">
        <v>30</v>
      </c>
      <c r="D106" s="8" t="s">
        <v>32</v>
      </c>
      <c r="E106" s="8">
        <v>98</v>
      </c>
      <c r="F106" s="8">
        <v>304797</v>
      </c>
      <c r="G106" s="8">
        <v>0</v>
      </c>
      <c r="H106" s="8">
        <v>9</v>
      </c>
    </row>
    <row r="107" spans="1:8">
      <c r="A107" s="8" t="s">
        <v>16</v>
      </c>
      <c r="B107" s="8" t="s">
        <v>95</v>
      </c>
      <c r="C107" s="8" t="s">
        <v>30</v>
      </c>
      <c r="D107" s="8" t="s">
        <v>31</v>
      </c>
      <c r="E107" s="8">
        <v>3322</v>
      </c>
      <c r="F107" s="8">
        <v>3245233</v>
      </c>
      <c r="G107" s="8">
        <v>162</v>
      </c>
      <c r="H107" s="8">
        <v>567</v>
      </c>
    </row>
    <row r="108" spans="1:8">
      <c r="A108" s="8" t="s">
        <v>16</v>
      </c>
      <c r="B108" s="8" t="s">
        <v>95</v>
      </c>
      <c r="C108" s="8" t="s">
        <v>30</v>
      </c>
      <c r="D108" s="8" t="s">
        <v>32</v>
      </c>
      <c r="E108" s="8">
        <v>7</v>
      </c>
      <c r="F108" s="8">
        <v>19086</v>
      </c>
      <c r="G108" s="8">
        <v>0</v>
      </c>
      <c r="H108" s="8">
        <v>0</v>
      </c>
    </row>
    <row r="109" spans="1:8">
      <c r="A109" s="8" t="s">
        <v>16</v>
      </c>
      <c r="B109" s="8" t="s">
        <v>96</v>
      </c>
      <c r="C109" s="8" t="s">
        <v>30</v>
      </c>
      <c r="D109" s="8" t="s">
        <v>31</v>
      </c>
      <c r="E109" s="8">
        <v>188</v>
      </c>
      <c r="F109" s="8">
        <v>102016</v>
      </c>
      <c r="G109" s="8">
        <v>0</v>
      </c>
      <c r="H109" s="8">
        <v>0</v>
      </c>
    </row>
    <row r="110" spans="1:8">
      <c r="A110" s="8" t="s">
        <v>16</v>
      </c>
      <c r="B110" s="8" t="s">
        <v>96</v>
      </c>
      <c r="C110" s="8" t="s">
        <v>30</v>
      </c>
      <c r="D110" s="8" t="s">
        <v>32</v>
      </c>
      <c r="E110" s="8">
        <v>62</v>
      </c>
      <c r="F110" s="8">
        <v>46715</v>
      </c>
      <c r="G110" s="8">
        <v>0</v>
      </c>
      <c r="H110" s="8">
        <v>5</v>
      </c>
    </row>
    <row r="111" spans="1:8">
      <c r="A111" s="8" t="s">
        <v>16</v>
      </c>
      <c r="B111" s="8" t="s">
        <v>97</v>
      </c>
      <c r="C111" s="8" t="s">
        <v>30</v>
      </c>
      <c r="D111" s="8" t="s">
        <v>31</v>
      </c>
      <c r="E111" s="8">
        <v>62</v>
      </c>
      <c r="F111" s="8">
        <v>41235</v>
      </c>
      <c r="G111" s="8">
        <v>0</v>
      </c>
      <c r="H111" s="8">
        <v>1</v>
      </c>
    </row>
    <row r="112" spans="1:8">
      <c r="A112" s="8" t="s">
        <v>16</v>
      </c>
      <c r="B112" s="8" t="s">
        <v>97</v>
      </c>
      <c r="C112" s="8" t="s">
        <v>30</v>
      </c>
      <c r="D112" s="8" t="s">
        <v>32</v>
      </c>
      <c r="E112" s="8">
        <v>22</v>
      </c>
      <c r="F112" s="8">
        <v>21440</v>
      </c>
      <c r="G112" s="8">
        <v>0</v>
      </c>
      <c r="H112" s="8">
        <v>3</v>
      </c>
    </row>
    <row r="113" spans="1:8">
      <c r="A113" s="8" t="s">
        <v>16</v>
      </c>
      <c r="B113" s="8" t="s">
        <v>98</v>
      </c>
      <c r="C113" s="8" t="s">
        <v>30</v>
      </c>
      <c r="D113" s="8" t="s">
        <v>31</v>
      </c>
      <c r="E113" s="8">
        <v>775</v>
      </c>
      <c r="F113" s="8">
        <v>124961</v>
      </c>
      <c r="G113" s="8">
        <v>12</v>
      </c>
      <c r="H113" s="8">
        <v>19</v>
      </c>
    </row>
    <row r="114" spans="1:8">
      <c r="A114" s="8" t="s">
        <v>16</v>
      </c>
      <c r="B114" s="8" t="s">
        <v>98</v>
      </c>
      <c r="C114" s="8" t="s">
        <v>30</v>
      </c>
      <c r="D114" s="8" t="s">
        <v>32</v>
      </c>
      <c r="E114" s="8">
        <v>5</v>
      </c>
      <c r="F114" s="8">
        <v>2</v>
      </c>
      <c r="G114" s="8">
        <v>0</v>
      </c>
      <c r="H114" s="8">
        <v>0</v>
      </c>
    </row>
    <row r="115" spans="1:8">
      <c r="A115" s="8" t="s">
        <v>17</v>
      </c>
      <c r="B115" s="8" t="s">
        <v>99</v>
      </c>
      <c r="C115" s="8" t="s">
        <v>30</v>
      </c>
      <c r="D115" s="8" t="s">
        <v>31</v>
      </c>
      <c r="E115" s="8">
        <v>9704</v>
      </c>
      <c r="F115" s="8">
        <v>3061393</v>
      </c>
      <c r="G115" s="8">
        <v>178</v>
      </c>
      <c r="H115" s="8">
        <v>362</v>
      </c>
    </row>
    <row r="116" spans="1:8">
      <c r="A116" s="8" t="s">
        <v>17</v>
      </c>
      <c r="B116" s="8" t="s">
        <v>99</v>
      </c>
      <c r="C116" s="8" t="s">
        <v>30</v>
      </c>
      <c r="D116" s="8" t="s">
        <v>32</v>
      </c>
      <c r="E116" s="8">
        <v>61</v>
      </c>
      <c r="F116" s="8">
        <v>28131</v>
      </c>
      <c r="G116" s="8">
        <v>0</v>
      </c>
      <c r="H116" s="8">
        <v>17</v>
      </c>
    </row>
    <row r="117" spans="1:8">
      <c r="A117" s="8" t="s">
        <v>18</v>
      </c>
      <c r="B117" s="8" t="s">
        <v>100</v>
      </c>
      <c r="C117" s="8" t="s">
        <v>30</v>
      </c>
      <c r="D117" s="8" t="s">
        <v>31</v>
      </c>
      <c r="E117" s="8">
        <v>4</v>
      </c>
      <c r="F117" s="8">
        <v>1668</v>
      </c>
      <c r="G117" s="8">
        <v>0</v>
      </c>
      <c r="H117" s="8">
        <v>0</v>
      </c>
    </row>
    <row r="118" spans="1:8">
      <c r="A118" s="8" t="s">
        <v>18</v>
      </c>
      <c r="B118" s="8" t="s">
        <v>101</v>
      </c>
      <c r="C118" s="8" t="s">
        <v>30</v>
      </c>
      <c r="D118" s="8" t="s">
        <v>32</v>
      </c>
      <c r="E118" s="8">
        <v>2</v>
      </c>
      <c r="F118" s="8">
        <v>1</v>
      </c>
      <c r="G118" s="8">
        <v>0</v>
      </c>
      <c r="H118" s="8">
        <v>0</v>
      </c>
    </row>
    <row r="119" spans="1:8">
      <c r="A119" s="8" t="s">
        <v>18</v>
      </c>
      <c r="B119" s="8" t="s">
        <v>102</v>
      </c>
      <c r="C119" s="8" t="s">
        <v>30</v>
      </c>
      <c r="D119" s="8" t="s">
        <v>32</v>
      </c>
      <c r="E119" s="8">
        <v>4</v>
      </c>
      <c r="F119" s="8">
        <v>44</v>
      </c>
      <c r="G119" s="8">
        <v>0</v>
      </c>
      <c r="H119" s="8">
        <v>1</v>
      </c>
    </row>
    <row r="120" spans="1:8">
      <c r="A120" s="8" t="s">
        <v>18</v>
      </c>
      <c r="B120" s="8" t="s">
        <v>103</v>
      </c>
      <c r="C120" s="8" t="s">
        <v>30</v>
      </c>
      <c r="D120" s="8" t="s">
        <v>31</v>
      </c>
      <c r="E120" s="8">
        <v>2648</v>
      </c>
      <c r="F120" s="8">
        <v>1342493</v>
      </c>
      <c r="G120" s="8">
        <v>11</v>
      </c>
      <c r="H120" s="8">
        <v>19</v>
      </c>
    </row>
    <row r="121" spans="1:8">
      <c r="A121" s="8" t="s">
        <v>18</v>
      </c>
      <c r="B121" s="8" t="s">
        <v>103</v>
      </c>
      <c r="C121" s="8" t="s">
        <v>30</v>
      </c>
      <c r="D121" s="8" t="s">
        <v>32</v>
      </c>
      <c r="E121" s="8">
        <v>65</v>
      </c>
      <c r="F121" s="8">
        <v>9</v>
      </c>
      <c r="G121" s="8">
        <v>0</v>
      </c>
      <c r="H121" s="8">
        <v>0</v>
      </c>
    </row>
    <row r="122" spans="1:8">
      <c r="A122" s="8" t="s">
        <v>18</v>
      </c>
      <c r="B122" s="8" t="s">
        <v>104</v>
      </c>
      <c r="C122" s="8" t="s">
        <v>30</v>
      </c>
      <c r="D122" s="8" t="s">
        <v>31</v>
      </c>
      <c r="E122" s="8">
        <v>7</v>
      </c>
      <c r="F122" s="8">
        <v>24</v>
      </c>
      <c r="G122" s="8">
        <v>0</v>
      </c>
      <c r="H122" s="8">
        <v>4</v>
      </c>
    </row>
    <row r="123" spans="1:8">
      <c r="A123" s="8" t="s">
        <v>18</v>
      </c>
      <c r="B123" s="8" t="s">
        <v>104</v>
      </c>
      <c r="C123" s="8" t="s">
        <v>30</v>
      </c>
      <c r="D123" s="8" t="s">
        <v>32</v>
      </c>
      <c r="E123" s="8">
        <v>2</v>
      </c>
      <c r="F123" s="8">
        <v>960</v>
      </c>
      <c r="G123" s="8">
        <v>0</v>
      </c>
      <c r="H123" s="8">
        <v>2</v>
      </c>
    </row>
    <row r="124" spans="1:8">
      <c r="A124" s="8" t="s">
        <v>18</v>
      </c>
      <c r="B124" s="8" t="s">
        <v>105</v>
      </c>
      <c r="C124" s="8" t="s">
        <v>30</v>
      </c>
      <c r="D124" s="8" t="s">
        <v>31</v>
      </c>
      <c r="E124" s="8">
        <v>9128</v>
      </c>
      <c r="F124" s="8">
        <v>2070555</v>
      </c>
      <c r="G124" s="8">
        <v>73</v>
      </c>
      <c r="H124" s="8">
        <v>109</v>
      </c>
    </row>
    <row r="125" spans="1:8">
      <c r="A125" s="8" t="s">
        <v>18</v>
      </c>
      <c r="B125" s="8" t="s">
        <v>105</v>
      </c>
      <c r="C125" s="8" t="s">
        <v>30</v>
      </c>
      <c r="D125" s="8" t="s">
        <v>32</v>
      </c>
      <c r="E125" s="8">
        <v>106</v>
      </c>
      <c r="F125" s="8">
        <v>6</v>
      </c>
      <c r="G125" s="8">
        <v>0</v>
      </c>
      <c r="H125" s="8">
        <v>2</v>
      </c>
    </row>
    <row r="126" spans="1:8">
      <c r="A126" s="8" t="s">
        <v>18</v>
      </c>
      <c r="B126" s="8" t="s">
        <v>106</v>
      </c>
      <c r="C126" s="8" t="s">
        <v>30</v>
      </c>
      <c r="D126" s="8" t="s">
        <v>31</v>
      </c>
      <c r="E126" s="8">
        <v>24</v>
      </c>
      <c r="F126" s="8">
        <v>708</v>
      </c>
      <c r="G126" s="8">
        <v>0</v>
      </c>
      <c r="H126" s="8">
        <v>0</v>
      </c>
    </row>
    <row r="127" spans="1:8">
      <c r="A127" s="8" t="s">
        <v>18</v>
      </c>
      <c r="B127" s="8" t="s">
        <v>107</v>
      </c>
      <c r="C127" s="8" t="s">
        <v>30</v>
      </c>
      <c r="D127" s="8" t="s">
        <v>32</v>
      </c>
      <c r="E127" s="8">
        <v>20</v>
      </c>
      <c r="F127" s="8">
        <v>19194</v>
      </c>
      <c r="G127" s="8">
        <v>0</v>
      </c>
      <c r="H127" s="8">
        <v>9</v>
      </c>
    </row>
    <row r="128" spans="1:8">
      <c r="A128" s="8" t="s">
        <v>18</v>
      </c>
      <c r="B128" s="8" t="s">
        <v>108</v>
      </c>
      <c r="C128" s="8" t="s">
        <v>30</v>
      </c>
      <c r="D128" s="8" t="s">
        <v>31</v>
      </c>
      <c r="E128" s="8">
        <v>5</v>
      </c>
      <c r="F128" s="8">
        <v>495</v>
      </c>
      <c r="G128" s="8">
        <v>0</v>
      </c>
      <c r="H128" s="8">
        <v>0</v>
      </c>
    </row>
    <row r="129" spans="1:8">
      <c r="A129" s="8" t="s">
        <v>18</v>
      </c>
      <c r="B129" s="8" t="s">
        <v>108</v>
      </c>
      <c r="C129" s="8" t="s">
        <v>30</v>
      </c>
      <c r="D129" s="8" t="s">
        <v>32</v>
      </c>
      <c r="E129" s="8">
        <v>4</v>
      </c>
      <c r="F129" s="8">
        <v>1</v>
      </c>
      <c r="G129" s="8">
        <v>0</v>
      </c>
      <c r="H129" s="8">
        <v>0</v>
      </c>
    </row>
    <row r="130" spans="1:8">
      <c r="A130" s="8" t="s">
        <v>18</v>
      </c>
      <c r="B130" s="8" t="s">
        <v>109</v>
      </c>
      <c r="C130" s="8" t="s">
        <v>30</v>
      </c>
      <c r="D130" s="8" t="s">
        <v>31</v>
      </c>
      <c r="E130" s="8">
        <v>2</v>
      </c>
      <c r="F130" s="8">
        <v>24</v>
      </c>
      <c r="G130" s="8">
        <v>0</v>
      </c>
      <c r="H130" s="8">
        <v>0</v>
      </c>
    </row>
    <row r="131" spans="1:8">
      <c r="A131" s="8" t="s">
        <v>18</v>
      </c>
      <c r="B131" s="8" t="s">
        <v>110</v>
      </c>
      <c r="C131" s="8" t="s">
        <v>30</v>
      </c>
      <c r="D131" s="8" t="s">
        <v>32</v>
      </c>
      <c r="E131" s="8">
        <v>5</v>
      </c>
      <c r="F131" s="8">
        <v>638</v>
      </c>
      <c r="G131" s="8">
        <v>0</v>
      </c>
      <c r="H131" s="8">
        <v>1</v>
      </c>
    </row>
    <row r="132" spans="1:8">
      <c r="A132" s="8" t="s">
        <v>18</v>
      </c>
      <c r="B132" s="8" t="s">
        <v>111</v>
      </c>
      <c r="C132" s="8" t="s">
        <v>30</v>
      </c>
      <c r="D132" s="8" t="s">
        <v>31</v>
      </c>
      <c r="E132" s="8">
        <v>1</v>
      </c>
      <c r="F132" s="8">
        <v>2</v>
      </c>
      <c r="G132" s="8">
        <v>0</v>
      </c>
      <c r="H132" s="8">
        <v>0</v>
      </c>
    </row>
    <row r="133" spans="1:8">
      <c r="A133" s="8" t="s">
        <v>18</v>
      </c>
      <c r="B133" s="8" t="s">
        <v>112</v>
      </c>
      <c r="C133" s="8" t="s">
        <v>30</v>
      </c>
      <c r="D133" s="8" t="s">
        <v>31</v>
      </c>
      <c r="E133" s="8">
        <v>294</v>
      </c>
      <c r="F133" s="8">
        <v>99930</v>
      </c>
      <c r="G133" s="8">
        <v>0</v>
      </c>
      <c r="H133" s="8">
        <v>0</v>
      </c>
    </row>
    <row r="134" spans="1:8">
      <c r="A134" s="8" t="s">
        <v>18</v>
      </c>
      <c r="B134" s="8" t="s">
        <v>112</v>
      </c>
      <c r="C134" s="8" t="s">
        <v>30</v>
      </c>
      <c r="D134" s="8" t="s">
        <v>32</v>
      </c>
      <c r="E134" s="8">
        <v>44</v>
      </c>
      <c r="F134" s="8">
        <v>980</v>
      </c>
      <c r="G134" s="8">
        <v>0</v>
      </c>
      <c r="H134" s="8">
        <v>7</v>
      </c>
    </row>
    <row r="135" spans="1:8">
      <c r="A135" s="8" t="s">
        <v>18</v>
      </c>
      <c r="B135" s="8" t="s">
        <v>113</v>
      </c>
      <c r="C135" s="8" t="s">
        <v>30</v>
      </c>
      <c r="D135" s="8" t="s">
        <v>31</v>
      </c>
      <c r="E135" s="8">
        <v>2</v>
      </c>
      <c r="F135" s="8">
        <v>19</v>
      </c>
      <c r="G135" s="8">
        <v>0</v>
      </c>
      <c r="H135" s="8">
        <v>0</v>
      </c>
    </row>
    <row r="136" spans="1:8">
      <c r="A136" s="8" t="s">
        <v>19</v>
      </c>
      <c r="B136" s="8" t="s">
        <v>114</v>
      </c>
      <c r="C136" s="8" t="s">
        <v>30</v>
      </c>
      <c r="D136" s="8" t="s">
        <v>31</v>
      </c>
      <c r="E136" s="8">
        <v>6422</v>
      </c>
      <c r="F136" s="8">
        <v>763999</v>
      </c>
      <c r="G136" s="8">
        <v>671</v>
      </c>
      <c r="H136" s="8">
        <v>801</v>
      </c>
    </row>
    <row r="137" spans="1:8">
      <c r="A137" s="8" t="s">
        <v>19</v>
      </c>
      <c r="B137" s="8" t="s">
        <v>114</v>
      </c>
      <c r="C137" s="8" t="s">
        <v>30</v>
      </c>
      <c r="D137" s="8" t="s">
        <v>32</v>
      </c>
      <c r="E137" s="8">
        <v>120</v>
      </c>
      <c r="F137" s="8">
        <v>22373</v>
      </c>
      <c r="G137" s="8">
        <v>0</v>
      </c>
      <c r="H137" s="8">
        <v>25</v>
      </c>
    </row>
    <row r="138" spans="1:8">
      <c r="A138" s="8" t="s">
        <v>19</v>
      </c>
      <c r="B138" s="8" t="s">
        <v>115</v>
      </c>
      <c r="C138" s="8" t="s">
        <v>30</v>
      </c>
      <c r="D138" s="8" t="s">
        <v>31</v>
      </c>
      <c r="E138" s="8">
        <v>6026</v>
      </c>
      <c r="F138" s="8">
        <v>4116251</v>
      </c>
      <c r="G138" s="8">
        <v>133</v>
      </c>
      <c r="H138" s="8">
        <v>193</v>
      </c>
    </row>
    <row r="139" spans="1:8">
      <c r="A139" s="8" t="s">
        <v>19</v>
      </c>
      <c r="B139" s="8" t="s">
        <v>115</v>
      </c>
      <c r="C139" s="8" t="s">
        <v>30</v>
      </c>
      <c r="D139" s="8" t="s">
        <v>32</v>
      </c>
      <c r="E139" s="8">
        <v>14</v>
      </c>
      <c r="F139" s="8">
        <v>6195</v>
      </c>
      <c r="G139" s="8">
        <v>0</v>
      </c>
      <c r="H139" s="8">
        <v>1</v>
      </c>
    </row>
    <row r="140" spans="1:8">
      <c r="A140" s="8" t="s">
        <v>19</v>
      </c>
      <c r="B140" s="8" t="s">
        <v>116</v>
      </c>
      <c r="C140" s="8" t="s">
        <v>30</v>
      </c>
      <c r="D140" s="8" t="s">
        <v>31</v>
      </c>
      <c r="E140" s="8">
        <v>25</v>
      </c>
      <c r="F140" s="8">
        <v>30711</v>
      </c>
      <c r="G140" s="8">
        <v>2</v>
      </c>
      <c r="H140" s="8">
        <v>7</v>
      </c>
    </row>
    <row r="141" spans="1:8">
      <c r="A141" s="8" t="s">
        <v>19</v>
      </c>
      <c r="B141" s="8" t="s">
        <v>116</v>
      </c>
      <c r="C141" s="8" t="s">
        <v>30</v>
      </c>
      <c r="D141" s="8" t="s">
        <v>32</v>
      </c>
      <c r="E141" s="8">
        <v>10</v>
      </c>
      <c r="F141" s="8">
        <v>75532</v>
      </c>
      <c r="G141" s="8">
        <v>0</v>
      </c>
      <c r="H141" s="8">
        <v>4</v>
      </c>
    </row>
    <row r="142" spans="1:8">
      <c r="A142" s="8" t="s">
        <v>19</v>
      </c>
      <c r="B142" s="8" t="s">
        <v>117</v>
      </c>
      <c r="C142" s="8" t="s">
        <v>30</v>
      </c>
      <c r="D142" s="8" t="s">
        <v>32</v>
      </c>
      <c r="E142" s="8">
        <v>4</v>
      </c>
      <c r="F142" s="8">
        <v>987</v>
      </c>
      <c r="G142" s="8">
        <v>0</v>
      </c>
      <c r="H142" s="8">
        <v>0</v>
      </c>
    </row>
    <row r="143" spans="1:8">
      <c r="A143" s="8" t="s">
        <v>19</v>
      </c>
      <c r="B143" s="8" t="s">
        <v>118</v>
      </c>
      <c r="C143" s="8" t="s">
        <v>30</v>
      </c>
      <c r="D143" s="8" t="s">
        <v>31</v>
      </c>
      <c r="E143" s="8">
        <v>606</v>
      </c>
      <c r="F143" s="8">
        <v>240426</v>
      </c>
      <c r="G143" s="8">
        <v>135</v>
      </c>
      <c r="H143" s="8">
        <v>136</v>
      </c>
    </row>
    <row r="144" spans="1:8">
      <c r="A144" s="8" t="s">
        <v>19</v>
      </c>
      <c r="B144" s="8" t="s">
        <v>118</v>
      </c>
      <c r="C144" s="8" t="s">
        <v>30</v>
      </c>
      <c r="D144" s="8" t="s">
        <v>32</v>
      </c>
      <c r="E144" s="8">
        <v>250</v>
      </c>
      <c r="F144" s="8">
        <v>19294</v>
      </c>
      <c r="G144" s="8">
        <v>0</v>
      </c>
      <c r="H144" s="8">
        <v>0</v>
      </c>
    </row>
    <row r="145" spans="1:8">
      <c r="A145" s="8" t="s">
        <v>19</v>
      </c>
      <c r="B145" s="8" t="s">
        <v>119</v>
      </c>
      <c r="C145" s="8" t="s">
        <v>30</v>
      </c>
      <c r="D145" s="8" t="s">
        <v>31</v>
      </c>
      <c r="E145" s="8">
        <v>242</v>
      </c>
      <c r="F145" s="8">
        <v>97597</v>
      </c>
      <c r="G145" s="8">
        <v>14</v>
      </c>
      <c r="H145" s="8">
        <v>14</v>
      </c>
    </row>
    <row r="146" spans="1:8">
      <c r="A146" s="8" t="s">
        <v>19</v>
      </c>
      <c r="B146" s="8" t="s">
        <v>119</v>
      </c>
      <c r="C146" s="8" t="s">
        <v>30</v>
      </c>
      <c r="D146" s="8" t="s">
        <v>32</v>
      </c>
      <c r="E146" s="8">
        <v>5</v>
      </c>
      <c r="F146" s="8">
        <v>985</v>
      </c>
      <c r="G146" s="8">
        <v>0</v>
      </c>
      <c r="H146" s="8">
        <v>0</v>
      </c>
    </row>
    <row r="147" spans="1:8">
      <c r="A147" s="8" t="s">
        <v>19</v>
      </c>
      <c r="B147" s="8" t="s">
        <v>120</v>
      </c>
      <c r="C147" s="8" t="s">
        <v>30</v>
      </c>
      <c r="D147" s="8" t="s">
        <v>31</v>
      </c>
      <c r="E147" s="8">
        <v>2581</v>
      </c>
      <c r="F147" s="8">
        <v>1296517</v>
      </c>
      <c r="G147" s="8">
        <v>94</v>
      </c>
      <c r="H147" s="8">
        <v>388</v>
      </c>
    </row>
    <row r="148" spans="1:8">
      <c r="A148" s="8" t="s">
        <v>19</v>
      </c>
      <c r="B148" s="8" t="s">
        <v>120</v>
      </c>
      <c r="C148" s="8" t="s">
        <v>30</v>
      </c>
      <c r="D148" s="8" t="s">
        <v>32</v>
      </c>
      <c r="E148" s="8">
        <v>18</v>
      </c>
      <c r="F148" s="8">
        <v>1145</v>
      </c>
      <c r="G148" s="8">
        <v>0</v>
      </c>
      <c r="H148" s="8">
        <v>4</v>
      </c>
    </row>
    <row r="149" spans="1:8">
      <c r="A149" s="8" t="s">
        <v>19</v>
      </c>
      <c r="B149" s="8" t="s">
        <v>121</v>
      </c>
      <c r="C149" s="8" t="s">
        <v>30</v>
      </c>
      <c r="D149" s="8" t="s">
        <v>31</v>
      </c>
      <c r="E149" s="8">
        <v>746</v>
      </c>
      <c r="F149" s="8">
        <v>1881631</v>
      </c>
      <c r="G149" s="8">
        <v>30</v>
      </c>
      <c r="H149" s="8">
        <v>57</v>
      </c>
    </row>
    <row r="150" spans="1:8">
      <c r="A150" s="8" t="s">
        <v>19</v>
      </c>
      <c r="B150" s="8" t="s">
        <v>121</v>
      </c>
      <c r="C150" s="8" t="s">
        <v>30</v>
      </c>
      <c r="D150" s="8" t="s">
        <v>32</v>
      </c>
      <c r="E150" s="8">
        <v>24</v>
      </c>
      <c r="F150" s="8">
        <v>18432</v>
      </c>
      <c r="G150" s="8">
        <v>0</v>
      </c>
      <c r="H150" s="8">
        <v>3</v>
      </c>
    </row>
    <row r="151" spans="1:8">
      <c r="A151" s="8" t="s">
        <v>19</v>
      </c>
      <c r="B151" s="8" t="s">
        <v>122</v>
      </c>
      <c r="C151" s="8" t="s">
        <v>30</v>
      </c>
      <c r="D151" s="8" t="s">
        <v>31</v>
      </c>
      <c r="E151" s="8">
        <v>1846</v>
      </c>
      <c r="F151" s="8">
        <v>1864840</v>
      </c>
      <c r="G151" s="8">
        <v>90</v>
      </c>
      <c r="H151" s="8">
        <v>93</v>
      </c>
    </row>
    <row r="152" spans="1:8">
      <c r="A152" s="8" t="s">
        <v>19</v>
      </c>
      <c r="B152" s="8" t="s">
        <v>122</v>
      </c>
      <c r="C152" s="8" t="s">
        <v>30</v>
      </c>
      <c r="D152" s="8" t="s">
        <v>32</v>
      </c>
      <c r="E152" s="8">
        <v>273</v>
      </c>
      <c r="F152" s="8">
        <v>292237</v>
      </c>
      <c r="G152" s="8">
        <v>0</v>
      </c>
      <c r="H152" s="8">
        <v>8</v>
      </c>
    </row>
    <row r="153" spans="1:8">
      <c r="A153" s="8" t="s">
        <v>19</v>
      </c>
      <c r="B153" s="8" t="s">
        <v>123</v>
      </c>
      <c r="C153" s="8" t="s">
        <v>30</v>
      </c>
      <c r="D153" s="8" t="s">
        <v>31</v>
      </c>
      <c r="E153" s="8">
        <v>100</v>
      </c>
      <c r="F153" s="8">
        <v>158476</v>
      </c>
      <c r="G153" s="8">
        <v>9</v>
      </c>
      <c r="H153" s="8">
        <v>9</v>
      </c>
    </row>
    <row r="154" spans="1:8">
      <c r="A154" s="8" t="s">
        <v>19</v>
      </c>
      <c r="B154" s="8" t="s">
        <v>123</v>
      </c>
      <c r="C154" s="8" t="s">
        <v>30</v>
      </c>
      <c r="D154" s="8" t="s">
        <v>32</v>
      </c>
      <c r="E154" s="8">
        <v>6</v>
      </c>
      <c r="F154" s="8">
        <v>175</v>
      </c>
      <c r="G154" s="8">
        <v>0</v>
      </c>
      <c r="H154" s="8">
        <v>2</v>
      </c>
    </row>
    <row r="155" spans="1:8">
      <c r="A155" s="8" t="s">
        <v>19</v>
      </c>
      <c r="B155" s="8" t="s">
        <v>124</v>
      </c>
      <c r="C155" s="8" t="s">
        <v>30</v>
      </c>
      <c r="D155" s="8" t="s">
        <v>31</v>
      </c>
      <c r="E155" s="8">
        <v>14</v>
      </c>
      <c r="F155" s="8">
        <v>31</v>
      </c>
      <c r="G155" s="8">
        <v>0</v>
      </c>
      <c r="H155" s="8">
        <v>0</v>
      </c>
    </row>
    <row r="156" spans="1:8">
      <c r="A156" s="8" t="s">
        <v>19</v>
      </c>
      <c r="B156" s="8" t="s">
        <v>124</v>
      </c>
      <c r="C156" s="8" t="s">
        <v>30</v>
      </c>
      <c r="D156" s="8" t="s">
        <v>32</v>
      </c>
      <c r="E156" s="8">
        <v>14</v>
      </c>
      <c r="F156" s="8">
        <v>1</v>
      </c>
      <c r="G156" s="8">
        <v>0</v>
      </c>
      <c r="H156" s="8">
        <v>0</v>
      </c>
    </row>
    <row r="157" spans="1:8">
      <c r="A157" s="8" t="s">
        <v>20</v>
      </c>
      <c r="B157" s="8" t="s">
        <v>125</v>
      </c>
      <c r="C157" s="8" t="s">
        <v>30</v>
      </c>
      <c r="D157" s="8" t="s">
        <v>31</v>
      </c>
      <c r="E157" s="8">
        <v>17</v>
      </c>
      <c r="F157" s="8">
        <v>585012</v>
      </c>
      <c r="G157" s="8">
        <v>0</v>
      </c>
      <c r="H157" s="8">
        <v>0</v>
      </c>
    </row>
    <row r="158" spans="1:8">
      <c r="A158" s="8" t="s">
        <v>20</v>
      </c>
      <c r="B158" s="8" t="s">
        <v>126</v>
      </c>
      <c r="C158" s="8" t="s">
        <v>30</v>
      </c>
      <c r="D158" s="8" t="s">
        <v>31</v>
      </c>
      <c r="E158" s="8">
        <v>38</v>
      </c>
      <c r="F158" s="8">
        <v>1899</v>
      </c>
      <c r="G158" s="8">
        <v>0</v>
      </c>
      <c r="H158" s="8">
        <v>0</v>
      </c>
    </row>
    <row r="159" spans="1:8">
      <c r="A159" s="8" t="s">
        <v>20</v>
      </c>
      <c r="B159" s="8" t="s">
        <v>126</v>
      </c>
      <c r="C159" s="8" t="s">
        <v>30</v>
      </c>
      <c r="D159" s="8" t="s">
        <v>32</v>
      </c>
      <c r="E159" s="8">
        <v>8</v>
      </c>
      <c r="F159" s="8">
        <v>33</v>
      </c>
      <c r="G159" s="8">
        <v>0</v>
      </c>
      <c r="H159" s="8">
        <v>2</v>
      </c>
    </row>
    <row r="160" spans="1:8">
      <c r="A160" s="8" t="s">
        <v>20</v>
      </c>
      <c r="B160" s="8" t="s">
        <v>127</v>
      </c>
      <c r="C160" s="8" t="s">
        <v>30</v>
      </c>
      <c r="D160" s="8" t="s">
        <v>31</v>
      </c>
      <c r="E160" s="8">
        <v>206</v>
      </c>
      <c r="F160" s="8">
        <v>281332</v>
      </c>
      <c r="G160" s="8">
        <v>15</v>
      </c>
      <c r="H160" s="8">
        <v>64</v>
      </c>
    </row>
    <row r="161" spans="1:8">
      <c r="A161" s="8" t="s">
        <v>20</v>
      </c>
      <c r="B161" s="8" t="s">
        <v>127</v>
      </c>
      <c r="C161" s="8" t="s">
        <v>30</v>
      </c>
      <c r="D161" s="8" t="s">
        <v>32</v>
      </c>
      <c r="E161" s="8">
        <v>30</v>
      </c>
      <c r="F161" s="8">
        <v>257</v>
      </c>
      <c r="G161" s="8">
        <v>0</v>
      </c>
      <c r="H161" s="8">
        <v>4</v>
      </c>
    </row>
    <row r="162" spans="1:8">
      <c r="A162" s="8" t="s">
        <v>20</v>
      </c>
      <c r="B162" s="8" t="s">
        <v>128</v>
      </c>
      <c r="C162" s="8" t="s">
        <v>30</v>
      </c>
      <c r="D162" s="8" t="s">
        <v>32</v>
      </c>
      <c r="E162" s="8">
        <v>4</v>
      </c>
      <c r="F162" s="8">
        <v>3</v>
      </c>
      <c r="G162" s="8">
        <v>0</v>
      </c>
      <c r="H162" s="8">
        <v>2</v>
      </c>
    </row>
    <row r="163" spans="1:8">
      <c r="A163" s="8" t="s">
        <v>20</v>
      </c>
      <c r="B163" s="8" t="s">
        <v>129</v>
      </c>
      <c r="C163" s="8" t="s">
        <v>30</v>
      </c>
      <c r="D163" s="8" t="s">
        <v>31</v>
      </c>
      <c r="E163" s="8">
        <v>5</v>
      </c>
      <c r="F163" s="8">
        <v>1417</v>
      </c>
      <c r="G163" s="8">
        <v>0</v>
      </c>
      <c r="H163" s="8">
        <v>0</v>
      </c>
    </row>
    <row r="164" spans="1:8">
      <c r="A164" s="8" t="s">
        <v>20</v>
      </c>
      <c r="B164" s="8" t="s">
        <v>129</v>
      </c>
      <c r="C164" s="8" t="s">
        <v>30</v>
      </c>
      <c r="D164" s="8" t="s">
        <v>32</v>
      </c>
      <c r="E164" s="8">
        <v>5</v>
      </c>
      <c r="F164" s="8">
        <v>3020</v>
      </c>
      <c r="G164" s="8">
        <v>0</v>
      </c>
      <c r="H164" s="8">
        <v>3</v>
      </c>
    </row>
    <row r="165" spans="1:8">
      <c r="A165" s="8" t="s">
        <v>20</v>
      </c>
      <c r="B165" s="8" t="s">
        <v>130</v>
      </c>
      <c r="C165" s="8" t="s">
        <v>30</v>
      </c>
      <c r="D165" s="8" t="s">
        <v>32</v>
      </c>
      <c r="E165" s="8">
        <v>2</v>
      </c>
      <c r="F165" s="8">
        <v>21</v>
      </c>
      <c r="G165" s="8">
        <v>0</v>
      </c>
      <c r="H165" s="8">
        <v>0</v>
      </c>
    </row>
    <row r="166" spans="1:8">
      <c r="A166" s="8" t="s">
        <v>20</v>
      </c>
      <c r="B166" s="8" t="s">
        <v>131</v>
      </c>
      <c r="C166" s="8" t="s">
        <v>30</v>
      </c>
      <c r="D166" s="8" t="s">
        <v>31</v>
      </c>
      <c r="E166" s="8">
        <v>2651</v>
      </c>
      <c r="F166" s="8">
        <v>1137819</v>
      </c>
      <c r="G166" s="8">
        <v>327</v>
      </c>
      <c r="H166" s="8">
        <v>516</v>
      </c>
    </row>
    <row r="167" spans="1:8">
      <c r="A167" s="8" t="s">
        <v>20</v>
      </c>
      <c r="B167" s="8" t="s">
        <v>131</v>
      </c>
      <c r="C167" s="8" t="s">
        <v>30</v>
      </c>
      <c r="D167" s="8" t="s">
        <v>32</v>
      </c>
      <c r="E167" s="8">
        <v>142</v>
      </c>
      <c r="F167" s="8">
        <v>14329</v>
      </c>
      <c r="G167" s="8">
        <v>0</v>
      </c>
      <c r="H167" s="8">
        <v>26</v>
      </c>
    </row>
    <row r="168" spans="1:8">
      <c r="A168" s="8" t="s">
        <v>20</v>
      </c>
      <c r="B168" s="8" t="s">
        <v>132</v>
      </c>
      <c r="C168" s="8" t="s">
        <v>30</v>
      </c>
      <c r="D168" s="8" t="s">
        <v>31</v>
      </c>
      <c r="E168" s="8">
        <v>10630</v>
      </c>
      <c r="F168" s="8">
        <v>1425256</v>
      </c>
      <c r="G168" s="8">
        <v>253</v>
      </c>
      <c r="H168" s="8">
        <v>482</v>
      </c>
    </row>
    <row r="169" spans="1:8">
      <c r="A169" s="8" t="s">
        <v>20</v>
      </c>
      <c r="B169" s="8" t="s">
        <v>132</v>
      </c>
      <c r="C169" s="8" t="s">
        <v>30</v>
      </c>
      <c r="D169" s="8" t="s">
        <v>32</v>
      </c>
      <c r="E169" s="8">
        <v>82</v>
      </c>
      <c r="F169" s="8">
        <v>4635</v>
      </c>
      <c r="G169" s="8">
        <v>0</v>
      </c>
      <c r="H169" s="8">
        <v>13</v>
      </c>
    </row>
    <row r="170" spans="1:8">
      <c r="A170" s="8" t="s">
        <v>20</v>
      </c>
      <c r="B170" s="8" t="s">
        <v>133</v>
      </c>
      <c r="C170" s="8" t="s">
        <v>30</v>
      </c>
      <c r="D170" s="8" t="s">
        <v>31</v>
      </c>
      <c r="E170" s="8">
        <v>73</v>
      </c>
      <c r="F170" s="8">
        <v>54511</v>
      </c>
      <c r="G170" s="8">
        <v>12</v>
      </c>
      <c r="H170" s="8">
        <v>0</v>
      </c>
    </row>
    <row r="171" spans="1:8">
      <c r="A171" s="8" t="s">
        <v>20</v>
      </c>
      <c r="B171" s="8" t="s">
        <v>133</v>
      </c>
      <c r="C171" s="8" t="s">
        <v>30</v>
      </c>
      <c r="D171" s="8" t="s">
        <v>32</v>
      </c>
      <c r="E171" s="8">
        <v>4</v>
      </c>
      <c r="F171" s="8">
        <v>59</v>
      </c>
      <c r="G171" s="8">
        <v>0</v>
      </c>
      <c r="H171" s="8">
        <v>0</v>
      </c>
    </row>
    <row r="172" spans="1:8">
      <c r="A172" s="8" t="s">
        <v>20</v>
      </c>
      <c r="B172" s="8" t="s">
        <v>134</v>
      </c>
      <c r="C172" s="8" t="s">
        <v>30</v>
      </c>
      <c r="D172" s="8" t="s">
        <v>31</v>
      </c>
      <c r="E172" s="8">
        <v>1</v>
      </c>
      <c r="F172" s="8">
        <v>31</v>
      </c>
      <c r="G172" s="8">
        <v>0</v>
      </c>
      <c r="H172" s="8">
        <v>0</v>
      </c>
    </row>
    <row r="173" spans="1:8">
      <c r="A173" s="8" t="s">
        <v>20</v>
      </c>
      <c r="B173" s="8" t="s">
        <v>134</v>
      </c>
      <c r="C173" s="8" t="s">
        <v>30</v>
      </c>
      <c r="D173" s="8" t="s">
        <v>32</v>
      </c>
      <c r="E173" s="8">
        <v>6</v>
      </c>
      <c r="F173" s="8">
        <v>18199</v>
      </c>
      <c r="G173" s="8">
        <v>0</v>
      </c>
      <c r="H173" s="8">
        <v>3</v>
      </c>
    </row>
    <row r="174" spans="1:8">
      <c r="A174" s="8" t="s">
        <v>20</v>
      </c>
      <c r="B174" s="8" t="s">
        <v>135</v>
      </c>
      <c r="C174" s="8" t="s">
        <v>30</v>
      </c>
      <c r="D174" s="8" t="s">
        <v>32</v>
      </c>
      <c r="E174" s="8">
        <v>14</v>
      </c>
      <c r="F174" s="8">
        <v>4991</v>
      </c>
      <c r="G174" s="8">
        <v>0</v>
      </c>
      <c r="H174" s="8">
        <v>2</v>
      </c>
    </row>
    <row r="175" spans="1:8">
      <c r="A175" s="8" t="s">
        <v>20</v>
      </c>
      <c r="B175" s="8" t="s">
        <v>136</v>
      </c>
      <c r="C175" s="8" t="s">
        <v>30</v>
      </c>
      <c r="D175" s="8" t="s">
        <v>31</v>
      </c>
      <c r="E175" s="8">
        <v>35</v>
      </c>
      <c r="F175" s="8">
        <v>3982</v>
      </c>
      <c r="G175" s="8">
        <v>0</v>
      </c>
      <c r="H175" s="8">
        <v>3</v>
      </c>
    </row>
    <row r="176" spans="1:8">
      <c r="A176" s="8" t="s">
        <v>20</v>
      </c>
      <c r="B176" s="8" t="s">
        <v>136</v>
      </c>
      <c r="C176" s="8" t="s">
        <v>30</v>
      </c>
      <c r="D176" s="8" t="s">
        <v>32</v>
      </c>
      <c r="E176" s="8">
        <v>90</v>
      </c>
      <c r="F176" s="8">
        <v>594913</v>
      </c>
      <c r="G176" s="8">
        <v>0</v>
      </c>
      <c r="H176" s="8">
        <v>38</v>
      </c>
    </row>
    <row r="177" spans="1:8">
      <c r="A177" s="8" t="s">
        <v>20</v>
      </c>
      <c r="B177" s="8" t="s">
        <v>137</v>
      </c>
      <c r="C177" s="8" t="s">
        <v>30</v>
      </c>
      <c r="D177" s="8" t="s">
        <v>31</v>
      </c>
      <c r="E177" s="8">
        <v>12</v>
      </c>
      <c r="F177" s="8">
        <v>382733</v>
      </c>
      <c r="G177" s="8">
        <v>0</v>
      </c>
      <c r="H177" s="8">
        <v>2</v>
      </c>
    </row>
    <row r="178" spans="1:8">
      <c r="A178" s="8" t="s">
        <v>20</v>
      </c>
      <c r="B178" s="8" t="s">
        <v>137</v>
      </c>
      <c r="C178" s="8" t="s">
        <v>30</v>
      </c>
      <c r="D178" s="8" t="s">
        <v>32</v>
      </c>
      <c r="E178" s="8">
        <v>183</v>
      </c>
      <c r="F178" s="8">
        <v>354818</v>
      </c>
      <c r="G178" s="8">
        <v>0</v>
      </c>
      <c r="H178" s="8">
        <v>62</v>
      </c>
    </row>
    <row r="179" spans="1:8">
      <c r="A179" s="8" t="s">
        <v>20</v>
      </c>
      <c r="B179" s="8" t="s">
        <v>138</v>
      </c>
      <c r="C179" s="8" t="s">
        <v>30</v>
      </c>
      <c r="D179" s="8" t="s">
        <v>32</v>
      </c>
      <c r="E179" s="8">
        <v>6</v>
      </c>
      <c r="F179" s="8">
        <v>83953</v>
      </c>
      <c r="G179" s="8">
        <v>0</v>
      </c>
      <c r="H179" s="8">
        <v>0</v>
      </c>
    </row>
    <row r="180" spans="1:8">
      <c r="A180" s="8" t="s">
        <v>20</v>
      </c>
      <c r="B180" s="8" t="s">
        <v>139</v>
      </c>
      <c r="C180" s="8" t="s">
        <v>30</v>
      </c>
      <c r="D180" s="8" t="s">
        <v>31</v>
      </c>
      <c r="E180" s="8">
        <v>712</v>
      </c>
      <c r="F180" s="8">
        <v>68543</v>
      </c>
      <c r="G180" s="8">
        <v>14</v>
      </c>
      <c r="H180" s="8">
        <v>20</v>
      </c>
    </row>
    <row r="181" spans="1:8">
      <c r="A181" s="8" t="s">
        <v>20</v>
      </c>
      <c r="B181" s="8" t="s">
        <v>139</v>
      </c>
      <c r="C181" s="8" t="s">
        <v>30</v>
      </c>
      <c r="D181" s="8" t="s">
        <v>32</v>
      </c>
      <c r="E181" s="8">
        <v>257</v>
      </c>
      <c r="F181" s="8">
        <v>12265</v>
      </c>
      <c r="G181" s="8">
        <v>0</v>
      </c>
      <c r="H181" s="8">
        <v>12</v>
      </c>
    </row>
    <row r="182" spans="1:8">
      <c r="A182" s="8" t="s">
        <v>20</v>
      </c>
      <c r="B182" s="8" t="s">
        <v>140</v>
      </c>
      <c r="C182" s="8" t="s">
        <v>30</v>
      </c>
      <c r="D182" s="8" t="s">
        <v>31</v>
      </c>
      <c r="E182" s="8">
        <v>21</v>
      </c>
      <c r="F182" s="8">
        <v>36455</v>
      </c>
      <c r="G182" s="8">
        <v>0</v>
      </c>
      <c r="H182" s="8">
        <v>0</v>
      </c>
    </row>
    <row r="183" spans="1:8">
      <c r="A183" s="8" t="s">
        <v>20</v>
      </c>
      <c r="B183" s="8" t="s">
        <v>140</v>
      </c>
      <c r="C183" s="8" t="s">
        <v>30</v>
      </c>
      <c r="D183" s="8" t="s">
        <v>32</v>
      </c>
      <c r="E183" s="8">
        <v>4</v>
      </c>
      <c r="F183" s="8">
        <v>4569</v>
      </c>
      <c r="G183" s="8">
        <v>0</v>
      </c>
      <c r="H183" s="8">
        <v>2</v>
      </c>
    </row>
    <row r="184" spans="1:8">
      <c r="A184" s="8" t="s">
        <v>20</v>
      </c>
      <c r="B184" s="8" t="s">
        <v>141</v>
      </c>
      <c r="C184" s="8" t="s">
        <v>30</v>
      </c>
      <c r="D184" s="8" t="s">
        <v>32</v>
      </c>
      <c r="E184" s="8">
        <v>2</v>
      </c>
      <c r="F184" s="8">
        <v>896</v>
      </c>
      <c r="G184" s="8">
        <v>0</v>
      </c>
      <c r="H184" s="8">
        <v>1</v>
      </c>
    </row>
    <row r="185" spans="1:8">
      <c r="A185" s="8" t="s">
        <v>20</v>
      </c>
      <c r="B185" s="8" t="s">
        <v>142</v>
      </c>
      <c r="C185" s="8" t="s">
        <v>30</v>
      </c>
      <c r="D185" s="8" t="s">
        <v>31</v>
      </c>
      <c r="E185" s="8">
        <v>22</v>
      </c>
      <c r="F185" s="8">
        <v>907</v>
      </c>
      <c r="G185" s="8">
        <v>0</v>
      </c>
      <c r="H185" s="8">
        <v>0</v>
      </c>
    </row>
    <row r="186" spans="1:8">
      <c r="A186" s="8" t="s">
        <v>20</v>
      </c>
      <c r="B186" s="8" t="s">
        <v>142</v>
      </c>
      <c r="C186" s="8" t="s">
        <v>30</v>
      </c>
      <c r="D186" s="8" t="s">
        <v>32</v>
      </c>
      <c r="E186" s="8">
        <v>4</v>
      </c>
      <c r="F186" s="8">
        <v>213055</v>
      </c>
      <c r="G186" s="8">
        <v>0</v>
      </c>
      <c r="H186" s="8">
        <v>1</v>
      </c>
    </row>
    <row r="187" spans="1:8">
      <c r="A187" s="8" t="s">
        <v>20</v>
      </c>
      <c r="B187" s="8" t="s">
        <v>143</v>
      </c>
      <c r="C187" s="8" t="s">
        <v>30</v>
      </c>
      <c r="D187" s="8" t="s">
        <v>32</v>
      </c>
      <c r="E187" s="8">
        <v>2</v>
      </c>
      <c r="F187" s="8">
        <v>2</v>
      </c>
      <c r="G187" s="8">
        <v>0</v>
      </c>
      <c r="H187" s="8">
        <v>0</v>
      </c>
    </row>
    <row r="188" spans="1:8">
      <c r="A188" s="8" t="s">
        <v>20</v>
      </c>
      <c r="B188" s="8" t="s">
        <v>144</v>
      </c>
      <c r="C188" s="8" t="s">
        <v>30</v>
      </c>
      <c r="D188" s="8" t="s">
        <v>31</v>
      </c>
      <c r="E188" s="8">
        <v>1</v>
      </c>
      <c r="F188" s="8">
        <v>37</v>
      </c>
      <c r="G188" s="8">
        <v>0</v>
      </c>
      <c r="H188" s="8">
        <v>1</v>
      </c>
    </row>
    <row r="189" spans="1:8">
      <c r="A189" s="8" t="s">
        <v>20</v>
      </c>
      <c r="B189" s="8" t="s">
        <v>144</v>
      </c>
      <c r="C189" s="8" t="s">
        <v>30</v>
      </c>
      <c r="D189" s="8" t="s">
        <v>32</v>
      </c>
      <c r="E189" s="8">
        <v>26</v>
      </c>
      <c r="F189" s="8">
        <v>9091</v>
      </c>
      <c r="G189" s="8">
        <v>0</v>
      </c>
      <c r="H189" s="8">
        <v>1</v>
      </c>
    </row>
    <row r="190" spans="1:8">
      <c r="A190" s="8" t="s">
        <v>20</v>
      </c>
      <c r="B190" s="8" t="s">
        <v>145</v>
      </c>
      <c r="C190" s="8" t="s">
        <v>30</v>
      </c>
      <c r="D190" s="8" t="s">
        <v>32</v>
      </c>
      <c r="E190" s="8">
        <v>4</v>
      </c>
      <c r="F190" s="8">
        <v>9737</v>
      </c>
      <c r="G190" s="8">
        <v>0</v>
      </c>
      <c r="H190" s="8">
        <v>1</v>
      </c>
    </row>
    <row r="191" spans="1:8">
      <c r="A191" s="8" t="s">
        <v>20</v>
      </c>
      <c r="B191" s="8" t="s">
        <v>146</v>
      </c>
      <c r="C191" s="8" t="s">
        <v>30</v>
      </c>
      <c r="D191" s="8" t="s">
        <v>32</v>
      </c>
      <c r="E191" s="8">
        <v>10</v>
      </c>
      <c r="F191" s="8">
        <v>1369</v>
      </c>
      <c r="G191" s="8">
        <v>0</v>
      </c>
      <c r="H191" s="8">
        <v>0</v>
      </c>
    </row>
    <row r="192" spans="1:8">
      <c r="A192" s="8" t="s">
        <v>21</v>
      </c>
      <c r="B192" s="8" t="s">
        <v>147</v>
      </c>
      <c r="C192" s="8" t="s">
        <v>30</v>
      </c>
      <c r="D192" s="8" t="s">
        <v>31</v>
      </c>
      <c r="E192" s="8">
        <v>1717</v>
      </c>
      <c r="F192" s="8">
        <v>616676</v>
      </c>
      <c r="G192" s="8">
        <v>112</v>
      </c>
      <c r="H192" s="8">
        <v>354</v>
      </c>
    </row>
    <row r="193" spans="1:8">
      <c r="A193" s="8" t="s">
        <v>21</v>
      </c>
      <c r="B193" s="8" t="s">
        <v>147</v>
      </c>
      <c r="C193" s="8" t="s">
        <v>30</v>
      </c>
      <c r="D193" s="8" t="s">
        <v>32</v>
      </c>
      <c r="E193" s="8">
        <v>32</v>
      </c>
      <c r="F193" s="8">
        <v>13982</v>
      </c>
      <c r="G193" s="8">
        <v>0</v>
      </c>
      <c r="H193" s="8">
        <v>7</v>
      </c>
    </row>
    <row r="194" spans="1:8">
      <c r="A194" s="8" t="s">
        <v>21</v>
      </c>
      <c r="B194" s="8" t="s">
        <v>148</v>
      </c>
      <c r="C194" s="8" t="s">
        <v>30</v>
      </c>
      <c r="D194" s="8" t="s">
        <v>31</v>
      </c>
      <c r="E194" s="8">
        <v>1092</v>
      </c>
      <c r="F194" s="8">
        <v>580758</v>
      </c>
      <c r="G194" s="8">
        <v>71</v>
      </c>
      <c r="H194" s="8">
        <v>167</v>
      </c>
    </row>
    <row r="195" spans="1:8">
      <c r="A195" s="8" t="s">
        <v>21</v>
      </c>
      <c r="B195" s="8" t="s">
        <v>148</v>
      </c>
      <c r="C195" s="8" t="s">
        <v>30</v>
      </c>
      <c r="D195" s="8" t="s">
        <v>32</v>
      </c>
      <c r="E195" s="8">
        <v>213</v>
      </c>
      <c r="F195" s="8">
        <v>103815</v>
      </c>
      <c r="G195" s="8">
        <v>0</v>
      </c>
      <c r="H195" s="8">
        <v>85</v>
      </c>
    </row>
    <row r="196" spans="1:8">
      <c r="A196" s="8" t="s">
        <v>21</v>
      </c>
      <c r="B196" s="8" t="s">
        <v>149</v>
      </c>
      <c r="C196" s="8" t="s">
        <v>30</v>
      </c>
      <c r="D196" s="8" t="s">
        <v>31</v>
      </c>
      <c r="E196" s="8">
        <v>1179</v>
      </c>
      <c r="F196" s="8">
        <v>1071044</v>
      </c>
      <c r="G196" s="8">
        <v>67</v>
      </c>
      <c r="H196" s="8">
        <v>123</v>
      </c>
    </row>
    <row r="197" spans="1:8">
      <c r="A197" s="8" t="s">
        <v>21</v>
      </c>
      <c r="B197" s="8" t="s">
        <v>149</v>
      </c>
      <c r="C197" s="8" t="s">
        <v>30</v>
      </c>
      <c r="D197" s="8" t="s">
        <v>32</v>
      </c>
      <c r="E197" s="8">
        <v>53</v>
      </c>
      <c r="F197" s="8">
        <v>705370</v>
      </c>
      <c r="G197" s="8">
        <v>0</v>
      </c>
      <c r="H197" s="8">
        <v>14</v>
      </c>
    </row>
    <row r="198" spans="1:8">
      <c r="A198" s="8" t="s">
        <v>21</v>
      </c>
      <c r="B198" s="8" t="s">
        <v>150</v>
      </c>
      <c r="C198" s="8" t="s">
        <v>30</v>
      </c>
      <c r="D198" s="8" t="s">
        <v>31</v>
      </c>
      <c r="E198" s="8">
        <v>1085</v>
      </c>
      <c r="F198" s="8">
        <v>5144930</v>
      </c>
      <c r="G198" s="8">
        <v>18</v>
      </c>
      <c r="H198" s="8">
        <v>429</v>
      </c>
    </row>
    <row r="199" spans="1:8">
      <c r="A199" s="8" t="s">
        <v>21</v>
      </c>
      <c r="B199" s="8" t="s">
        <v>150</v>
      </c>
      <c r="C199" s="8" t="s">
        <v>30</v>
      </c>
      <c r="D199" s="8" t="s">
        <v>32</v>
      </c>
      <c r="E199" s="8">
        <v>19</v>
      </c>
      <c r="F199" s="8">
        <v>8589</v>
      </c>
      <c r="G199" s="8">
        <v>0</v>
      </c>
      <c r="H199" s="8">
        <v>1</v>
      </c>
    </row>
    <row r="200" spans="1:8">
      <c r="A200" s="8" t="s">
        <v>21</v>
      </c>
      <c r="B200" s="8" t="s">
        <v>151</v>
      </c>
      <c r="C200" s="8" t="s">
        <v>30</v>
      </c>
      <c r="D200" s="8" t="s">
        <v>31</v>
      </c>
      <c r="E200" s="8">
        <v>1</v>
      </c>
      <c r="F200" s="8">
        <v>0</v>
      </c>
      <c r="G200" s="8">
        <v>0</v>
      </c>
      <c r="H200" s="8">
        <v>0</v>
      </c>
    </row>
    <row r="201" spans="1:8">
      <c r="A201" s="8" t="s">
        <v>21</v>
      </c>
      <c r="B201" s="8" t="s">
        <v>152</v>
      </c>
      <c r="C201" s="8" t="s">
        <v>30</v>
      </c>
      <c r="D201" s="8" t="s">
        <v>31</v>
      </c>
      <c r="E201" s="8">
        <v>115</v>
      </c>
      <c r="F201" s="8">
        <v>1133587</v>
      </c>
      <c r="G201" s="8">
        <v>0</v>
      </c>
      <c r="H201" s="8">
        <v>66</v>
      </c>
    </row>
    <row r="202" spans="1:8">
      <c r="A202" s="8" t="s">
        <v>21</v>
      </c>
      <c r="B202" s="8" t="s">
        <v>152</v>
      </c>
      <c r="C202" s="8" t="s">
        <v>30</v>
      </c>
      <c r="D202" s="8" t="s">
        <v>32</v>
      </c>
      <c r="E202" s="8">
        <v>12</v>
      </c>
      <c r="F202" s="8">
        <v>290</v>
      </c>
      <c r="G202" s="8">
        <v>0</v>
      </c>
      <c r="H202" s="8">
        <v>3</v>
      </c>
    </row>
    <row r="203" spans="1:8">
      <c r="A203" s="8" t="s">
        <v>21</v>
      </c>
      <c r="B203" s="8" t="s">
        <v>153</v>
      </c>
      <c r="C203" s="8" t="s">
        <v>30</v>
      </c>
      <c r="D203" s="8" t="s">
        <v>31</v>
      </c>
      <c r="E203" s="8">
        <v>599</v>
      </c>
      <c r="F203" s="8">
        <v>1655001</v>
      </c>
      <c r="G203" s="8">
        <v>26</v>
      </c>
      <c r="H203" s="8">
        <v>153</v>
      </c>
    </row>
    <row r="204" spans="1:8">
      <c r="A204" s="8" t="s">
        <v>21</v>
      </c>
      <c r="B204" s="8" t="s">
        <v>153</v>
      </c>
      <c r="C204" s="8" t="s">
        <v>30</v>
      </c>
      <c r="D204" s="8" t="s">
        <v>32</v>
      </c>
      <c r="E204" s="8">
        <v>126</v>
      </c>
      <c r="F204" s="8">
        <v>7751</v>
      </c>
      <c r="G204" s="8">
        <v>0</v>
      </c>
      <c r="H204" s="8">
        <v>14</v>
      </c>
    </row>
    <row r="205" spans="1:8">
      <c r="A205" s="8" t="s">
        <v>21</v>
      </c>
      <c r="B205" s="8" t="s">
        <v>154</v>
      </c>
      <c r="C205" s="8" t="s">
        <v>30</v>
      </c>
      <c r="D205" s="8" t="s">
        <v>31</v>
      </c>
      <c r="E205" s="8">
        <v>79</v>
      </c>
      <c r="F205" s="8">
        <v>684886</v>
      </c>
      <c r="G205" s="8">
        <v>1</v>
      </c>
      <c r="H205" s="8">
        <v>57</v>
      </c>
    </row>
    <row r="206" spans="1:8">
      <c r="A206" s="8" t="s">
        <v>21</v>
      </c>
      <c r="B206" s="8" t="s">
        <v>154</v>
      </c>
      <c r="C206" s="8" t="s">
        <v>30</v>
      </c>
      <c r="D206" s="8" t="s">
        <v>32</v>
      </c>
      <c r="E206" s="8">
        <v>20</v>
      </c>
      <c r="F206" s="8">
        <v>7117</v>
      </c>
      <c r="G206" s="8">
        <v>0</v>
      </c>
      <c r="H206" s="8">
        <v>3</v>
      </c>
    </row>
    <row r="207" spans="1:8">
      <c r="A207" s="8" t="s">
        <v>21</v>
      </c>
      <c r="B207" s="8" t="s">
        <v>155</v>
      </c>
      <c r="C207" s="8" t="s">
        <v>30</v>
      </c>
      <c r="D207" s="8" t="s">
        <v>31</v>
      </c>
      <c r="E207" s="8">
        <v>80</v>
      </c>
      <c r="F207" s="8">
        <v>29279</v>
      </c>
      <c r="G207" s="8">
        <v>39</v>
      </c>
      <c r="H207" s="8">
        <v>39</v>
      </c>
    </row>
    <row r="208" spans="1:8">
      <c r="A208" s="8" t="s">
        <v>21</v>
      </c>
      <c r="B208" s="8" t="s">
        <v>155</v>
      </c>
      <c r="C208" s="8" t="s">
        <v>30</v>
      </c>
      <c r="D208" s="8" t="s">
        <v>32</v>
      </c>
      <c r="E208" s="8">
        <v>26</v>
      </c>
      <c r="F208" s="8">
        <v>113291</v>
      </c>
      <c r="G208" s="8">
        <v>0</v>
      </c>
      <c r="H208" s="8">
        <v>4</v>
      </c>
    </row>
    <row r="209" spans="1:8">
      <c r="A209" s="8" t="s">
        <v>22</v>
      </c>
      <c r="B209" s="8" t="s">
        <v>156</v>
      </c>
      <c r="C209" s="8" t="s">
        <v>30</v>
      </c>
      <c r="D209" s="8" t="s">
        <v>31</v>
      </c>
      <c r="E209" s="8">
        <v>3612</v>
      </c>
      <c r="F209" s="8">
        <v>3819680</v>
      </c>
      <c r="G209" s="8">
        <v>155</v>
      </c>
      <c r="H209" s="8">
        <v>163</v>
      </c>
    </row>
    <row r="210" spans="1:8">
      <c r="A210" s="8" t="s">
        <v>22</v>
      </c>
      <c r="B210" s="8" t="s">
        <v>156</v>
      </c>
      <c r="C210" s="8" t="s">
        <v>30</v>
      </c>
      <c r="D210" s="8" t="s">
        <v>32</v>
      </c>
      <c r="E210" s="8">
        <v>42</v>
      </c>
      <c r="F210" s="8">
        <v>11312</v>
      </c>
      <c r="G210" s="8">
        <v>0</v>
      </c>
      <c r="H210" s="8">
        <v>1</v>
      </c>
    </row>
    <row r="211" spans="1:8">
      <c r="A211" s="8" t="s">
        <v>22</v>
      </c>
      <c r="B211" s="8" t="s">
        <v>157</v>
      </c>
      <c r="C211" s="8" t="s">
        <v>30</v>
      </c>
      <c r="D211" s="8" t="s">
        <v>31</v>
      </c>
      <c r="E211" s="8">
        <v>10144</v>
      </c>
      <c r="F211" s="8">
        <v>49088493</v>
      </c>
      <c r="G211" s="8">
        <v>342</v>
      </c>
      <c r="H211" s="8">
        <v>503</v>
      </c>
    </row>
    <row r="212" spans="1:8">
      <c r="A212" s="8" t="s">
        <v>22</v>
      </c>
      <c r="B212" s="8" t="s">
        <v>157</v>
      </c>
      <c r="C212" s="8" t="s">
        <v>30</v>
      </c>
      <c r="D212" s="8" t="s">
        <v>32</v>
      </c>
      <c r="E212" s="8">
        <v>180</v>
      </c>
      <c r="F212" s="8">
        <v>75964</v>
      </c>
      <c r="G212" s="8">
        <v>0</v>
      </c>
      <c r="H212" s="8">
        <v>10</v>
      </c>
    </row>
    <row r="213" spans="1:8">
      <c r="A213" s="8" t="s">
        <v>22</v>
      </c>
      <c r="B213" s="8" t="s">
        <v>158</v>
      </c>
      <c r="C213" s="8" t="s">
        <v>30</v>
      </c>
      <c r="D213" s="8" t="s">
        <v>31</v>
      </c>
      <c r="E213" s="8">
        <v>6580</v>
      </c>
      <c r="F213" s="8">
        <v>1432883</v>
      </c>
      <c r="G213" s="8">
        <v>29</v>
      </c>
      <c r="H213" s="8">
        <v>145</v>
      </c>
    </row>
    <row r="214" spans="1:8">
      <c r="A214" s="8" t="s">
        <v>22</v>
      </c>
      <c r="B214" s="8" t="s">
        <v>158</v>
      </c>
      <c r="C214" s="8" t="s">
        <v>30</v>
      </c>
      <c r="D214" s="8" t="s">
        <v>32</v>
      </c>
      <c r="E214" s="8">
        <v>11</v>
      </c>
      <c r="F214" s="8">
        <v>6036</v>
      </c>
      <c r="G214" s="8">
        <v>0</v>
      </c>
      <c r="H214" s="8">
        <v>2</v>
      </c>
    </row>
    <row r="215" spans="1:8">
      <c r="A215" s="8" t="s">
        <v>22</v>
      </c>
      <c r="B215" s="8" t="s">
        <v>159</v>
      </c>
      <c r="C215" s="8" t="s">
        <v>30</v>
      </c>
      <c r="D215" s="8" t="s">
        <v>31</v>
      </c>
      <c r="E215" s="8">
        <v>4253</v>
      </c>
      <c r="F215" s="8">
        <v>3784694</v>
      </c>
      <c r="G215" s="8">
        <v>6</v>
      </c>
      <c r="H215" s="8">
        <v>10</v>
      </c>
    </row>
    <row r="216" spans="1:8">
      <c r="A216" s="8" t="s">
        <v>22</v>
      </c>
      <c r="B216" s="8" t="s">
        <v>159</v>
      </c>
      <c r="C216" s="8" t="s">
        <v>30</v>
      </c>
      <c r="D216" s="8" t="s">
        <v>32</v>
      </c>
      <c r="E216" s="8">
        <v>67</v>
      </c>
      <c r="F216" s="8">
        <v>5</v>
      </c>
      <c r="G216" s="8">
        <v>0</v>
      </c>
      <c r="H216" s="8">
        <v>0</v>
      </c>
    </row>
    <row r="217" spans="1:8">
      <c r="A217" s="8" t="s">
        <v>22</v>
      </c>
      <c r="B217" s="8" t="s">
        <v>160</v>
      </c>
      <c r="C217" s="8" t="s">
        <v>30</v>
      </c>
      <c r="D217" s="8" t="s">
        <v>31</v>
      </c>
      <c r="E217" s="8">
        <v>4961</v>
      </c>
      <c r="F217" s="8">
        <v>1388657</v>
      </c>
      <c r="G217" s="8">
        <v>2</v>
      </c>
      <c r="H217" s="8">
        <v>6</v>
      </c>
    </row>
    <row r="218" spans="1:8">
      <c r="A218" s="8" t="s">
        <v>22</v>
      </c>
      <c r="B218" s="8" t="s">
        <v>160</v>
      </c>
      <c r="C218" s="8" t="s">
        <v>30</v>
      </c>
      <c r="D218" s="8" t="s">
        <v>32</v>
      </c>
      <c r="E218" s="8">
        <v>1</v>
      </c>
      <c r="F218" s="8">
        <v>1</v>
      </c>
      <c r="G218" s="8">
        <v>0</v>
      </c>
      <c r="H218" s="8">
        <v>0</v>
      </c>
    </row>
    <row r="219" spans="1:8">
      <c r="A219" s="8" t="s">
        <v>22</v>
      </c>
      <c r="B219" s="8" t="s">
        <v>161</v>
      </c>
      <c r="C219" s="8" t="s">
        <v>30</v>
      </c>
      <c r="D219" s="8" t="s">
        <v>31</v>
      </c>
      <c r="E219" s="8">
        <v>6121</v>
      </c>
      <c r="F219" s="8">
        <v>3080470</v>
      </c>
      <c r="G219" s="8">
        <v>20</v>
      </c>
      <c r="H219" s="8">
        <v>22</v>
      </c>
    </row>
    <row r="220" spans="1:8">
      <c r="A220" s="8" t="s">
        <v>22</v>
      </c>
      <c r="B220" s="8" t="s">
        <v>161</v>
      </c>
      <c r="C220" s="8" t="s">
        <v>30</v>
      </c>
      <c r="D220" s="8" t="s">
        <v>32</v>
      </c>
      <c r="E220" s="8">
        <v>243</v>
      </c>
      <c r="F220" s="8">
        <v>17036</v>
      </c>
      <c r="G220" s="8">
        <v>0</v>
      </c>
      <c r="H220" s="8">
        <v>2</v>
      </c>
    </row>
    <row r="221" spans="1:8">
      <c r="A221" s="8" t="s">
        <v>22</v>
      </c>
      <c r="B221" s="8" t="s">
        <v>162</v>
      </c>
      <c r="C221" s="8" t="s">
        <v>30</v>
      </c>
      <c r="D221" s="8" t="s">
        <v>31</v>
      </c>
      <c r="E221" s="8">
        <v>9729</v>
      </c>
      <c r="F221" s="8">
        <v>15561853</v>
      </c>
      <c r="G221" s="8">
        <v>674</v>
      </c>
      <c r="H221" s="8">
        <v>827</v>
      </c>
    </row>
    <row r="222" spans="1:8">
      <c r="A222" s="8" t="s">
        <v>22</v>
      </c>
      <c r="B222" s="8" t="s">
        <v>162</v>
      </c>
      <c r="C222" s="8" t="s">
        <v>30</v>
      </c>
      <c r="D222" s="8" t="s">
        <v>32</v>
      </c>
      <c r="E222" s="8">
        <v>154</v>
      </c>
      <c r="F222" s="8">
        <v>8762</v>
      </c>
      <c r="G222" s="8">
        <v>0</v>
      </c>
      <c r="H222" s="8">
        <v>30</v>
      </c>
    </row>
    <row r="223" spans="1:8">
      <c r="A223" s="8" t="s">
        <v>22</v>
      </c>
      <c r="B223" s="8" t="s">
        <v>163</v>
      </c>
      <c r="C223" s="8" t="s">
        <v>30</v>
      </c>
      <c r="D223" s="8" t="s">
        <v>31</v>
      </c>
      <c r="E223" s="8">
        <v>1313</v>
      </c>
      <c r="F223" s="8">
        <v>362974</v>
      </c>
      <c r="G223" s="8">
        <v>5</v>
      </c>
      <c r="H223" s="8">
        <v>17</v>
      </c>
    </row>
    <row r="224" spans="1:8">
      <c r="A224" s="8" t="s">
        <v>22</v>
      </c>
      <c r="B224" s="8" t="s">
        <v>163</v>
      </c>
      <c r="C224" s="8" t="s">
        <v>30</v>
      </c>
      <c r="D224" s="8" t="s">
        <v>32</v>
      </c>
      <c r="E224" s="8">
        <v>23</v>
      </c>
      <c r="F224" s="8">
        <v>597</v>
      </c>
      <c r="G224" s="8">
        <v>0</v>
      </c>
      <c r="H224" s="8">
        <v>4</v>
      </c>
    </row>
    <row r="225" spans="1:8">
      <c r="A225" s="8" t="s">
        <v>22</v>
      </c>
      <c r="B225" s="8" t="s">
        <v>164</v>
      </c>
      <c r="C225" s="8" t="s">
        <v>30</v>
      </c>
      <c r="D225" s="8" t="s">
        <v>31</v>
      </c>
      <c r="E225" s="8">
        <v>3018</v>
      </c>
      <c r="F225" s="8">
        <v>2268437</v>
      </c>
      <c r="G225" s="8">
        <v>33</v>
      </c>
      <c r="H225" s="8">
        <v>47</v>
      </c>
    </row>
    <row r="226" spans="1:8">
      <c r="A226" s="8" t="s">
        <v>22</v>
      </c>
      <c r="B226" s="8" t="s">
        <v>164</v>
      </c>
      <c r="C226" s="8" t="s">
        <v>30</v>
      </c>
      <c r="D226" s="8" t="s">
        <v>32</v>
      </c>
      <c r="E226" s="8">
        <v>117</v>
      </c>
      <c r="F226" s="8">
        <v>5059</v>
      </c>
      <c r="G226" s="8">
        <v>0</v>
      </c>
      <c r="H226" s="8">
        <v>12</v>
      </c>
    </row>
    <row r="227" spans="1:8">
      <c r="A227" s="8" t="s">
        <v>22</v>
      </c>
      <c r="B227" s="8" t="s">
        <v>165</v>
      </c>
      <c r="C227" s="8" t="s">
        <v>30</v>
      </c>
      <c r="D227" s="8" t="s">
        <v>31</v>
      </c>
      <c r="E227" s="8">
        <v>1600</v>
      </c>
      <c r="F227" s="8">
        <v>5728615</v>
      </c>
      <c r="G227" s="8">
        <v>31</v>
      </c>
      <c r="H227" s="8">
        <v>76</v>
      </c>
    </row>
    <row r="228" spans="1:8">
      <c r="A228" s="8" t="s">
        <v>22</v>
      </c>
      <c r="B228" s="8" t="s">
        <v>165</v>
      </c>
      <c r="C228" s="8" t="s">
        <v>30</v>
      </c>
      <c r="D228" s="8" t="s">
        <v>32</v>
      </c>
      <c r="E228" s="8">
        <v>5</v>
      </c>
      <c r="F228" s="8">
        <v>8126</v>
      </c>
      <c r="G228" s="8">
        <v>0</v>
      </c>
      <c r="H228" s="8">
        <v>3</v>
      </c>
    </row>
    <row r="229" spans="1:8">
      <c r="A229" s="8" t="s">
        <v>22</v>
      </c>
      <c r="B229" s="8" t="s">
        <v>166</v>
      </c>
      <c r="C229" s="8" t="s">
        <v>30</v>
      </c>
      <c r="D229" s="8" t="s">
        <v>31</v>
      </c>
      <c r="E229" s="8">
        <v>8085</v>
      </c>
      <c r="F229" s="8">
        <v>76954323</v>
      </c>
      <c r="G229" s="8">
        <v>183</v>
      </c>
      <c r="H229" s="8">
        <v>199</v>
      </c>
    </row>
    <row r="230" spans="1:8">
      <c r="A230" s="8" t="s">
        <v>22</v>
      </c>
      <c r="B230" s="8" t="s">
        <v>166</v>
      </c>
      <c r="C230" s="8" t="s">
        <v>30</v>
      </c>
      <c r="D230" s="8" t="s">
        <v>32</v>
      </c>
      <c r="E230" s="8">
        <v>108</v>
      </c>
      <c r="F230" s="8">
        <v>49</v>
      </c>
      <c r="G230" s="8">
        <v>0</v>
      </c>
      <c r="H230" s="8">
        <v>3</v>
      </c>
    </row>
    <row r="231" spans="1:8">
      <c r="A231" s="8" t="s">
        <v>22</v>
      </c>
      <c r="B231" s="8" t="s">
        <v>167</v>
      </c>
      <c r="C231" s="8" t="s">
        <v>30</v>
      </c>
      <c r="D231" s="8" t="s">
        <v>31</v>
      </c>
      <c r="E231" s="8">
        <v>5089</v>
      </c>
      <c r="F231" s="8">
        <v>1802549</v>
      </c>
      <c r="G231" s="8">
        <v>112</v>
      </c>
      <c r="H231" s="8">
        <v>139</v>
      </c>
    </row>
    <row r="232" spans="1:8">
      <c r="A232" s="8" t="s">
        <v>22</v>
      </c>
      <c r="B232" s="8" t="s">
        <v>167</v>
      </c>
      <c r="C232" s="8" t="s">
        <v>30</v>
      </c>
      <c r="D232" s="8" t="s">
        <v>32</v>
      </c>
      <c r="E232" s="8">
        <v>297</v>
      </c>
      <c r="F232" s="8">
        <v>26131</v>
      </c>
      <c r="G232" s="8">
        <v>0</v>
      </c>
      <c r="H232" s="8">
        <v>4</v>
      </c>
    </row>
    <row r="233" spans="1:8">
      <c r="A233" s="8" t="s">
        <v>22</v>
      </c>
      <c r="B233" s="8" t="s">
        <v>168</v>
      </c>
      <c r="C233" s="8" t="s">
        <v>30</v>
      </c>
      <c r="D233" s="8" t="s">
        <v>31</v>
      </c>
      <c r="E233" s="8">
        <v>7781</v>
      </c>
      <c r="F233" s="8">
        <v>86553082</v>
      </c>
      <c r="G233" s="8">
        <v>240</v>
      </c>
      <c r="H233" s="8">
        <v>430</v>
      </c>
    </row>
    <row r="234" spans="1:8">
      <c r="A234" s="8" t="s">
        <v>22</v>
      </c>
      <c r="B234" s="8" t="s">
        <v>168</v>
      </c>
      <c r="C234" s="8" t="s">
        <v>30</v>
      </c>
      <c r="D234" s="8" t="s">
        <v>32</v>
      </c>
      <c r="E234" s="8">
        <v>403</v>
      </c>
      <c r="F234" s="8">
        <v>66945</v>
      </c>
      <c r="G234" s="8">
        <v>0</v>
      </c>
      <c r="H234" s="8">
        <v>37</v>
      </c>
    </row>
    <row r="235" spans="1:8">
      <c r="A235" s="8" t="s">
        <v>22</v>
      </c>
      <c r="B235" s="8" t="s">
        <v>169</v>
      </c>
      <c r="C235" s="8" t="s">
        <v>30</v>
      </c>
      <c r="D235" s="8" t="s">
        <v>31</v>
      </c>
      <c r="E235" s="8">
        <v>580</v>
      </c>
      <c r="F235" s="8">
        <v>1675853</v>
      </c>
      <c r="G235" s="8">
        <v>12</v>
      </c>
      <c r="H235" s="8">
        <v>43</v>
      </c>
    </row>
    <row r="236" spans="1:8">
      <c r="A236" s="8" t="s">
        <v>22</v>
      </c>
      <c r="B236" s="8" t="s">
        <v>169</v>
      </c>
      <c r="C236" s="8" t="s">
        <v>30</v>
      </c>
      <c r="D236" s="8" t="s">
        <v>32</v>
      </c>
      <c r="E236" s="8">
        <v>5</v>
      </c>
      <c r="F236" s="8">
        <v>123</v>
      </c>
      <c r="G236" s="8">
        <v>0</v>
      </c>
      <c r="H236" s="8">
        <v>3</v>
      </c>
    </row>
    <row r="237" spans="1:8">
      <c r="A237" s="8" t="s">
        <v>22</v>
      </c>
      <c r="B237" s="8" t="s">
        <v>170</v>
      </c>
      <c r="C237" s="8" t="s">
        <v>30</v>
      </c>
      <c r="D237" s="8" t="s">
        <v>31</v>
      </c>
      <c r="E237" s="8">
        <v>10627</v>
      </c>
      <c r="F237" s="8">
        <v>15516425</v>
      </c>
      <c r="G237" s="8">
        <v>133</v>
      </c>
      <c r="H237" s="8">
        <v>161</v>
      </c>
    </row>
    <row r="238" spans="1:8">
      <c r="A238" s="8" t="s">
        <v>22</v>
      </c>
      <c r="B238" s="8" t="s">
        <v>170</v>
      </c>
      <c r="C238" s="8" t="s">
        <v>30</v>
      </c>
      <c r="D238" s="8" t="s">
        <v>32</v>
      </c>
      <c r="E238" s="8">
        <v>290</v>
      </c>
      <c r="F238" s="8">
        <v>5867</v>
      </c>
      <c r="G238" s="8">
        <v>0</v>
      </c>
      <c r="H238" s="8">
        <v>8</v>
      </c>
    </row>
    <row r="239" spans="1:8">
      <c r="A239" s="8" t="s">
        <v>22</v>
      </c>
      <c r="B239" s="8" t="s">
        <v>171</v>
      </c>
      <c r="C239" s="8" t="s">
        <v>30</v>
      </c>
      <c r="D239" s="8" t="s">
        <v>31</v>
      </c>
      <c r="E239" s="8">
        <v>1540</v>
      </c>
      <c r="F239" s="8">
        <v>15557629</v>
      </c>
      <c r="G239" s="8">
        <v>10</v>
      </c>
      <c r="H239" s="8">
        <v>20</v>
      </c>
    </row>
    <row r="240" spans="1:8">
      <c r="A240" s="8" t="s">
        <v>22</v>
      </c>
      <c r="B240" s="8" t="s">
        <v>171</v>
      </c>
      <c r="C240" s="8" t="s">
        <v>30</v>
      </c>
      <c r="D240" s="8" t="s">
        <v>32</v>
      </c>
      <c r="E240" s="8">
        <v>2</v>
      </c>
      <c r="F240" s="8">
        <v>2</v>
      </c>
      <c r="G240" s="8">
        <v>0</v>
      </c>
      <c r="H240" s="8">
        <v>0</v>
      </c>
    </row>
    <row r="241" spans="1:8">
      <c r="A241" s="8" t="s">
        <v>22</v>
      </c>
      <c r="B241" s="8" t="s">
        <v>172</v>
      </c>
      <c r="C241" s="8" t="s">
        <v>30</v>
      </c>
      <c r="D241" s="8" t="s">
        <v>31</v>
      </c>
      <c r="E241" s="8">
        <v>8909</v>
      </c>
      <c r="F241" s="8">
        <v>3833085</v>
      </c>
      <c r="G241" s="8">
        <v>65</v>
      </c>
      <c r="H241" s="8">
        <v>79</v>
      </c>
    </row>
    <row r="242" spans="1:8">
      <c r="A242" s="8" t="s">
        <v>22</v>
      </c>
      <c r="B242" s="8" t="s">
        <v>172</v>
      </c>
      <c r="C242" s="8" t="s">
        <v>30</v>
      </c>
      <c r="D242" s="8" t="s">
        <v>32</v>
      </c>
      <c r="E242" s="8">
        <v>106</v>
      </c>
      <c r="F242" s="8">
        <v>477</v>
      </c>
      <c r="G242" s="8">
        <v>0</v>
      </c>
      <c r="H242" s="8">
        <v>0</v>
      </c>
    </row>
    <row r="243" spans="1:8">
      <c r="A243" s="8" t="s">
        <v>22</v>
      </c>
      <c r="B243" s="8" t="s">
        <v>173</v>
      </c>
      <c r="C243" s="8" t="s">
        <v>30</v>
      </c>
      <c r="D243" s="8" t="s">
        <v>31</v>
      </c>
      <c r="E243" s="8">
        <v>1824</v>
      </c>
      <c r="F243" s="8">
        <v>29321694</v>
      </c>
      <c r="G243" s="8">
        <v>41</v>
      </c>
      <c r="H243" s="8">
        <v>47</v>
      </c>
    </row>
    <row r="244" spans="1:8">
      <c r="A244" s="8" t="s">
        <v>22</v>
      </c>
      <c r="B244" s="8" t="s">
        <v>173</v>
      </c>
      <c r="C244" s="8" t="s">
        <v>30</v>
      </c>
      <c r="D244" s="8" t="s">
        <v>32</v>
      </c>
      <c r="E244" s="8">
        <v>109</v>
      </c>
      <c r="F244" s="8">
        <v>2909</v>
      </c>
      <c r="G244" s="8">
        <v>0</v>
      </c>
      <c r="H244" s="8">
        <v>4</v>
      </c>
    </row>
    <row r="245" spans="1:8">
      <c r="A245" s="8" t="s">
        <v>22</v>
      </c>
      <c r="B245" s="8" t="s">
        <v>174</v>
      </c>
      <c r="C245" s="8" t="s">
        <v>30</v>
      </c>
      <c r="D245" s="8" t="s">
        <v>31</v>
      </c>
      <c r="E245" s="8">
        <v>1</v>
      </c>
      <c r="F245" s="8">
        <v>13072</v>
      </c>
      <c r="G245" s="8">
        <v>0</v>
      </c>
      <c r="H245" s="8">
        <v>0</v>
      </c>
    </row>
    <row r="246" spans="1:8">
      <c r="A246" s="8" t="s">
        <v>22</v>
      </c>
      <c r="B246" s="8" t="s">
        <v>175</v>
      </c>
      <c r="C246" s="8" t="s">
        <v>30</v>
      </c>
      <c r="D246" s="8" t="s">
        <v>31</v>
      </c>
      <c r="E246" s="8">
        <v>6537</v>
      </c>
      <c r="F246" s="8">
        <v>1415946</v>
      </c>
      <c r="G246" s="8">
        <v>27</v>
      </c>
      <c r="H246" s="8">
        <v>37</v>
      </c>
    </row>
    <row r="247" spans="1:8">
      <c r="A247" s="8" t="s">
        <v>22</v>
      </c>
      <c r="B247" s="8" t="s">
        <v>175</v>
      </c>
      <c r="C247" s="8" t="s">
        <v>30</v>
      </c>
      <c r="D247" s="8" t="s">
        <v>32</v>
      </c>
      <c r="E247" s="8">
        <v>2</v>
      </c>
      <c r="F247" s="8">
        <v>30</v>
      </c>
      <c r="G247" s="8">
        <v>0</v>
      </c>
      <c r="H247" s="8">
        <v>0</v>
      </c>
    </row>
    <row r="248" spans="1:8">
      <c r="A248" s="8" t="s">
        <v>22</v>
      </c>
      <c r="B248" s="8" t="s">
        <v>176</v>
      </c>
      <c r="C248" s="8" t="s">
        <v>30</v>
      </c>
      <c r="D248" s="8" t="s">
        <v>31</v>
      </c>
      <c r="E248" s="8">
        <v>3055</v>
      </c>
      <c r="F248" s="8">
        <v>49313209</v>
      </c>
      <c r="G248" s="8">
        <v>132</v>
      </c>
      <c r="H248" s="8">
        <v>159</v>
      </c>
    </row>
    <row r="249" spans="1:8">
      <c r="A249" s="8" t="s">
        <v>22</v>
      </c>
      <c r="B249" s="8" t="s">
        <v>176</v>
      </c>
      <c r="C249" s="8" t="s">
        <v>30</v>
      </c>
      <c r="D249" s="8" t="s">
        <v>32</v>
      </c>
      <c r="E249" s="8">
        <v>350</v>
      </c>
      <c r="F249" s="8">
        <v>4699</v>
      </c>
      <c r="G249" s="8">
        <v>0</v>
      </c>
      <c r="H249" s="8">
        <v>19</v>
      </c>
    </row>
    <row r="250" spans="1:8">
      <c r="A250" s="8" t="s">
        <v>22</v>
      </c>
      <c r="B250" s="8" t="s">
        <v>177</v>
      </c>
      <c r="C250" s="8" t="s">
        <v>30</v>
      </c>
      <c r="D250" s="8" t="s">
        <v>31</v>
      </c>
      <c r="E250" s="8">
        <v>8565</v>
      </c>
      <c r="F250" s="8">
        <v>6614126</v>
      </c>
      <c r="G250" s="8">
        <v>288</v>
      </c>
      <c r="H250" s="8">
        <v>344</v>
      </c>
    </row>
    <row r="251" spans="1:8">
      <c r="A251" s="8" t="s">
        <v>22</v>
      </c>
      <c r="B251" s="8" t="s">
        <v>177</v>
      </c>
      <c r="C251" s="8" t="s">
        <v>30</v>
      </c>
      <c r="D251" s="8" t="s">
        <v>32</v>
      </c>
      <c r="E251" s="8">
        <v>531</v>
      </c>
      <c r="F251" s="8">
        <v>141816</v>
      </c>
      <c r="G251" s="8">
        <v>0</v>
      </c>
      <c r="H251" s="8">
        <v>23</v>
      </c>
    </row>
    <row r="252" spans="1:8">
      <c r="A252" s="8" t="s">
        <v>22</v>
      </c>
      <c r="B252" s="8" t="s">
        <v>178</v>
      </c>
      <c r="C252" s="8" t="s">
        <v>30</v>
      </c>
      <c r="D252" s="8" t="s">
        <v>31</v>
      </c>
      <c r="E252" s="8">
        <v>6665</v>
      </c>
      <c r="F252" s="8">
        <v>43632104</v>
      </c>
      <c r="G252" s="8">
        <v>165</v>
      </c>
      <c r="H252" s="8">
        <v>183</v>
      </c>
    </row>
    <row r="253" spans="1:8">
      <c r="A253" s="8" t="s">
        <v>22</v>
      </c>
      <c r="B253" s="8" t="s">
        <v>178</v>
      </c>
      <c r="C253" s="8" t="s">
        <v>30</v>
      </c>
      <c r="D253" s="8" t="s">
        <v>32</v>
      </c>
      <c r="E253" s="8">
        <v>172</v>
      </c>
      <c r="F253" s="8">
        <v>362630</v>
      </c>
      <c r="G253" s="8">
        <v>0</v>
      </c>
      <c r="H253" s="8">
        <v>13</v>
      </c>
    </row>
    <row r="254" spans="1:8">
      <c r="A254" s="8" t="s">
        <v>22</v>
      </c>
      <c r="B254" s="8" t="s">
        <v>179</v>
      </c>
      <c r="C254" s="8" t="s">
        <v>30</v>
      </c>
      <c r="D254" s="8" t="s">
        <v>31</v>
      </c>
      <c r="E254" s="8">
        <v>2831</v>
      </c>
      <c r="F254" s="8">
        <v>999822</v>
      </c>
      <c r="G254" s="8">
        <v>43</v>
      </c>
      <c r="H254" s="8">
        <v>48</v>
      </c>
    </row>
    <row r="255" spans="1:8">
      <c r="A255" s="8" t="s">
        <v>22</v>
      </c>
      <c r="B255" s="8" t="s">
        <v>179</v>
      </c>
      <c r="C255" s="8" t="s">
        <v>30</v>
      </c>
      <c r="D255" s="8" t="s">
        <v>32</v>
      </c>
      <c r="E255" s="8">
        <v>113</v>
      </c>
      <c r="F255" s="8">
        <v>53</v>
      </c>
      <c r="G255" s="8">
        <v>0</v>
      </c>
      <c r="H255" s="8">
        <v>0</v>
      </c>
    </row>
    <row r="256" spans="1:8">
      <c r="A256" s="8" t="s">
        <v>22</v>
      </c>
      <c r="B256" s="8" t="s">
        <v>180</v>
      </c>
      <c r="C256" s="8" t="s">
        <v>30</v>
      </c>
      <c r="D256" s="8" t="s">
        <v>31</v>
      </c>
      <c r="E256" s="8">
        <v>10359</v>
      </c>
      <c r="F256" s="8">
        <v>2255568</v>
      </c>
      <c r="G256" s="8">
        <v>105</v>
      </c>
      <c r="H256" s="8">
        <v>165</v>
      </c>
    </row>
    <row r="257" spans="1:8">
      <c r="A257" s="8" t="s">
        <v>22</v>
      </c>
      <c r="B257" s="8" t="s">
        <v>180</v>
      </c>
      <c r="C257" s="8" t="s">
        <v>30</v>
      </c>
      <c r="D257" s="8" t="s">
        <v>32</v>
      </c>
      <c r="E257" s="8">
        <v>3</v>
      </c>
      <c r="F257" s="8">
        <v>3</v>
      </c>
      <c r="G257" s="8">
        <v>0</v>
      </c>
      <c r="H257" s="8">
        <v>0</v>
      </c>
    </row>
    <row r="258" spans="1:8">
      <c r="A258" s="8" t="s">
        <v>23</v>
      </c>
      <c r="B258" s="8" t="s">
        <v>181</v>
      </c>
      <c r="C258" s="8" t="s">
        <v>30</v>
      </c>
      <c r="D258" s="8" t="s">
        <v>31</v>
      </c>
      <c r="E258" s="8">
        <v>189</v>
      </c>
      <c r="F258" s="8">
        <v>578727</v>
      </c>
      <c r="G258" s="8">
        <v>1</v>
      </c>
      <c r="H258" s="8">
        <v>173</v>
      </c>
    </row>
    <row r="259" spans="1:8">
      <c r="A259" s="8" t="s">
        <v>23</v>
      </c>
      <c r="B259" s="8" t="s">
        <v>181</v>
      </c>
      <c r="C259" s="8" t="s">
        <v>30</v>
      </c>
      <c r="D259" s="8" t="s">
        <v>32</v>
      </c>
      <c r="E259" s="8">
        <v>36</v>
      </c>
      <c r="F259" s="8">
        <v>16</v>
      </c>
      <c r="G259" s="8">
        <v>0</v>
      </c>
      <c r="H259" s="8">
        <v>3</v>
      </c>
    </row>
    <row r="260" spans="1:8">
      <c r="A260" s="8" t="s">
        <v>23</v>
      </c>
      <c r="B260" s="8" t="s">
        <v>182</v>
      </c>
      <c r="C260" s="8" t="s">
        <v>30</v>
      </c>
      <c r="D260" s="8" t="s">
        <v>31</v>
      </c>
      <c r="E260" s="8">
        <v>51</v>
      </c>
      <c r="F260" s="8">
        <v>168550</v>
      </c>
      <c r="G260" s="8">
        <v>0</v>
      </c>
      <c r="H260" s="8">
        <v>50</v>
      </c>
    </row>
    <row r="261" spans="1:8">
      <c r="A261" s="8" t="s">
        <v>23</v>
      </c>
      <c r="B261" s="8" t="s">
        <v>182</v>
      </c>
      <c r="C261" s="8" t="s">
        <v>30</v>
      </c>
      <c r="D261" s="8" t="s">
        <v>32</v>
      </c>
      <c r="E261" s="8">
        <v>4</v>
      </c>
      <c r="F261" s="8">
        <v>4629</v>
      </c>
      <c r="G261" s="8">
        <v>0</v>
      </c>
      <c r="H261" s="8">
        <v>0</v>
      </c>
    </row>
    <row r="262" spans="1:8">
      <c r="A262" s="8" t="s">
        <v>23</v>
      </c>
      <c r="B262" s="8" t="s">
        <v>183</v>
      </c>
      <c r="C262" s="8" t="s">
        <v>30</v>
      </c>
      <c r="D262" s="8" t="s">
        <v>31</v>
      </c>
      <c r="E262" s="8">
        <v>229</v>
      </c>
      <c r="F262" s="8">
        <v>3555943</v>
      </c>
      <c r="G262" s="8">
        <v>1</v>
      </c>
      <c r="H262" s="8">
        <v>2</v>
      </c>
    </row>
    <row r="263" spans="1:8">
      <c r="A263" s="8" t="s">
        <v>23</v>
      </c>
      <c r="B263" s="8" t="s">
        <v>183</v>
      </c>
      <c r="C263" s="8" t="s">
        <v>30</v>
      </c>
      <c r="D263" s="8" t="s">
        <v>32</v>
      </c>
      <c r="E263" s="8">
        <v>17</v>
      </c>
      <c r="F263" s="8">
        <v>17333</v>
      </c>
      <c r="G263" s="8">
        <v>0</v>
      </c>
      <c r="H263" s="8">
        <v>5</v>
      </c>
    </row>
    <row r="264" spans="1:8">
      <c r="A264" s="8" t="s">
        <v>23</v>
      </c>
      <c r="B264" s="8" t="s">
        <v>184</v>
      </c>
      <c r="C264" s="8" t="s">
        <v>30</v>
      </c>
      <c r="D264" s="8" t="s">
        <v>31</v>
      </c>
      <c r="E264" s="8">
        <v>17</v>
      </c>
      <c r="F264" s="8">
        <v>21560</v>
      </c>
      <c r="G264" s="8">
        <v>0</v>
      </c>
      <c r="H264" s="8">
        <v>1</v>
      </c>
    </row>
    <row r="265" spans="1:8">
      <c r="A265" s="8" t="s">
        <v>23</v>
      </c>
      <c r="B265" s="8" t="s">
        <v>184</v>
      </c>
      <c r="C265" s="8" t="s">
        <v>30</v>
      </c>
      <c r="D265" s="8" t="s">
        <v>32</v>
      </c>
      <c r="E265" s="8">
        <v>19</v>
      </c>
      <c r="F265" s="8">
        <v>320</v>
      </c>
      <c r="G265" s="8">
        <v>0</v>
      </c>
      <c r="H265" s="8">
        <v>4</v>
      </c>
    </row>
    <row r="266" spans="1:8">
      <c r="A266" s="8" t="s">
        <v>23</v>
      </c>
      <c r="B266" s="8" t="s">
        <v>185</v>
      </c>
      <c r="C266" s="8" t="s">
        <v>30</v>
      </c>
      <c r="D266" s="8" t="s">
        <v>31</v>
      </c>
      <c r="E266" s="8">
        <v>4093</v>
      </c>
      <c r="F266" s="8">
        <v>777718</v>
      </c>
      <c r="G266" s="8">
        <v>41</v>
      </c>
      <c r="H266" s="8">
        <v>77</v>
      </c>
    </row>
    <row r="267" spans="1:8">
      <c r="A267" s="8" t="s">
        <v>23</v>
      </c>
      <c r="B267" s="8" t="s">
        <v>185</v>
      </c>
      <c r="C267" s="8" t="s">
        <v>30</v>
      </c>
      <c r="D267" s="8" t="s">
        <v>32</v>
      </c>
      <c r="E267" s="8">
        <v>40</v>
      </c>
      <c r="F267" s="8">
        <v>255</v>
      </c>
      <c r="G267" s="8">
        <v>0</v>
      </c>
      <c r="H267" s="8">
        <v>2</v>
      </c>
    </row>
    <row r="268" spans="1:8">
      <c r="A268" s="8" t="s">
        <v>23</v>
      </c>
      <c r="B268" s="8" t="s">
        <v>186</v>
      </c>
      <c r="C268" s="8" t="s">
        <v>30</v>
      </c>
      <c r="D268" s="8" t="s">
        <v>31</v>
      </c>
      <c r="E268" s="8">
        <v>4</v>
      </c>
      <c r="F268" s="8">
        <v>28639</v>
      </c>
      <c r="G268" s="8">
        <v>0</v>
      </c>
      <c r="H268" s="8">
        <v>0</v>
      </c>
    </row>
    <row r="269" spans="1:8">
      <c r="A269" s="8" t="s">
        <v>23</v>
      </c>
      <c r="B269" s="8" t="s">
        <v>187</v>
      </c>
      <c r="C269" s="8" t="s">
        <v>30</v>
      </c>
      <c r="D269" s="8" t="s">
        <v>31</v>
      </c>
      <c r="E269" s="8">
        <v>6</v>
      </c>
      <c r="F269" s="8">
        <v>1875473</v>
      </c>
      <c r="G269" s="8">
        <v>0</v>
      </c>
      <c r="H269" s="8">
        <v>1</v>
      </c>
    </row>
    <row r="270" spans="1:8">
      <c r="A270" s="8" t="s">
        <v>23</v>
      </c>
      <c r="B270" s="8" t="s">
        <v>187</v>
      </c>
      <c r="C270" s="8" t="s">
        <v>30</v>
      </c>
      <c r="D270" s="8" t="s">
        <v>32</v>
      </c>
      <c r="E270" s="8">
        <v>14</v>
      </c>
      <c r="F270" s="8">
        <v>528</v>
      </c>
      <c r="G270" s="8">
        <v>0</v>
      </c>
      <c r="H270" s="8">
        <v>0</v>
      </c>
    </row>
    <row r="271" spans="1:8">
      <c r="A271" s="8" t="s">
        <v>23</v>
      </c>
      <c r="B271" s="8" t="s">
        <v>188</v>
      </c>
      <c r="C271" s="8" t="s">
        <v>30</v>
      </c>
      <c r="D271" s="8" t="s">
        <v>31</v>
      </c>
      <c r="E271" s="8">
        <v>40</v>
      </c>
      <c r="F271" s="8">
        <v>1146</v>
      </c>
      <c r="G271" s="8">
        <v>2</v>
      </c>
      <c r="H271" s="8">
        <v>5</v>
      </c>
    </row>
    <row r="272" spans="1:8">
      <c r="A272" s="8" t="s">
        <v>23</v>
      </c>
      <c r="B272" s="8" t="s">
        <v>188</v>
      </c>
      <c r="C272" s="8" t="s">
        <v>30</v>
      </c>
      <c r="D272" s="8" t="s">
        <v>32</v>
      </c>
      <c r="E272" s="8">
        <v>36</v>
      </c>
      <c r="F272" s="8">
        <v>7272</v>
      </c>
      <c r="G272" s="8">
        <v>0</v>
      </c>
      <c r="H272" s="8">
        <v>0</v>
      </c>
    </row>
    <row r="273" spans="1:8">
      <c r="A273" s="8" t="s">
        <v>23</v>
      </c>
      <c r="B273" s="8" t="s">
        <v>189</v>
      </c>
      <c r="C273" s="8" t="s">
        <v>30</v>
      </c>
      <c r="D273" s="8" t="s">
        <v>31</v>
      </c>
      <c r="E273" s="8">
        <v>6226</v>
      </c>
      <c r="F273" s="8">
        <v>137907551</v>
      </c>
      <c r="G273" s="8">
        <v>25</v>
      </c>
      <c r="H273" s="8">
        <v>53</v>
      </c>
    </row>
    <row r="274" spans="1:8">
      <c r="A274" s="8" t="s">
        <v>23</v>
      </c>
      <c r="B274" s="8" t="s">
        <v>189</v>
      </c>
      <c r="C274" s="8" t="s">
        <v>30</v>
      </c>
      <c r="D274" s="8" t="s">
        <v>32</v>
      </c>
      <c r="E274" s="8">
        <v>39</v>
      </c>
      <c r="F274" s="8">
        <v>1883</v>
      </c>
      <c r="G274" s="8">
        <v>0</v>
      </c>
      <c r="H274" s="8">
        <v>11</v>
      </c>
    </row>
    <row r="275" spans="1:8">
      <c r="A275" s="8" t="s">
        <v>23</v>
      </c>
      <c r="B275" s="8" t="s">
        <v>190</v>
      </c>
      <c r="C275" s="8" t="s">
        <v>30</v>
      </c>
      <c r="D275" s="8" t="s">
        <v>32</v>
      </c>
      <c r="E275" s="8">
        <v>2</v>
      </c>
      <c r="F275" s="8">
        <v>28</v>
      </c>
      <c r="G275" s="8">
        <v>0</v>
      </c>
      <c r="H275" s="8">
        <v>0</v>
      </c>
    </row>
  </sheetData>
  <autoFilter xmlns:etc="http://www.wps.cn/officeDocument/2017/etCustomData" ref="A1:H275" etc:filterBottomFollowUsedRange="0">
    <extLst/>
  </autoFilter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K209"/>
  <sheetViews>
    <sheetView workbookViewId="0">
      <selection activeCell="C12" sqref="C12"/>
    </sheetView>
  </sheetViews>
  <sheetFormatPr defaultColWidth="9.23076923076923" defaultRowHeight="16.8"/>
  <cols>
    <col min="1" max="37" width="30" style="1" customWidth="1"/>
  </cols>
  <sheetData>
    <row r="1" ht="41" spans="1:37">
      <c r="A1" s="2" t="s">
        <v>1</v>
      </c>
      <c r="B1" s="2" t="s">
        <v>191</v>
      </c>
      <c r="C1" s="2" t="s">
        <v>192</v>
      </c>
      <c r="D1" s="2" t="s">
        <v>193</v>
      </c>
      <c r="E1" s="2" t="s">
        <v>194</v>
      </c>
      <c r="F1" s="2" t="s">
        <v>195</v>
      </c>
      <c r="G1" s="2" t="s">
        <v>196</v>
      </c>
      <c r="H1" s="2" t="s">
        <v>197</v>
      </c>
      <c r="I1" s="2" t="s">
        <v>198</v>
      </c>
      <c r="J1" s="2" t="s">
        <v>199</v>
      </c>
      <c r="K1" s="2" t="s">
        <v>200</v>
      </c>
      <c r="L1" s="2" t="s">
        <v>201</v>
      </c>
      <c r="M1" s="2" t="s">
        <v>202</v>
      </c>
      <c r="N1" s="2" t="s">
        <v>203</v>
      </c>
      <c r="O1" s="2" t="s">
        <v>204</v>
      </c>
      <c r="P1" s="2" t="s">
        <v>205</v>
      </c>
      <c r="Q1" s="2" t="s">
        <v>206</v>
      </c>
      <c r="R1" s="2" t="s">
        <v>207</v>
      </c>
      <c r="S1" s="2" t="s">
        <v>208</v>
      </c>
      <c r="T1" s="2" t="s">
        <v>209</v>
      </c>
      <c r="U1" s="5" t="s">
        <v>210</v>
      </c>
      <c r="V1" s="5" t="s">
        <v>211</v>
      </c>
      <c r="W1" s="2" t="s">
        <v>212</v>
      </c>
      <c r="X1" s="2" t="s">
        <v>213</v>
      </c>
      <c r="Y1" s="2" t="s">
        <v>214</v>
      </c>
      <c r="Z1" s="2" t="s">
        <v>215</v>
      </c>
      <c r="AA1" s="2" t="s">
        <v>216</v>
      </c>
      <c r="AB1" s="2" t="s">
        <v>217</v>
      </c>
      <c r="AC1" s="2" t="s">
        <v>218</v>
      </c>
      <c r="AD1" s="2" t="s">
        <v>219</v>
      </c>
      <c r="AE1" s="2" t="s">
        <v>220</v>
      </c>
      <c r="AF1" s="2" t="s">
        <v>221</v>
      </c>
      <c r="AG1" s="2" t="s">
        <v>222</v>
      </c>
      <c r="AH1" s="2" t="s">
        <v>223</v>
      </c>
      <c r="AI1" s="2" t="s">
        <v>224</v>
      </c>
      <c r="AJ1" s="2" t="s">
        <v>225</v>
      </c>
      <c r="AK1" s="2" t="s">
        <v>226</v>
      </c>
    </row>
    <row r="2" ht="17" spans="1:37">
      <c r="A2" s="3" t="s">
        <v>21</v>
      </c>
      <c r="B2" s="3" t="s">
        <v>154</v>
      </c>
      <c r="C2" s="3" t="s">
        <v>227</v>
      </c>
      <c r="D2" s="3" t="s">
        <v>228</v>
      </c>
      <c r="E2" s="3" t="s">
        <v>229</v>
      </c>
      <c r="F2" s="3" t="s">
        <v>230</v>
      </c>
      <c r="G2" s="4">
        <v>29</v>
      </c>
      <c r="H2" s="3" t="s">
        <v>231</v>
      </c>
      <c r="I2" s="3" t="s">
        <v>232</v>
      </c>
      <c r="J2" s="3" t="s">
        <v>233</v>
      </c>
      <c r="K2" s="3" t="s">
        <v>234</v>
      </c>
      <c r="L2" s="3" t="s">
        <v>235</v>
      </c>
      <c r="M2" s="3" t="s">
        <v>236</v>
      </c>
      <c r="N2" s="3" t="s">
        <v>237</v>
      </c>
      <c r="O2" s="3" t="s">
        <v>238</v>
      </c>
      <c r="P2" s="3" t="s">
        <v>239</v>
      </c>
      <c r="Q2" s="3"/>
      <c r="R2" s="3" t="s">
        <v>240</v>
      </c>
      <c r="S2" s="3" t="s">
        <v>241</v>
      </c>
      <c r="T2" s="3" t="s">
        <v>79</v>
      </c>
      <c r="U2" s="3" t="s">
        <v>79</v>
      </c>
      <c r="V2" s="3" t="s">
        <v>242</v>
      </c>
      <c r="W2" s="3" t="s">
        <v>243</v>
      </c>
      <c r="X2" s="3" t="s">
        <v>243</v>
      </c>
      <c r="Y2" s="3" t="s">
        <v>244</v>
      </c>
      <c r="Z2" s="3" t="s">
        <v>245</v>
      </c>
      <c r="AA2" s="3" t="s">
        <v>246</v>
      </c>
      <c r="AB2" s="3"/>
      <c r="AC2" s="3" t="s">
        <v>247</v>
      </c>
      <c r="AD2" s="3"/>
      <c r="AE2" s="3"/>
      <c r="AF2" s="3" t="s">
        <v>21</v>
      </c>
      <c r="AG2" s="3"/>
      <c r="AH2" s="3" t="s">
        <v>248</v>
      </c>
      <c r="AI2" s="3" t="s">
        <v>247</v>
      </c>
      <c r="AJ2" s="3"/>
      <c r="AK2" s="3" t="s">
        <v>249</v>
      </c>
    </row>
    <row r="3" ht="34" spans="1:37">
      <c r="A3" s="3" t="s">
        <v>15</v>
      </c>
      <c r="B3" s="3" t="s">
        <v>250</v>
      </c>
      <c r="C3" s="3" t="s">
        <v>251</v>
      </c>
      <c r="D3" s="3" t="s">
        <v>252</v>
      </c>
      <c r="E3" s="3" t="s">
        <v>229</v>
      </c>
      <c r="F3" s="3" t="s">
        <v>253</v>
      </c>
      <c r="G3" s="4">
        <v>36</v>
      </c>
      <c r="H3" s="3" t="s">
        <v>254</v>
      </c>
      <c r="I3" s="3" t="s">
        <v>255</v>
      </c>
      <c r="J3" s="3" t="s">
        <v>233</v>
      </c>
      <c r="K3" s="3" t="s">
        <v>256</v>
      </c>
      <c r="L3" s="3" t="s">
        <v>257</v>
      </c>
      <c r="M3" s="3" t="s">
        <v>236</v>
      </c>
      <c r="N3" s="3"/>
      <c r="O3" s="3" t="s">
        <v>258</v>
      </c>
      <c r="P3" s="3" t="s">
        <v>259</v>
      </c>
      <c r="Q3" s="3"/>
      <c r="R3" s="3" t="s">
        <v>240</v>
      </c>
      <c r="S3" s="3"/>
      <c r="T3" s="3" t="s">
        <v>79</v>
      </c>
      <c r="U3" s="3" t="s">
        <v>79</v>
      </c>
      <c r="V3" s="3" t="s">
        <v>242</v>
      </c>
      <c r="W3" s="3" t="s">
        <v>243</v>
      </c>
      <c r="X3" s="3" t="s">
        <v>243</v>
      </c>
      <c r="Y3" s="3" t="s">
        <v>244</v>
      </c>
      <c r="Z3" s="3" t="s">
        <v>245</v>
      </c>
      <c r="AA3" s="3" t="s">
        <v>260</v>
      </c>
      <c r="AB3" s="3"/>
      <c r="AC3" s="3" t="s">
        <v>247</v>
      </c>
      <c r="AD3" s="3"/>
      <c r="AE3" s="3"/>
      <c r="AF3" s="3" t="s">
        <v>15</v>
      </c>
      <c r="AG3" s="3"/>
      <c r="AH3" s="3" t="s">
        <v>248</v>
      </c>
      <c r="AI3" s="3" t="s">
        <v>247</v>
      </c>
      <c r="AJ3" s="3"/>
      <c r="AK3" s="3" t="s">
        <v>249</v>
      </c>
    </row>
    <row r="4" ht="51" spans="1:37">
      <c r="A4" s="3" t="s">
        <v>23</v>
      </c>
      <c r="B4" s="3" t="s">
        <v>261</v>
      </c>
      <c r="C4" s="3" t="s">
        <v>227</v>
      </c>
      <c r="D4" s="3" t="s">
        <v>262</v>
      </c>
      <c r="E4" s="3" t="s">
        <v>263</v>
      </c>
      <c r="F4" s="3" t="s">
        <v>264</v>
      </c>
      <c r="G4" s="4">
        <v>58</v>
      </c>
      <c r="H4" s="3" t="s">
        <v>265</v>
      </c>
      <c r="I4" s="3" t="s">
        <v>265</v>
      </c>
      <c r="J4" s="3" t="s">
        <v>266</v>
      </c>
      <c r="K4" s="3" t="s">
        <v>267</v>
      </c>
      <c r="L4" s="3" t="s">
        <v>268</v>
      </c>
      <c r="M4" s="3" t="s">
        <v>269</v>
      </c>
      <c r="N4" s="3" t="s">
        <v>270</v>
      </c>
      <c r="O4" s="3"/>
      <c r="P4" s="3" t="s">
        <v>271</v>
      </c>
      <c r="Q4" s="3" t="s">
        <v>272</v>
      </c>
      <c r="R4" s="3" t="s">
        <v>273</v>
      </c>
      <c r="S4" s="3" t="s">
        <v>241</v>
      </c>
      <c r="T4" s="3" t="s">
        <v>79</v>
      </c>
      <c r="U4" s="3" t="s">
        <v>79</v>
      </c>
      <c r="V4" s="3" t="s">
        <v>242</v>
      </c>
      <c r="W4" s="3" t="s">
        <v>274</v>
      </c>
      <c r="X4" s="3" t="s">
        <v>275</v>
      </c>
      <c r="Y4" s="3" t="s">
        <v>244</v>
      </c>
      <c r="Z4" s="3" t="s">
        <v>245</v>
      </c>
      <c r="AA4" s="3" t="s">
        <v>276</v>
      </c>
      <c r="AB4" s="3" t="s">
        <v>247</v>
      </c>
      <c r="AC4" s="3" t="s">
        <v>247</v>
      </c>
      <c r="AD4" s="3" t="s">
        <v>247</v>
      </c>
      <c r="AE4" s="3"/>
      <c r="AF4" s="3" t="s">
        <v>277</v>
      </c>
      <c r="AG4" s="3" t="s">
        <v>278</v>
      </c>
      <c r="AH4" s="3" t="s">
        <v>248</v>
      </c>
      <c r="AI4" s="3"/>
      <c r="AJ4" s="3" t="s">
        <v>279</v>
      </c>
      <c r="AK4" s="3" t="s">
        <v>249</v>
      </c>
    </row>
    <row r="5" ht="34" spans="1:37">
      <c r="A5" s="3" t="s">
        <v>11</v>
      </c>
      <c r="B5" s="3" t="s">
        <v>47</v>
      </c>
      <c r="C5" s="3" t="s">
        <v>227</v>
      </c>
      <c r="D5" s="3" t="s">
        <v>280</v>
      </c>
      <c r="E5" s="3" t="s">
        <v>281</v>
      </c>
      <c r="F5" s="3" t="s">
        <v>282</v>
      </c>
      <c r="G5" s="4">
        <v>65</v>
      </c>
      <c r="H5" s="3" t="s">
        <v>283</v>
      </c>
      <c r="I5" s="3" t="s">
        <v>284</v>
      </c>
      <c r="J5" s="3" t="s">
        <v>285</v>
      </c>
      <c r="K5" s="3"/>
      <c r="L5" s="3"/>
      <c r="M5" s="3" t="s">
        <v>236</v>
      </c>
      <c r="N5" s="3" t="s">
        <v>286</v>
      </c>
      <c r="O5" s="3" t="s">
        <v>287</v>
      </c>
      <c r="P5" s="3" t="s">
        <v>288</v>
      </c>
      <c r="Q5" s="3" t="s">
        <v>272</v>
      </c>
      <c r="R5" s="3" t="s">
        <v>240</v>
      </c>
      <c r="S5" s="3" t="s">
        <v>289</v>
      </c>
      <c r="T5" s="3" t="s">
        <v>79</v>
      </c>
      <c r="U5" s="3" t="s">
        <v>79</v>
      </c>
      <c r="V5" s="3" t="s">
        <v>242</v>
      </c>
      <c r="W5" s="3" t="s">
        <v>274</v>
      </c>
      <c r="X5" s="3" t="s">
        <v>290</v>
      </c>
      <c r="Y5" s="3" t="s">
        <v>244</v>
      </c>
      <c r="Z5" s="3" t="s">
        <v>245</v>
      </c>
      <c r="AA5" s="3"/>
      <c r="AB5" s="3" t="s">
        <v>248</v>
      </c>
      <c r="AC5" s="3" t="s">
        <v>247</v>
      </c>
      <c r="AD5" s="3" t="s">
        <v>248</v>
      </c>
      <c r="AE5" s="3"/>
      <c r="AF5" s="3" t="s">
        <v>11</v>
      </c>
      <c r="AG5" s="3" t="s">
        <v>291</v>
      </c>
      <c r="AH5" s="3" t="s">
        <v>248</v>
      </c>
      <c r="AI5" s="3"/>
      <c r="AJ5" s="3" t="s">
        <v>292</v>
      </c>
      <c r="AK5" s="3" t="s">
        <v>249</v>
      </c>
    </row>
    <row r="6" ht="34" spans="1:37">
      <c r="A6" s="3" t="s">
        <v>19</v>
      </c>
      <c r="B6" s="3" t="s">
        <v>119</v>
      </c>
      <c r="C6" s="3" t="s">
        <v>227</v>
      </c>
      <c r="D6" s="3" t="s">
        <v>293</v>
      </c>
      <c r="E6" s="3" t="s">
        <v>294</v>
      </c>
      <c r="F6" s="3" t="s">
        <v>264</v>
      </c>
      <c r="G6" s="4">
        <v>58</v>
      </c>
      <c r="H6" s="3" t="s">
        <v>295</v>
      </c>
      <c r="I6" s="3" t="s">
        <v>295</v>
      </c>
      <c r="J6" s="3" t="s">
        <v>266</v>
      </c>
      <c r="K6" s="3" t="s">
        <v>296</v>
      </c>
      <c r="L6" s="3" t="s">
        <v>297</v>
      </c>
      <c r="M6" s="3" t="s">
        <v>298</v>
      </c>
      <c r="N6" s="3" t="s">
        <v>299</v>
      </c>
      <c r="O6" s="3"/>
      <c r="P6" s="3"/>
      <c r="Q6" s="3" t="s">
        <v>272</v>
      </c>
      <c r="R6" s="3" t="s">
        <v>273</v>
      </c>
      <c r="S6" s="3" t="s">
        <v>241</v>
      </c>
      <c r="T6" s="3" t="s">
        <v>79</v>
      </c>
      <c r="U6" s="3" t="s">
        <v>79</v>
      </c>
      <c r="V6" s="3" t="s">
        <v>242</v>
      </c>
      <c r="W6" s="3" t="s">
        <v>274</v>
      </c>
      <c r="X6" s="3" t="s">
        <v>300</v>
      </c>
      <c r="Y6" s="3" t="s">
        <v>244</v>
      </c>
      <c r="Z6" s="3" t="s">
        <v>245</v>
      </c>
      <c r="AA6" s="3" t="s">
        <v>301</v>
      </c>
      <c r="AB6" s="3" t="s">
        <v>247</v>
      </c>
      <c r="AC6" s="3" t="s">
        <v>247</v>
      </c>
      <c r="AD6" s="3" t="s">
        <v>247</v>
      </c>
      <c r="AE6" s="3"/>
      <c r="AF6" s="3" t="s">
        <v>19</v>
      </c>
      <c r="AG6" s="3" t="s">
        <v>302</v>
      </c>
      <c r="AH6" s="3" t="s">
        <v>248</v>
      </c>
      <c r="AI6" s="3"/>
      <c r="AJ6" s="3" t="s">
        <v>303</v>
      </c>
      <c r="AK6" s="3" t="s">
        <v>249</v>
      </c>
    </row>
    <row r="7" ht="51" spans="1:37">
      <c r="A7" s="3" t="s">
        <v>23</v>
      </c>
      <c r="B7" s="3" t="s">
        <v>304</v>
      </c>
      <c r="C7" s="3" t="s">
        <v>227</v>
      </c>
      <c r="D7" s="3" t="s">
        <v>305</v>
      </c>
      <c r="E7" s="3" t="s">
        <v>294</v>
      </c>
      <c r="F7" s="3" t="s">
        <v>306</v>
      </c>
      <c r="G7" s="4">
        <v>57</v>
      </c>
      <c r="H7" s="3" t="s">
        <v>307</v>
      </c>
      <c r="I7" s="3" t="s">
        <v>307</v>
      </c>
      <c r="J7" s="3" t="s">
        <v>266</v>
      </c>
      <c r="K7" s="3" t="s">
        <v>296</v>
      </c>
      <c r="L7" s="3" t="s">
        <v>308</v>
      </c>
      <c r="M7" s="3" t="s">
        <v>298</v>
      </c>
      <c r="N7" s="3" t="s">
        <v>299</v>
      </c>
      <c r="O7" s="3"/>
      <c r="P7" s="3" t="s">
        <v>309</v>
      </c>
      <c r="Q7" s="3" t="s">
        <v>272</v>
      </c>
      <c r="R7" s="3" t="s">
        <v>273</v>
      </c>
      <c r="S7" s="3" t="s">
        <v>241</v>
      </c>
      <c r="T7" s="3" t="s">
        <v>79</v>
      </c>
      <c r="U7" s="3" t="s">
        <v>79</v>
      </c>
      <c r="V7" s="3" t="s">
        <v>242</v>
      </c>
      <c r="W7" s="3" t="s">
        <v>274</v>
      </c>
      <c r="X7" s="3" t="s">
        <v>310</v>
      </c>
      <c r="Y7" s="3" t="s">
        <v>244</v>
      </c>
      <c r="Z7" s="3" t="s">
        <v>245</v>
      </c>
      <c r="AA7" s="3" t="s">
        <v>276</v>
      </c>
      <c r="AB7" s="3" t="s">
        <v>247</v>
      </c>
      <c r="AC7" s="3" t="s">
        <v>247</v>
      </c>
      <c r="AD7" s="3" t="s">
        <v>247</v>
      </c>
      <c r="AE7" s="3"/>
      <c r="AF7" s="3" t="s">
        <v>277</v>
      </c>
      <c r="AG7" s="3" t="s">
        <v>311</v>
      </c>
      <c r="AH7" s="3" t="s">
        <v>248</v>
      </c>
      <c r="AI7" s="3"/>
      <c r="AJ7" s="3" t="s">
        <v>312</v>
      </c>
      <c r="AK7" s="3" t="s">
        <v>249</v>
      </c>
    </row>
    <row r="8" ht="34" spans="1:37">
      <c r="A8" s="3" t="s">
        <v>23</v>
      </c>
      <c r="B8" s="3" t="s">
        <v>313</v>
      </c>
      <c r="C8" s="3" t="s">
        <v>227</v>
      </c>
      <c r="D8" s="3" t="s">
        <v>314</v>
      </c>
      <c r="E8" s="3" t="s">
        <v>263</v>
      </c>
      <c r="F8" s="3" t="s">
        <v>315</v>
      </c>
      <c r="G8" s="4">
        <v>56</v>
      </c>
      <c r="H8" s="3" t="s">
        <v>307</v>
      </c>
      <c r="I8" s="3" t="s">
        <v>307</v>
      </c>
      <c r="J8" s="3" t="s">
        <v>266</v>
      </c>
      <c r="K8" s="3" t="s">
        <v>316</v>
      </c>
      <c r="L8" s="3" t="s">
        <v>317</v>
      </c>
      <c r="M8" s="3" t="s">
        <v>298</v>
      </c>
      <c r="N8" s="3" t="s">
        <v>299</v>
      </c>
      <c r="O8" s="3"/>
      <c r="P8" s="3" t="s">
        <v>309</v>
      </c>
      <c r="Q8" s="3" t="s">
        <v>272</v>
      </c>
      <c r="R8" s="3" t="s">
        <v>273</v>
      </c>
      <c r="S8" s="3" t="s">
        <v>241</v>
      </c>
      <c r="T8" s="3" t="s">
        <v>79</v>
      </c>
      <c r="U8" s="3" t="s">
        <v>79</v>
      </c>
      <c r="V8" s="3" t="s">
        <v>242</v>
      </c>
      <c r="W8" s="3" t="s">
        <v>274</v>
      </c>
      <c r="X8" s="3" t="s">
        <v>318</v>
      </c>
      <c r="Y8" s="3" t="s">
        <v>244</v>
      </c>
      <c r="Z8" s="3" t="s">
        <v>245</v>
      </c>
      <c r="AA8" s="3" t="s">
        <v>319</v>
      </c>
      <c r="AB8" s="3" t="s">
        <v>247</v>
      </c>
      <c r="AC8" s="3" t="s">
        <v>247</v>
      </c>
      <c r="AD8" s="3" t="s">
        <v>247</v>
      </c>
      <c r="AE8" s="3"/>
      <c r="AF8" s="3" t="s">
        <v>277</v>
      </c>
      <c r="AG8" s="3" t="s">
        <v>320</v>
      </c>
      <c r="AH8" s="3" t="s">
        <v>248</v>
      </c>
      <c r="AI8" s="3"/>
      <c r="AJ8" s="3" t="s">
        <v>321</v>
      </c>
      <c r="AK8" s="3" t="s">
        <v>249</v>
      </c>
    </row>
    <row r="9" ht="34" spans="1:37">
      <c r="A9" s="3" t="s">
        <v>20</v>
      </c>
      <c r="B9" s="3" t="s">
        <v>322</v>
      </c>
      <c r="C9" s="3" t="s">
        <v>227</v>
      </c>
      <c r="D9" s="3" t="s">
        <v>323</v>
      </c>
      <c r="E9" s="3" t="s">
        <v>324</v>
      </c>
      <c r="F9" s="3" t="s">
        <v>325</v>
      </c>
      <c r="G9" s="4">
        <v>59</v>
      </c>
      <c r="H9" s="3" t="s">
        <v>307</v>
      </c>
      <c r="I9" s="3" t="s">
        <v>307</v>
      </c>
      <c r="J9" s="3" t="s">
        <v>233</v>
      </c>
      <c r="K9" s="3"/>
      <c r="L9" s="3" t="s">
        <v>326</v>
      </c>
      <c r="M9" s="3" t="s">
        <v>298</v>
      </c>
      <c r="N9" s="3" t="s">
        <v>327</v>
      </c>
      <c r="O9" s="3"/>
      <c r="P9" s="3" t="s">
        <v>328</v>
      </c>
      <c r="Q9" s="3" t="s">
        <v>272</v>
      </c>
      <c r="R9" s="3" t="s">
        <v>240</v>
      </c>
      <c r="S9" s="3" t="s">
        <v>241</v>
      </c>
      <c r="T9" s="3" t="s">
        <v>79</v>
      </c>
      <c r="U9" s="3" t="s">
        <v>79</v>
      </c>
      <c r="V9" s="3" t="s">
        <v>242</v>
      </c>
      <c r="W9" s="3" t="s">
        <v>274</v>
      </c>
      <c r="X9" s="3" t="s">
        <v>329</v>
      </c>
      <c r="Y9" s="3" t="s">
        <v>244</v>
      </c>
      <c r="Z9" s="3" t="s">
        <v>245</v>
      </c>
      <c r="AA9" s="3" t="s">
        <v>330</v>
      </c>
      <c r="AB9" s="3" t="s">
        <v>247</v>
      </c>
      <c r="AC9" s="3" t="s">
        <v>247</v>
      </c>
      <c r="AD9" s="3" t="s">
        <v>247</v>
      </c>
      <c r="AE9" s="3"/>
      <c r="AF9" s="3" t="s">
        <v>13</v>
      </c>
      <c r="AG9" s="3" t="s">
        <v>331</v>
      </c>
      <c r="AH9" s="3" t="s">
        <v>248</v>
      </c>
      <c r="AI9" s="3"/>
      <c r="AJ9" s="3" t="s">
        <v>332</v>
      </c>
      <c r="AK9" s="3" t="s">
        <v>249</v>
      </c>
    </row>
    <row r="10" ht="34" spans="1:37">
      <c r="A10" s="3" t="s">
        <v>20</v>
      </c>
      <c r="B10" s="3" t="s">
        <v>133</v>
      </c>
      <c r="C10" s="3" t="s">
        <v>227</v>
      </c>
      <c r="D10" s="3" t="s">
        <v>333</v>
      </c>
      <c r="E10" s="3" t="s">
        <v>334</v>
      </c>
      <c r="F10" s="3" t="s">
        <v>335</v>
      </c>
      <c r="G10" s="4">
        <v>57</v>
      </c>
      <c r="H10" s="3" t="s">
        <v>336</v>
      </c>
      <c r="I10" s="3" t="s">
        <v>336</v>
      </c>
      <c r="J10" s="3" t="s">
        <v>285</v>
      </c>
      <c r="K10" s="3"/>
      <c r="L10" s="3" t="s">
        <v>337</v>
      </c>
      <c r="M10" s="3" t="s">
        <v>236</v>
      </c>
      <c r="N10" s="3" t="s">
        <v>286</v>
      </c>
      <c r="O10" s="3" t="s">
        <v>338</v>
      </c>
      <c r="P10" s="3" t="s">
        <v>339</v>
      </c>
      <c r="Q10" s="3" t="s">
        <v>272</v>
      </c>
      <c r="R10" s="3" t="s">
        <v>240</v>
      </c>
      <c r="S10" s="3" t="s">
        <v>289</v>
      </c>
      <c r="T10" s="3" t="s">
        <v>79</v>
      </c>
      <c r="U10" s="3" t="s">
        <v>79</v>
      </c>
      <c r="V10" s="3" t="s">
        <v>242</v>
      </c>
      <c r="W10" s="3" t="s">
        <v>340</v>
      </c>
      <c r="X10" s="3" t="s">
        <v>341</v>
      </c>
      <c r="Y10" s="3" t="s">
        <v>244</v>
      </c>
      <c r="Z10" s="3" t="s">
        <v>245</v>
      </c>
      <c r="AA10" s="3" t="s">
        <v>342</v>
      </c>
      <c r="AB10" s="3" t="s">
        <v>247</v>
      </c>
      <c r="AC10" s="3" t="s">
        <v>247</v>
      </c>
      <c r="AD10" s="3" t="s">
        <v>247</v>
      </c>
      <c r="AE10" s="3" t="s">
        <v>51</v>
      </c>
      <c r="AF10" s="3" t="s">
        <v>13</v>
      </c>
      <c r="AG10" s="3" t="s">
        <v>343</v>
      </c>
      <c r="AH10" s="3" t="s">
        <v>248</v>
      </c>
      <c r="AI10" s="3"/>
      <c r="AJ10" s="3" t="s">
        <v>344</v>
      </c>
      <c r="AK10" s="3" t="s">
        <v>249</v>
      </c>
    </row>
    <row r="11" ht="34" spans="1:37">
      <c r="A11" s="3" t="s">
        <v>13</v>
      </c>
      <c r="B11" s="3" t="s">
        <v>64</v>
      </c>
      <c r="C11" s="3" t="s">
        <v>227</v>
      </c>
      <c r="D11" s="3" t="s">
        <v>345</v>
      </c>
      <c r="E11" s="3" t="s">
        <v>346</v>
      </c>
      <c r="F11" s="3" t="s">
        <v>347</v>
      </c>
      <c r="G11" s="4">
        <v>53</v>
      </c>
      <c r="H11" s="3" t="s">
        <v>348</v>
      </c>
      <c r="I11" s="3" t="s">
        <v>348</v>
      </c>
      <c r="J11" s="3" t="s">
        <v>233</v>
      </c>
      <c r="K11" s="3" t="s">
        <v>349</v>
      </c>
      <c r="L11" s="3" t="s">
        <v>350</v>
      </c>
      <c r="M11" s="3" t="s">
        <v>351</v>
      </c>
      <c r="N11" s="3" t="s">
        <v>352</v>
      </c>
      <c r="O11" s="3" t="s">
        <v>353</v>
      </c>
      <c r="P11" s="3" t="s">
        <v>354</v>
      </c>
      <c r="Q11" s="3" t="s">
        <v>272</v>
      </c>
      <c r="R11" s="3" t="s">
        <v>240</v>
      </c>
      <c r="S11" s="3" t="s">
        <v>241</v>
      </c>
      <c r="T11" s="3" t="s">
        <v>79</v>
      </c>
      <c r="U11" s="3" t="s">
        <v>79</v>
      </c>
      <c r="V11" s="3" t="s">
        <v>242</v>
      </c>
      <c r="W11" s="3" t="s">
        <v>340</v>
      </c>
      <c r="X11" s="3" t="s">
        <v>355</v>
      </c>
      <c r="Y11" s="3" t="s">
        <v>244</v>
      </c>
      <c r="Z11" s="3" t="s">
        <v>245</v>
      </c>
      <c r="AA11" s="3" t="s">
        <v>356</v>
      </c>
      <c r="AB11" s="3" t="s">
        <v>247</v>
      </c>
      <c r="AC11" s="3" t="s">
        <v>247</v>
      </c>
      <c r="AD11" s="3" t="s">
        <v>247</v>
      </c>
      <c r="AE11" s="3"/>
      <c r="AF11" s="3" t="s">
        <v>13</v>
      </c>
      <c r="AG11" s="3" t="s">
        <v>357</v>
      </c>
      <c r="AH11" s="3" t="s">
        <v>248</v>
      </c>
      <c r="AI11" s="3"/>
      <c r="AJ11" s="3" t="s">
        <v>358</v>
      </c>
      <c r="AK11" s="3" t="s">
        <v>249</v>
      </c>
    </row>
    <row r="12" ht="34" spans="1:37">
      <c r="A12" s="3" t="s">
        <v>22</v>
      </c>
      <c r="B12" s="3" t="s">
        <v>174</v>
      </c>
      <c r="C12" s="3" t="s">
        <v>227</v>
      </c>
      <c r="D12" s="3" t="s">
        <v>359</v>
      </c>
      <c r="E12" s="3" t="s">
        <v>360</v>
      </c>
      <c r="F12" s="3" t="s">
        <v>361</v>
      </c>
      <c r="G12" s="4">
        <v>57</v>
      </c>
      <c r="H12" s="3" t="s">
        <v>362</v>
      </c>
      <c r="I12" s="3" t="s">
        <v>362</v>
      </c>
      <c r="J12" s="3" t="s">
        <v>233</v>
      </c>
      <c r="K12" s="3"/>
      <c r="L12" s="3" t="s">
        <v>363</v>
      </c>
      <c r="M12" s="3" t="s">
        <v>364</v>
      </c>
      <c r="N12" s="3" t="s">
        <v>365</v>
      </c>
      <c r="O12" s="3" t="s">
        <v>366</v>
      </c>
      <c r="P12" s="3" t="s">
        <v>367</v>
      </c>
      <c r="Q12" s="3" t="s">
        <v>272</v>
      </c>
      <c r="R12" s="3" t="s">
        <v>240</v>
      </c>
      <c r="S12" s="3" t="s">
        <v>241</v>
      </c>
      <c r="T12" s="3" t="s">
        <v>79</v>
      </c>
      <c r="U12" s="3" t="s">
        <v>79</v>
      </c>
      <c r="V12" s="3" t="s">
        <v>242</v>
      </c>
      <c r="W12" s="3" t="s">
        <v>340</v>
      </c>
      <c r="X12" s="3" t="s">
        <v>368</v>
      </c>
      <c r="Y12" s="3" t="s">
        <v>244</v>
      </c>
      <c r="Z12" s="3" t="s">
        <v>245</v>
      </c>
      <c r="AA12" s="3" t="s">
        <v>369</v>
      </c>
      <c r="AB12" s="3" t="s">
        <v>247</v>
      </c>
      <c r="AC12" s="3" t="s">
        <v>247</v>
      </c>
      <c r="AD12" s="3" t="s">
        <v>248</v>
      </c>
      <c r="AE12" s="3"/>
      <c r="AF12" s="3" t="s">
        <v>22</v>
      </c>
      <c r="AG12" s="3" t="s">
        <v>370</v>
      </c>
      <c r="AH12" s="3" t="s">
        <v>248</v>
      </c>
      <c r="AI12" s="3"/>
      <c r="AJ12" s="3" t="s">
        <v>371</v>
      </c>
      <c r="AK12" s="3" t="s">
        <v>249</v>
      </c>
    </row>
    <row r="13" ht="34" spans="1:37">
      <c r="A13" s="3" t="s">
        <v>10</v>
      </c>
      <c r="B13" s="3" t="s">
        <v>372</v>
      </c>
      <c r="C13" s="3" t="s">
        <v>227</v>
      </c>
      <c r="D13" s="3" t="s">
        <v>373</v>
      </c>
      <c r="E13" s="3" t="s">
        <v>229</v>
      </c>
      <c r="F13" s="3" t="s">
        <v>315</v>
      </c>
      <c r="G13" s="4">
        <v>56</v>
      </c>
      <c r="H13" s="3" t="s">
        <v>374</v>
      </c>
      <c r="I13" s="3" t="s">
        <v>374</v>
      </c>
      <c r="J13" s="3" t="s">
        <v>233</v>
      </c>
      <c r="K13" s="3" t="s">
        <v>375</v>
      </c>
      <c r="L13" s="3" t="s">
        <v>376</v>
      </c>
      <c r="M13" s="3" t="s">
        <v>351</v>
      </c>
      <c r="N13" s="3" t="s">
        <v>377</v>
      </c>
      <c r="O13" s="3" t="s">
        <v>378</v>
      </c>
      <c r="P13" s="3" t="s">
        <v>379</v>
      </c>
      <c r="Q13" s="3" t="s">
        <v>272</v>
      </c>
      <c r="R13" s="3" t="s">
        <v>240</v>
      </c>
      <c r="S13" s="3" t="s">
        <v>241</v>
      </c>
      <c r="T13" s="3" t="s">
        <v>79</v>
      </c>
      <c r="U13" s="3" t="s">
        <v>79</v>
      </c>
      <c r="V13" s="3" t="s">
        <v>242</v>
      </c>
      <c r="W13" s="3" t="s">
        <v>340</v>
      </c>
      <c r="X13" s="3" t="s">
        <v>380</v>
      </c>
      <c r="Y13" s="3" t="s">
        <v>244</v>
      </c>
      <c r="Z13" s="3" t="s">
        <v>245</v>
      </c>
      <c r="AA13" s="3"/>
      <c r="AB13" s="3" t="s">
        <v>248</v>
      </c>
      <c r="AC13" s="3" t="s">
        <v>247</v>
      </c>
      <c r="AD13" s="3" t="s">
        <v>248</v>
      </c>
      <c r="AE13" s="3"/>
      <c r="AF13" s="3" t="s">
        <v>10</v>
      </c>
      <c r="AG13" s="3" t="s">
        <v>381</v>
      </c>
      <c r="AH13" s="3" t="s">
        <v>248</v>
      </c>
      <c r="AI13" s="3"/>
      <c r="AJ13" s="3" t="s">
        <v>382</v>
      </c>
      <c r="AK13" s="3" t="s">
        <v>249</v>
      </c>
    </row>
    <row r="14" ht="51" spans="1:37">
      <c r="A14" s="3" t="s">
        <v>19</v>
      </c>
      <c r="B14" s="3" t="s">
        <v>120</v>
      </c>
      <c r="C14" s="3" t="s">
        <v>227</v>
      </c>
      <c r="D14" s="3" t="s">
        <v>383</v>
      </c>
      <c r="E14" s="3" t="s">
        <v>384</v>
      </c>
      <c r="F14" s="3" t="s">
        <v>385</v>
      </c>
      <c r="G14" s="4">
        <v>55</v>
      </c>
      <c r="H14" s="3" t="s">
        <v>386</v>
      </c>
      <c r="I14" s="3" t="s">
        <v>386</v>
      </c>
      <c r="J14" s="3" t="s">
        <v>285</v>
      </c>
      <c r="K14" s="3" t="s">
        <v>387</v>
      </c>
      <c r="L14" s="3" t="s">
        <v>388</v>
      </c>
      <c r="M14" s="3" t="s">
        <v>351</v>
      </c>
      <c r="N14" s="3"/>
      <c r="O14" s="3" t="s">
        <v>389</v>
      </c>
      <c r="P14" s="3" t="s">
        <v>390</v>
      </c>
      <c r="Q14" s="3" t="s">
        <v>272</v>
      </c>
      <c r="R14" s="3" t="s">
        <v>240</v>
      </c>
      <c r="S14" s="3" t="s">
        <v>289</v>
      </c>
      <c r="T14" s="3" t="s">
        <v>79</v>
      </c>
      <c r="U14" s="3" t="s">
        <v>79</v>
      </c>
      <c r="V14" s="3" t="s">
        <v>242</v>
      </c>
      <c r="W14" s="3" t="s">
        <v>340</v>
      </c>
      <c r="X14" s="3" t="s">
        <v>391</v>
      </c>
      <c r="Y14" s="3" t="s">
        <v>244</v>
      </c>
      <c r="Z14" s="3" t="s">
        <v>245</v>
      </c>
      <c r="AA14" s="3" t="s">
        <v>392</v>
      </c>
      <c r="AB14" s="3" t="s">
        <v>247</v>
      </c>
      <c r="AC14" s="3" t="s">
        <v>247</v>
      </c>
      <c r="AD14" s="3" t="s">
        <v>247</v>
      </c>
      <c r="AE14" s="3" t="s">
        <v>42</v>
      </c>
      <c r="AF14" s="3" t="s">
        <v>19</v>
      </c>
      <c r="AG14" s="3" t="s">
        <v>393</v>
      </c>
      <c r="AH14" s="3" t="s">
        <v>248</v>
      </c>
      <c r="AI14" s="3"/>
      <c r="AJ14" s="3" t="s">
        <v>394</v>
      </c>
      <c r="AK14" s="3" t="s">
        <v>249</v>
      </c>
    </row>
    <row r="15" ht="34" spans="1:37">
      <c r="A15" s="3" t="s">
        <v>11</v>
      </c>
      <c r="B15" s="3" t="s">
        <v>49</v>
      </c>
      <c r="C15" s="3" t="s">
        <v>227</v>
      </c>
      <c r="D15" s="3" t="s">
        <v>395</v>
      </c>
      <c r="E15" s="3" t="s">
        <v>396</v>
      </c>
      <c r="F15" s="3" t="s">
        <v>325</v>
      </c>
      <c r="G15" s="4">
        <v>59</v>
      </c>
      <c r="H15" s="3" t="s">
        <v>397</v>
      </c>
      <c r="I15" s="3" t="s">
        <v>397</v>
      </c>
      <c r="J15" s="3" t="s">
        <v>285</v>
      </c>
      <c r="K15" s="3"/>
      <c r="L15" s="3" t="s">
        <v>398</v>
      </c>
      <c r="M15" s="3" t="s">
        <v>364</v>
      </c>
      <c r="N15" s="3" t="s">
        <v>286</v>
      </c>
      <c r="O15" s="3" t="s">
        <v>399</v>
      </c>
      <c r="P15" s="3" t="s">
        <v>400</v>
      </c>
      <c r="Q15" s="3" t="s">
        <v>272</v>
      </c>
      <c r="R15" s="3" t="s">
        <v>240</v>
      </c>
      <c r="S15" s="3" t="s">
        <v>241</v>
      </c>
      <c r="T15" s="3" t="s">
        <v>79</v>
      </c>
      <c r="U15" s="3" t="s">
        <v>79</v>
      </c>
      <c r="V15" s="3" t="s">
        <v>242</v>
      </c>
      <c r="W15" s="3" t="s">
        <v>340</v>
      </c>
      <c r="X15" s="3" t="s">
        <v>290</v>
      </c>
      <c r="Y15" s="3" t="s">
        <v>244</v>
      </c>
      <c r="Z15" s="3" t="s">
        <v>245</v>
      </c>
      <c r="AA15" s="3"/>
      <c r="AB15" s="3" t="s">
        <v>248</v>
      </c>
      <c r="AC15" s="3" t="s">
        <v>247</v>
      </c>
      <c r="AD15" s="3" t="s">
        <v>248</v>
      </c>
      <c r="AE15" s="3"/>
      <c r="AF15" s="3" t="s">
        <v>11</v>
      </c>
      <c r="AG15" s="3" t="s">
        <v>401</v>
      </c>
      <c r="AH15" s="3" t="s">
        <v>248</v>
      </c>
      <c r="AI15" s="3"/>
      <c r="AJ15" s="3" t="s">
        <v>402</v>
      </c>
      <c r="AK15" s="3" t="s">
        <v>249</v>
      </c>
    </row>
    <row r="16" ht="34" spans="1:37">
      <c r="A16" s="3" t="s">
        <v>20</v>
      </c>
      <c r="B16" s="3" t="s">
        <v>125</v>
      </c>
      <c r="C16" s="3" t="s">
        <v>227</v>
      </c>
      <c r="D16" s="3" t="s">
        <v>403</v>
      </c>
      <c r="E16" s="3" t="s">
        <v>384</v>
      </c>
      <c r="F16" s="3" t="s">
        <v>404</v>
      </c>
      <c r="G16" s="4">
        <v>58</v>
      </c>
      <c r="H16" s="3" t="s">
        <v>405</v>
      </c>
      <c r="I16" s="3" t="s">
        <v>405</v>
      </c>
      <c r="J16" s="3" t="s">
        <v>285</v>
      </c>
      <c r="K16" s="3"/>
      <c r="L16" s="3" t="s">
        <v>406</v>
      </c>
      <c r="M16" s="3" t="s">
        <v>351</v>
      </c>
      <c r="N16" s="3" t="s">
        <v>286</v>
      </c>
      <c r="O16" s="3" t="s">
        <v>407</v>
      </c>
      <c r="P16" s="3" t="s">
        <v>374</v>
      </c>
      <c r="Q16" s="3" t="s">
        <v>272</v>
      </c>
      <c r="R16" s="3" t="s">
        <v>240</v>
      </c>
      <c r="S16" s="3" t="s">
        <v>289</v>
      </c>
      <c r="T16" s="3" t="s">
        <v>79</v>
      </c>
      <c r="U16" s="3" t="s">
        <v>79</v>
      </c>
      <c r="V16" s="3" t="s">
        <v>242</v>
      </c>
      <c r="W16" s="3" t="s">
        <v>340</v>
      </c>
      <c r="X16" s="3" t="s">
        <v>408</v>
      </c>
      <c r="Y16" s="3" t="s">
        <v>244</v>
      </c>
      <c r="Z16" s="3" t="s">
        <v>245</v>
      </c>
      <c r="AA16" s="3" t="s">
        <v>409</v>
      </c>
      <c r="AB16" s="3" t="s">
        <v>247</v>
      </c>
      <c r="AC16" s="3" t="s">
        <v>247</v>
      </c>
      <c r="AD16" s="3" t="s">
        <v>247</v>
      </c>
      <c r="AE16" s="3" t="s">
        <v>51</v>
      </c>
      <c r="AF16" s="3" t="s">
        <v>13</v>
      </c>
      <c r="AG16" s="3" t="s">
        <v>410</v>
      </c>
      <c r="AH16" s="3" t="s">
        <v>248</v>
      </c>
      <c r="AI16" s="3"/>
      <c r="AJ16" s="3" t="s">
        <v>411</v>
      </c>
      <c r="AK16" s="3" t="s">
        <v>249</v>
      </c>
    </row>
    <row r="17" ht="34" spans="1:37">
      <c r="A17" s="3" t="s">
        <v>18</v>
      </c>
      <c r="B17" s="3" t="s">
        <v>412</v>
      </c>
      <c r="C17" s="3" t="s">
        <v>251</v>
      </c>
      <c r="D17" s="3" t="s">
        <v>413</v>
      </c>
      <c r="E17" s="3" t="s">
        <v>414</v>
      </c>
      <c r="F17" s="3" t="s">
        <v>415</v>
      </c>
      <c r="G17" s="4">
        <v>54</v>
      </c>
      <c r="H17" s="3" t="s">
        <v>374</v>
      </c>
      <c r="I17" s="3" t="s">
        <v>374</v>
      </c>
      <c r="J17" s="3" t="s">
        <v>233</v>
      </c>
      <c r="K17" s="3" t="s">
        <v>416</v>
      </c>
      <c r="L17" s="3" t="s">
        <v>417</v>
      </c>
      <c r="M17" s="3" t="s">
        <v>364</v>
      </c>
      <c r="N17" s="3" t="s">
        <v>286</v>
      </c>
      <c r="O17" s="3" t="s">
        <v>399</v>
      </c>
      <c r="P17" s="3" t="s">
        <v>374</v>
      </c>
      <c r="Q17" s="3" t="s">
        <v>272</v>
      </c>
      <c r="R17" s="3" t="s">
        <v>240</v>
      </c>
      <c r="S17" s="3" t="s">
        <v>241</v>
      </c>
      <c r="T17" s="3" t="s">
        <v>79</v>
      </c>
      <c r="U17" s="3" t="s">
        <v>79</v>
      </c>
      <c r="V17" s="3" t="s">
        <v>242</v>
      </c>
      <c r="W17" s="3" t="s">
        <v>340</v>
      </c>
      <c r="X17" s="3" t="s">
        <v>418</v>
      </c>
      <c r="Y17" s="3" t="s">
        <v>244</v>
      </c>
      <c r="Z17" s="3" t="s">
        <v>245</v>
      </c>
      <c r="AA17" s="3" t="s">
        <v>419</v>
      </c>
      <c r="AB17" s="3" t="s">
        <v>247</v>
      </c>
      <c r="AC17" s="3" t="s">
        <v>247</v>
      </c>
      <c r="AD17" s="3" t="s">
        <v>247</v>
      </c>
      <c r="AE17" s="3"/>
      <c r="AF17" s="3" t="s">
        <v>18</v>
      </c>
      <c r="AG17" s="3" t="s">
        <v>420</v>
      </c>
      <c r="AH17" s="3" t="s">
        <v>248</v>
      </c>
      <c r="AI17" s="3"/>
      <c r="AJ17" s="3" t="s">
        <v>421</v>
      </c>
      <c r="AK17" s="3" t="s">
        <v>249</v>
      </c>
    </row>
    <row r="18" ht="34" spans="1:37">
      <c r="A18" s="3" t="s">
        <v>11</v>
      </c>
      <c r="B18" s="3" t="s">
        <v>44</v>
      </c>
      <c r="C18" s="3" t="s">
        <v>227</v>
      </c>
      <c r="D18" s="3" t="s">
        <v>422</v>
      </c>
      <c r="E18" s="3" t="s">
        <v>396</v>
      </c>
      <c r="F18" s="3" t="s">
        <v>423</v>
      </c>
      <c r="G18" s="4">
        <v>57</v>
      </c>
      <c r="H18" s="3" t="s">
        <v>424</v>
      </c>
      <c r="I18" s="3" t="s">
        <v>424</v>
      </c>
      <c r="J18" s="3" t="s">
        <v>285</v>
      </c>
      <c r="K18" s="3"/>
      <c r="L18" s="3" t="s">
        <v>425</v>
      </c>
      <c r="M18" s="3" t="s">
        <v>236</v>
      </c>
      <c r="N18" s="3" t="s">
        <v>286</v>
      </c>
      <c r="O18" s="3" t="s">
        <v>426</v>
      </c>
      <c r="P18" s="3" t="s">
        <v>424</v>
      </c>
      <c r="Q18" s="3" t="s">
        <v>272</v>
      </c>
      <c r="R18" s="3" t="s">
        <v>240</v>
      </c>
      <c r="S18" s="3" t="s">
        <v>241</v>
      </c>
      <c r="T18" s="3" t="s">
        <v>79</v>
      </c>
      <c r="U18" s="3" t="s">
        <v>79</v>
      </c>
      <c r="V18" s="3" t="s">
        <v>242</v>
      </c>
      <c r="W18" s="3" t="s">
        <v>340</v>
      </c>
      <c r="X18" s="3" t="s">
        <v>418</v>
      </c>
      <c r="Y18" s="3" t="s">
        <v>244</v>
      </c>
      <c r="Z18" s="3" t="s">
        <v>245</v>
      </c>
      <c r="AA18" s="3"/>
      <c r="AB18" s="3" t="s">
        <v>248</v>
      </c>
      <c r="AC18" s="3" t="s">
        <v>247</v>
      </c>
      <c r="AD18" s="3" t="s">
        <v>248</v>
      </c>
      <c r="AE18" s="3"/>
      <c r="AF18" s="3" t="s">
        <v>11</v>
      </c>
      <c r="AG18" s="3" t="s">
        <v>427</v>
      </c>
      <c r="AH18" s="3" t="s">
        <v>248</v>
      </c>
      <c r="AI18" s="3"/>
      <c r="AJ18" s="3" t="s">
        <v>428</v>
      </c>
      <c r="AK18" s="3" t="s">
        <v>249</v>
      </c>
    </row>
    <row r="19" ht="34" spans="1:37">
      <c r="A19" s="3" t="s">
        <v>22</v>
      </c>
      <c r="B19" s="3" t="s">
        <v>160</v>
      </c>
      <c r="C19" s="3" t="s">
        <v>227</v>
      </c>
      <c r="D19" s="3" t="s">
        <v>429</v>
      </c>
      <c r="E19" s="3" t="s">
        <v>430</v>
      </c>
      <c r="F19" s="3" t="s">
        <v>431</v>
      </c>
      <c r="G19" s="4">
        <v>57</v>
      </c>
      <c r="H19" s="3" t="s">
        <v>432</v>
      </c>
      <c r="I19" s="3" t="s">
        <v>432</v>
      </c>
      <c r="J19" s="3" t="s">
        <v>285</v>
      </c>
      <c r="K19" s="3"/>
      <c r="L19" s="3" t="s">
        <v>433</v>
      </c>
      <c r="M19" s="3" t="s">
        <v>351</v>
      </c>
      <c r="N19" s="3"/>
      <c r="O19" s="3" t="s">
        <v>434</v>
      </c>
      <c r="P19" s="3" t="s">
        <v>336</v>
      </c>
      <c r="Q19" s="3" t="s">
        <v>272</v>
      </c>
      <c r="R19" s="3" t="s">
        <v>240</v>
      </c>
      <c r="S19" s="3" t="s">
        <v>289</v>
      </c>
      <c r="T19" s="3" t="s">
        <v>79</v>
      </c>
      <c r="U19" s="3" t="s">
        <v>79</v>
      </c>
      <c r="V19" s="3" t="s">
        <v>242</v>
      </c>
      <c r="W19" s="3" t="s">
        <v>340</v>
      </c>
      <c r="X19" s="3" t="s">
        <v>435</v>
      </c>
      <c r="Y19" s="3" t="s">
        <v>244</v>
      </c>
      <c r="Z19" s="3" t="s">
        <v>245</v>
      </c>
      <c r="AA19" s="3" t="s">
        <v>436</v>
      </c>
      <c r="AB19" s="3" t="s">
        <v>247</v>
      </c>
      <c r="AC19" s="3" t="s">
        <v>247</v>
      </c>
      <c r="AD19" s="3" t="s">
        <v>247</v>
      </c>
      <c r="AE19" s="3" t="s">
        <v>46</v>
      </c>
      <c r="AF19" s="3" t="s">
        <v>22</v>
      </c>
      <c r="AG19" s="3" t="s">
        <v>437</v>
      </c>
      <c r="AH19" s="3" t="s">
        <v>248</v>
      </c>
      <c r="AI19" s="3"/>
      <c r="AJ19" s="3" t="s">
        <v>438</v>
      </c>
      <c r="AK19" s="3" t="s">
        <v>249</v>
      </c>
    </row>
    <row r="20" ht="34" spans="1:37">
      <c r="A20" s="3" t="s">
        <v>20</v>
      </c>
      <c r="B20" s="3" t="s">
        <v>132</v>
      </c>
      <c r="C20" s="3" t="s">
        <v>227</v>
      </c>
      <c r="D20" s="3" t="s">
        <v>439</v>
      </c>
      <c r="E20" s="3" t="s">
        <v>430</v>
      </c>
      <c r="F20" s="3" t="s">
        <v>440</v>
      </c>
      <c r="G20" s="4">
        <v>52</v>
      </c>
      <c r="H20" s="3" t="s">
        <v>441</v>
      </c>
      <c r="I20" s="3" t="s">
        <v>441</v>
      </c>
      <c r="J20" s="3" t="s">
        <v>285</v>
      </c>
      <c r="K20" s="3" t="s">
        <v>442</v>
      </c>
      <c r="L20" s="3" t="s">
        <v>443</v>
      </c>
      <c r="M20" s="3" t="s">
        <v>236</v>
      </c>
      <c r="N20" s="3" t="s">
        <v>352</v>
      </c>
      <c r="O20" s="3" t="s">
        <v>353</v>
      </c>
      <c r="P20" s="3" t="s">
        <v>444</v>
      </c>
      <c r="Q20" s="3" t="s">
        <v>272</v>
      </c>
      <c r="R20" s="3" t="s">
        <v>240</v>
      </c>
      <c r="S20" s="3" t="s">
        <v>241</v>
      </c>
      <c r="T20" s="3" t="s">
        <v>79</v>
      </c>
      <c r="U20" s="3" t="s">
        <v>79</v>
      </c>
      <c r="V20" s="3" t="s">
        <v>242</v>
      </c>
      <c r="W20" s="3" t="s">
        <v>445</v>
      </c>
      <c r="X20" s="3" t="s">
        <v>446</v>
      </c>
      <c r="Y20" s="3" t="s">
        <v>244</v>
      </c>
      <c r="Z20" s="3" t="s">
        <v>245</v>
      </c>
      <c r="AA20" s="3" t="s">
        <v>447</v>
      </c>
      <c r="AB20" s="3" t="s">
        <v>247</v>
      </c>
      <c r="AC20" s="3" t="s">
        <v>247</v>
      </c>
      <c r="AD20" s="3" t="s">
        <v>247</v>
      </c>
      <c r="AE20" s="3" t="s">
        <v>51</v>
      </c>
      <c r="AF20" s="3" t="s">
        <v>13</v>
      </c>
      <c r="AG20" s="3" t="s">
        <v>448</v>
      </c>
      <c r="AH20" s="3" t="s">
        <v>248</v>
      </c>
      <c r="AI20" s="3"/>
      <c r="AJ20" s="3" t="s">
        <v>449</v>
      </c>
      <c r="AK20" s="3" t="s">
        <v>249</v>
      </c>
    </row>
    <row r="21" ht="34" spans="1:37">
      <c r="A21" s="3" t="s">
        <v>22</v>
      </c>
      <c r="B21" s="3" t="s">
        <v>173</v>
      </c>
      <c r="C21" s="3" t="s">
        <v>227</v>
      </c>
      <c r="D21" s="3" t="s">
        <v>450</v>
      </c>
      <c r="E21" s="3" t="s">
        <v>360</v>
      </c>
      <c r="F21" s="3" t="s">
        <v>451</v>
      </c>
      <c r="G21" s="4">
        <v>52</v>
      </c>
      <c r="H21" s="3" t="s">
        <v>452</v>
      </c>
      <c r="I21" s="3" t="s">
        <v>452</v>
      </c>
      <c r="J21" s="3" t="s">
        <v>233</v>
      </c>
      <c r="K21" s="3"/>
      <c r="L21" s="3" t="s">
        <v>453</v>
      </c>
      <c r="M21" s="3" t="s">
        <v>351</v>
      </c>
      <c r="N21" s="3" t="s">
        <v>365</v>
      </c>
      <c r="O21" s="3" t="s">
        <v>454</v>
      </c>
      <c r="P21" s="3" t="s">
        <v>455</v>
      </c>
      <c r="Q21" s="3" t="s">
        <v>272</v>
      </c>
      <c r="R21" s="3" t="s">
        <v>240</v>
      </c>
      <c r="S21" s="3" t="s">
        <v>241</v>
      </c>
      <c r="T21" s="3" t="s">
        <v>79</v>
      </c>
      <c r="U21" s="3" t="s">
        <v>79</v>
      </c>
      <c r="V21" s="3" t="s">
        <v>242</v>
      </c>
      <c r="W21" s="3" t="s">
        <v>445</v>
      </c>
      <c r="X21" s="3" t="s">
        <v>456</v>
      </c>
      <c r="Y21" s="3" t="s">
        <v>244</v>
      </c>
      <c r="Z21" s="3" t="s">
        <v>245</v>
      </c>
      <c r="AA21" s="3"/>
      <c r="AB21" s="3" t="s">
        <v>248</v>
      </c>
      <c r="AC21" s="3" t="s">
        <v>247</v>
      </c>
      <c r="AD21" s="3" t="s">
        <v>248</v>
      </c>
      <c r="AE21" s="3"/>
      <c r="AF21" s="3" t="s">
        <v>22</v>
      </c>
      <c r="AG21" s="3" t="s">
        <v>457</v>
      </c>
      <c r="AH21" s="3" t="s">
        <v>248</v>
      </c>
      <c r="AI21" s="3"/>
      <c r="AJ21" s="3" t="s">
        <v>458</v>
      </c>
      <c r="AK21" s="3" t="s">
        <v>249</v>
      </c>
    </row>
    <row r="22" ht="34" spans="1:37">
      <c r="A22" s="3" t="s">
        <v>11</v>
      </c>
      <c r="B22" s="3" t="s">
        <v>43</v>
      </c>
      <c r="C22" s="3" t="s">
        <v>227</v>
      </c>
      <c r="D22" s="3" t="s">
        <v>459</v>
      </c>
      <c r="E22" s="3" t="s">
        <v>460</v>
      </c>
      <c r="F22" s="3" t="s">
        <v>361</v>
      </c>
      <c r="G22" s="4">
        <v>57</v>
      </c>
      <c r="H22" s="3" t="s">
        <v>461</v>
      </c>
      <c r="I22" s="3" t="s">
        <v>461</v>
      </c>
      <c r="J22" s="3" t="s">
        <v>285</v>
      </c>
      <c r="K22" s="3"/>
      <c r="L22" s="3" t="s">
        <v>462</v>
      </c>
      <c r="M22" s="3" t="s">
        <v>236</v>
      </c>
      <c r="N22" s="3" t="s">
        <v>286</v>
      </c>
      <c r="O22" s="3" t="s">
        <v>463</v>
      </c>
      <c r="P22" s="3" t="s">
        <v>452</v>
      </c>
      <c r="Q22" s="3" t="s">
        <v>272</v>
      </c>
      <c r="R22" s="3" t="s">
        <v>240</v>
      </c>
      <c r="S22" s="3" t="s">
        <v>464</v>
      </c>
      <c r="T22" s="3" t="s">
        <v>79</v>
      </c>
      <c r="U22" s="3" t="s">
        <v>79</v>
      </c>
      <c r="V22" s="3" t="s">
        <v>242</v>
      </c>
      <c r="W22" s="3" t="s">
        <v>445</v>
      </c>
      <c r="X22" s="3" t="s">
        <v>290</v>
      </c>
      <c r="Y22" s="3" t="s">
        <v>244</v>
      </c>
      <c r="Z22" s="3" t="s">
        <v>245</v>
      </c>
      <c r="AA22" s="3"/>
      <c r="AB22" s="3" t="s">
        <v>248</v>
      </c>
      <c r="AC22" s="3" t="s">
        <v>247</v>
      </c>
      <c r="AD22" s="3" t="s">
        <v>248</v>
      </c>
      <c r="AE22" s="3"/>
      <c r="AF22" s="3" t="s">
        <v>11</v>
      </c>
      <c r="AG22" s="3" t="s">
        <v>465</v>
      </c>
      <c r="AH22" s="3" t="s">
        <v>248</v>
      </c>
      <c r="AI22" s="3"/>
      <c r="AJ22" s="3" t="s">
        <v>466</v>
      </c>
      <c r="AK22" s="3" t="s">
        <v>249</v>
      </c>
    </row>
    <row r="23" ht="34" spans="1:37">
      <c r="A23" s="3" t="s">
        <v>20</v>
      </c>
      <c r="B23" s="3" t="s">
        <v>467</v>
      </c>
      <c r="C23" s="3" t="s">
        <v>227</v>
      </c>
      <c r="D23" s="3" t="s">
        <v>468</v>
      </c>
      <c r="E23" s="3" t="s">
        <v>294</v>
      </c>
      <c r="F23" s="3" t="s">
        <v>469</v>
      </c>
      <c r="G23" s="4">
        <v>54</v>
      </c>
      <c r="H23" s="3" t="s">
        <v>470</v>
      </c>
      <c r="I23" s="3" t="s">
        <v>470</v>
      </c>
      <c r="J23" s="3" t="s">
        <v>266</v>
      </c>
      <c r="K23" s="3" t="s">
        <v>471</v>
      </c>
      <c r="L23" s="3" t="s">
        <v>472</v>
      </c>
      <c r="M23" s="3" t="s">
        <v>473</v>
      </c>
      <c r="N23" s="3" t="s">
        <v>474</v>
      </c>
      <c r="O23" s="3" t="s">
        <v>475</v>
      </c>
      <c r="P23" s="3" t="s">
        <v>374</v>
      </c>
      <c r="Q23" s="3" t="s">
        <v>272</v>
      </c>
      <c r="R23" s="3" t="s">
        <v>273</v>
      </c>
      <c r="S23" s="3" t="s">
        <v>241</v>
      </c>
      <c r="T23" s="3" t="s">
        <v>79</v>
      </c>
      <c r="U23" s="3" t="s">
        <v>79</v>
      </c>
      <c r="V23" s="3" t="s">
        <v>242</v>
      </c>
      <c r="W23" s="3" t="s">
        <v>445</v>
      </c>
      <c r="X23" s="3" t="s">
        <v>476</v>
      </c>
      <c r="Y23" s="3" t="s">
        <v>244</v>
      </c>
      <c r="Z23" s="3" t="s">
        <v>245</v>
      </c>
      <c r="AA23" s="3" t="s">
        <v>319</v>
      </c>
      <c r="AB23" s="3" t="s">
        <v>247</v>
      </c>
      <c r="AC23" s="3" t="s">
        <v>247</v>
      </c>
      <c r="AD23" s="3" t="s">
        <v>247</v>
      </c>
      <c r="AE23" s="3"/>
      <c r="AF23" s="3" t="s">
        <v>13</v>
      </c>
      <c r="AG23" s="3" t="s">
        <v>477</v>
      </c>
      <c r="AH23" s="3" t="s">
        <v>248</v>
      </c>
      <c r="AI23" s="3"/>
      <c r="AJ23" s="3" t="s">
        <v>478</v>
      </c>
      <c r="AK23" s="3" t="s">
        <v>249</v>
      </c>
    </row>
    <row r="24" ht="34" spans="1:37">
      <c r="A24" s="3" t="s">
        <v>22</v>
      </c>
      <c r="B24" s="3" t="s">
        <v>180</v>
      </c>
      <c r="C24" s="3" t="s">
        <v>227</v>
      </c>
      <c r="D24" s="3" t="s">
        <v>479</v>
      </c>
      <c r="E24" s="3" t="s">
        <v>430</v>
      </c>
      <c r="F24" s="3" t="s">
        <v>480</v>
      </c>
      <c r="G24" s="4">
        <v>52</v>
      </c>
      <c r="H24" s="3" t="s">
        <v>470</v>
      </c>
      <c r="I24" s="3" t="s">
        <v>470</v>
      </c>
      <c r="J24" s="3" t="s">
        <v>285</v>
      </c>
      <c r="K24" s="3"/>
      <c r="L24" s="3" t="s">
        <v>481</v>
      </c>
      <c r="M24" s="3" t="s">
        <v>351</v>
      </c>
      <c r="N24" s="3"/>
      <c r="O24" s="3" t="s">
        <v>482</v>
      </c>
      <c r="P24" s="3" t="s">
        <v>483</v>
      </c>
      <c r="Q24" s="3" t="s">
        <v>272</v>
      </c>
      <c r="R24" s="3" t="s">
        <v>240</v>
      </c>
      <c r="S24" s="3" t="s">
        <v>289</v>
      </c>
      <c r="T24" s="3" t="s">
        <v>79</v>
      </c>
      <c r="U24" s="3" t="s">
        <v>79</v>
      </c>
      <c r="V24" s="3" t="s">
        <v>242</v>
      </c>
      <c r="W24" s="3" t="s">
        <v>445</v>
      </c>
      <c r="X24" s="3" t="s">
        <v>484</v>
      </c>
      <c r="Y24" s="3" t="s">
        <v>244</v>
      </c>
      <c r="Z24" s="3" t="s">
        <v>245</v>
      </c>
      <c r="AA24" s="3" t="s">
        <v>485</v>
      </c>
      <c r="AB24" s="3" t="s">
        <v>247</v>
      </c>
      <c r="AC24" s="3" t="s">
        <v>247</v>
      </c>
      <c r="AD24" s="3" t="s">
        <v>248</v>
      </c>
      <c r="AE24" s="3" t="s">
        <v>46</v>
      </c>
      <c r="AF24" s="3" t="s">
        <v>22</v>
      </c>
      <c r="AG24" s="3" t="s">
        <v>486</v>
      </c>
      <c r="AH24" s="3" t="s">
        <v>248</v>
      </c>
      <c r="AI24" s="3"/>
      <c r="AJ24" s="3" t="s">
        <v>487</v>
      </c>
      <c r="AK24" s="3" t="s">
        <v>249</v>
      </c>
    </row>
    <row r="25" ht="34" spans="1:37">
      <c r="A25" s="3" t="s">
        <v>10</v>
      </c>
      <c r="B25" s="3" t="s">
        <v>39</v>
      </c>
      <c r="C25" s="3" t="s">
        <v>227</v>
      </c>
      <c r="D25" s="3" t="s">
        <v>488</v>
      </c>
      <c r="E25" s="3" t="s">
        <v>489</v>
      </c>
      <c r="F25" s="3" t="s">
        <v>490</v>
      </c>
      <c r="G25" s="4">
        <v>54</v>
      </c>
      <c r="H25" s="3" t="s">
        <v>470</v>
      </c>
      <c r="I25" s="3" t="s">
        <v>470</v>
      </c>
      <c r="J25" s="3" t="s">
        <v>266</v>
      </c>
      <c r="K25" s="3" t="s">
        <v>491</v>
      </c>
      <c r="L25" s="3" t="s">
        <v>492</v>
      </c>
      <c r="M25" s="3" t="s">
        <v>351</v>
      </c>
      <c r="N25" s="3" t="s">
        <v>474</v>
      </c>
      <c r="O25" s="3" t="s">
        <v>493</v>
      </c>
      <c r="P25" s="3" t="s">
        <v>494</v>
      </c>
      <c r="Q25" s="3" t="s">
        <v>272</v>
      </c>
      <c r="R25" s="3" t="s">
        <v>273</v>
      </c>
      <c r="S25" s="3" t="s">
        <v>289</v>
      </c>
      <c r="T25" s="3" t="s">
        <v>79</v>
      </c>
      <c r="U25" s="3" t="s">
        <v>79</v>
      </c>
      <c r="V25" s="3" t="s">
        <v>242</v>
      </c>
      <c r="W25" s="3" t="s">
        <v>445</v>
      </c>
      <c r="X25" s="3" t="s">
        <v>476</v>
      </c>
      <c r="Y25" s="3" t="s">
        <v>244</v>
      </c>
      <c r="Z25" s="3" t="s">
        <v>245</v>
      </c>
      <c r="AA25" s="3" t="s">
        <v>495</v>
      </c>
      <c r="AB25" s="3" t="s">
        <v>247</v>
      </c>
      <c r="AC25" s="3" t="s">
        <v>247</v>
      </c>
      <c r="AD25" s="3" t="s">
        <v>247</v>
      </c>
      <c r="AE25" s="3"/>
      <c r="AF25" s="3" t="s">
        <v>496</v>
      </c>
      <c r="AG25" s="3" t="s">
        <v>497</v>
      </c>
      <c r="AH25" s="3" t="s">
        <v>248</v>
      </c>
      <c r="AI25" s="3"/>
      <c r="AJ25" s="3" t="s">
        <v>498</v>
      </c>
      <c r="AK25" s="3" t="s">
        <v>249</v>
      </c>
    </row>
    <row r="26" ht="34" spans="1:37">
      <c r="A26" s="3" t="s">
        <v>10</v>
      </c>
      <c r="B26" s="3" t="s">
        <v>38</v>
      </c>
      <c r="C26" s="3" t="s">
        <v>227</v>
      </c>
      <c r="D26" s="3" t="s">
        <v>499</v>
      </c>
      <c r="E26" s="3" t="s">
        <v>324</v>
      </c>
      <c r="F26" s="3" t="s">
        <v>500</v>
      </c>
      <c r="G26" s="4">
        <v>53</v>
      </c>
      <c r="H26" s="3" t="s">
        <v>470</v>
      </c>
      <c r="I26" s="3" t="s">
        <v>470</v>
      </c>
      <c r="J26" s="3" t="s">
        <v>233</v>
      </c>
      <c r="K26" s="3" t="s">
        <v>349</v>
      </c>
      <c r="L26" s="3" t="s">
        <v>501</v>
      </c>
      <c r="M26" s="3" t="s">
        <v>473</v>
      </c>
      <c r="N26" s="3" t="s">
        <v>502</v>
      </c>
      <c r="O26" s="3"/>
      <c r="P26" s="3" t="s">
        <v>309</v>
      </c>
      <c r="Q26" s="3" t="s">
        <v>272</v>
      </c>
      <c r="R26" s="3" t="s">
        <v>240</v>
      </c>
      <c r="S26" s="3" t="s">
        <v>241</v>
      </c>
      <c r="T26" s="3" t="s">
        <v>79</v>
      </c>
      <c r="U26" s="3" t="s">
        <v>79</v>
      </c>
      <c r="V26" s="3" t="s">
        <v>242</v>
      </c>
      <c r="W26" s="3" t="s">
        <v>445</v>
      </c>
      <c r="X26" s="3" t="s">
        <v>503</v>
      </c>
      <c r="Y26" s="3" t="s">
        <v>244</v>
      </c>
      <c r="Z26" s="3" t="s">
        <v>245</v>
      </c>
      <c r="AA26" s="3" t="s">
        <v>504</v>
      </c>
      <c r="AB26" s="3" t="s">
        <v>247</v>
      </c>
      <c r="AC26" s="3" t="s">
        <v>247</v>
      </c>
      <c r="AD26" s="3" t="s">
        <v>247</v>
      </c>
      <c r="AE26" s="3"/>
      <c r="AF26" s="3" t="s">
        <v>496</v>
      </c>
      <c r="AG26" s="3" t="s">
        <v>505</v>
      </c>
      <c r="AH26" s="3" t="s">
        <v>248</v>
      </c>
      <c r="AI26" s="3"/>
      <c r="AJ26" s="3" t="s">
        <v>506</v>
      </c>
      <c r="AK26" s="3" t="s">
        <v>249</v>
      </c>
    </row>
    <row r="27" ht="34" spans="1:37">
      <c r="A27" s="3" t="s">
        <v>23</v>
      </c>
      <c r="B27" s="3" t="s">
        <v>507</v>
      </c>
      <c r="C27" s="3" t="s">
        <v>227</v>
      </c>
      <c r="D27" s="3" t="s">
        <v>508</v>
      </c>
      <c r="E27" s="3" t="s">
        <v>263</v>
      </c>
      <c r="F27" s="3" t="s">
        <v>509</v>
      </c>
      <c r="G27" s="4">
        <v>55</v>
      </c>
      <c r="H27" s="3" t="s">
        <v>470</v>
      </c>
      <c r="I27" s="3" t="s">
        <v>470</v>
      </c>
      <c r="J27" s="3" t="s">
        <v>266</v>
      </c>
      <c r="K27" s="3" t="s">
        <v>510</v>
      </c>
      <c r="L27" s="3" t="s">
        <v>511</v>
      </c>
      <c r="M27" s="3" t="s">
        <v>298</v>
      </c>
      <c r="N27" s="3" t="s">
        <v>512</v>
      </c>
      <c r="O27" s="3"/>
      <c r="P27" s="3" t="s">
        <v>362</v>
      </c>
      <c r="Q27" s="3" t="s">
        <v>272</v>
      </c>
      <c r="R27" s="3" t="s">
        <v>273</v>
      </c>
      <c r="S27" s="3" t="s">
        <v>241</v>
      </c>
      <c r="T27" s="3" t="s">
        <v>79</v>
      </c>
      <c r="U27" s="3" t="s">
        <v>79</v>
      </c>
      <c r="V27" s="3" t="s">
        <v>242</v>
      </c>
      <c r="W27" s="3" t="s">
        <v>445</v>
      </c>
      <c r="X27" s="3" t="s">
        <v>503</v>
      </c>
      <c r="Y27" s="3" t="s">
        <v>244</v>
      </c>
      <c r="Z27" s="3" t="s">
        <v>245</v>
      </c>
      <c r="AA27" s="3" t="s">
        <v>513</v>
      </c>
      <c r="AB27" s="3" t="s">
        <v>247</v>
      </c>
      <c r="AC27" s="3" t="s">
        <v>247</v>
      </c>
      <c r="AD27" s="3" t="s">
        <v>247</v>
      </c>
      <c r="AE27" s="3"/>
      <c r="AF27" s="3" t="s">
        <v>277</v>
      </c>
      <c r="AG27" s="3" t="s">
        <v>514</v>
      </c>
      <c r="AH27" s="3" t="s">
        <v>248</v>
      </c>
      <c r="AI27" s="3"/>
      <c r="AJ27" s="3" t="s">
        <v>515</v>
      </c>
      <c r="AK27" s="3" t="s">
        <v>249</v>
      </c>
    </row>
    <row r="28" ht="34" spans="1:37">
      <c r="A28" s="3" t="s">
        <v>11</v>
      </c>
      <c r="B28" s="3" t="s">
        <v>42</v>
      </c>
      <c r="C28" s="3" t="s">
        <v>227</v>
      </c>
      <c r="D28" s="3" t="s">
        <v>516</v>
      </c>
      <c r="E28" s="3" t="s">
        <v>396</v>
      </c>
      <c r="F28" s="3" t="s">
        <v>517</v>
      </c>
      <c r="G28" s="4">
        <v>55</v>
      </c>
      <c r="H28" s="3" t="s">
        <v>441</v>
      </c>
      <c r="I28" s="3" t="s">
        <v>441</v>
      </c>
      <c r="J28" s="3" t="s">
        <v>285</v>
      </c>
      <c r="K28" s="3"/>
      <c r="L28" s="3" t="s">
        <v>518</v>
      </c>
      <c r="M28" s="3" t="s">
        <v>351</v>
      </c>
      <c r="N28" s="3" t="s">
        <v>502</v>
      </c>
      <c r="O28" s="3" t="s">
        <v>519</v>
      </c>
      <c r="P28" s="3" t="s">
        <v>520</v>
      </c>
      <c r="Q28" s="3" t="s">
        <v>272</v>
      </c>
      <c r="R28" s="3" t="s">
        <v>240</v>
      </c>
      <c r="S28" s="3" t="s">
        <v>241</v>
      </c>
      <c r="T28" s="3" t="s">
        <v>79</v>
      </c>
      <c r="U28" s="3" t="s">
        <v>79</v>
      </c>
      <c r="V28" s="3" t="s">
        <v>242</v>
      </c>
      <c r="W28" s="3" t="s">
        <v>445</v>
      </c>
      <c r="X28" s="3" t="s">
        <v>521</v>
      </c>
      <c r="Y28" s="3" t="s">
        <v>244</v>
      </c>
      <c r="Z28" s="3" t="s">
        <v>245</v>
      </c>
      <c r="AA28" s="3"/>
      <c r="AB28" s="3" t="s">
        <v>248</v>
      </c>
      <c r="AC28" s="3" t="s">
        <v>247</v>
      </c>
      <c r="AD28" s="3" t="s">
        <v>248</v>
      </c>
      <c r="AE28" s="3"/>
      <c r="AF28" s="3" t="s">
        <v>11</v>
      </c>
      <c r="AG28" s="3" t="s">
        <v>522</v>
      </c>
      <c r="AH28" s="3" t="s">
        <v>248</v>
      </c>
      <c r="AI28" s="3"/>
      <c r="AJ28" s="3" t="s">
        <v>523</v>
      </c>
      <c r="AK28" s="3" t="s">
        <v>249</v>
      </c>
    </row>
    <row r="29" ht="34" spans="1:37">
      <c r="A29" s="3" t="s">
        <v>11</v>
      </c>
      <c r="B29" s="3" t="s">
        <v>46</v>
      </c>
      <c r="C29" s="3" t="s">
        <v>227</v>
      </c>
      <c r="D29" s="3" t="s">
        <v>524</v>
      </c>
      <c r="E29" s="3" t="s">
        <v>396</v>
      </c>
      <c r="F29" s="3" t="s">
        <v>525</v>
      </c>
      <c r="G29" s="4">
        <v>53</v>
      </c>
      <c r="H29" s="3" t="s">
        <v>452</v>
      </c>
      <c r="I29" s="3" t="s">
        <v>452</v>
      </c>
      <c r="J29" s="3" t="s">
        <v>285</v>
      </c>
      <c r="K29" s="3"/>
      <c r="L29" s="3" t="s">
        <v>526</v>
      </c>
      <c r="M29" s="3" t="s">
        <v>351</v>
      </c>
      <c r="N29" s="3" t="s">
        <v>365</v>
      </c>
      <c r="O29" s="3" t="s">
        <v>527</v>
      </c>
      <c r="P29" s="3" t="s">
        <v>528</v>
      </c>
      <c r="Q29" s="3" t="s">
        <v>272</v>
      </c>
      <c r="R29" s="3" t="s">
        <v>240</v>
      </c>
      <c r="S29" s="3" t="s">
        <v>241</v>
      </c>
      <c r="T29" s="3" t="s">
        <v>79</v>
      </c>
      <c r="U29" s="3" t="s">
        <v>79</v>
      </c>
      <c r="V29" s="3" t="s">
        <v>242</v>
      </c>
      <c r="W29" s="3" t="s">
        <v>445</v>
      </c>
      <c r="X29" s="3" t="s">
        <v>290</v>
      </c>
      <c r="Y29" s="3" t="s">
        <v>244</v>
      </c>
      <c r="Z29" s="3" t="s">
        <v>245</v>
      </c>
      <c r="AA29" s="3"/>
      <c r="AB29" s="3" t="s">
        <v>248</v>
      </c>
      <c r="AC29" s="3" t="s">
        <v>247</v>
      </c>
      <c r="AD29" s="3" t="s">
        <v>248</v>
      </c>
      <c r="AE29" s="3"/>
      <c r="AF29" s="3" t="s">
        <v>11</v>
      </c>
      <c r="AG29" s="3" t="s">
        <v>529</v>
      </c>
      <c r="AH29" s="3" t="s">
        <v>248</v>
      </c>
      <c r="AI29" s="3"/>
      <c r="AJ29" s="3" t="s">
        <v>530</v>
      </c>
      <c r="AK29" s="3" t="s">
        <v>249</v>
      </c>
    </row>
    <row r="30" ht="34" spans="1:37">
      <c r="A30" s="3" t="s">
        <v>22</v>
      </c>
      <c r="B30" s="3" t="s">
        <v>161</v>
      </c>
      <c r="C30" s="3" t="s">
        <v>227</v>
      </c>
      <c r="D30" s="3" t="s">
        <v>531</v>
      </c>
      <c r="E30" s="3" t="s">
        <v>360</v>
      </c>
      <c r="F30" s="3" t="s">
        <v>532</v>
      </c>
      <c r="G30" s="4">
        <v>53</v>
      </c>
      <c r="H30" s="3" t="s">
        <v>452</v>
      </c>
      <c r="I30" s="3" t="s">
        <v>452</v>
      </c>
      <c r="J30" s="3" t="s">
        <v>233</v>
      </c>
      <c r="K30" s="3"/>
      <c r="L30" s="3" t="s">
        <v>533</v>
      </c>
      <c r="M30" s="3" t="s">
        <v>364</v>
      </c>
      <c r="N30" s="3" t="s">
        <v>365</v>
      </c>
      <c r="O30" s="3"/>
      <c r="P30" s="3" t="s">
        <v>534</v>
      </c>
      <c r="Q30" s="3" t="s">
        <v>272</v>
      </c>
      <c r="R30" s="3" t="s">
        <v>240</v>
      </c>
      <c r="S30" s="3" t="s">
        <v>241</v>
      </c>
      <c r="T30" s="3" t="s">
        <v>79</v>
      </c>
      <c r="U30" s="3" t="s">
        <v>79</v>
      </c>
      <c r="V30" s="3" t="s">
        <v>242</v>
      </c>
      <c r="W30" s="3" t="s">
        <v>445</v>
      </c>
      <c r="X30" s="3" t="s">
        <v>535</v>
      </c>
      <c r="Y30" s="3" t="s">
        <v>244</v>
      </c>
      <c r="Z30" s="3" t="s">
        <v>245</v>
      </c>
      <c r="AA30" s="3" t="s">
        <v>536</v>
      </c>
      <c r="AB30" s="3" t="s">
        <v>247</v>
      </c>
      <c r="AC30" s="3" t="s">
        <v>247</v>
      </c>
      <c r="AD30" s="3" t="s">
        <v>247</v>
      </c>
      <c r="AE30" s="3"/>
      <c r="AF30" s="3" t="s">
        <v>22</v>
      </c>
      <c r="AG30" s="3" t="s">
        <v>537</v>
      </c>
      <c r="AH30" s="3" t="s">
        <v>248</v>
      </c>
      <c r="AI30" s="3"/>
      <c r="AJ30" s="3" t="s">
        <v>538</v>
      </c>
      <c r="AK30" s="3" t="s">
        <v>249</v>
      </c>
    </row>
    <row r="31" ht="34" spans="1:37">
      <c r="A31" s="3" t="s">
        <v>22</v>
      </c>
      <c r="B31" s="3" t="s">
        <v>179</v>
      </c>
      <c r="C31" s="3" t="s">
        <v>251</v>
      </c>
      <c r="D31" s="3" t="s">
        <v>539</v>
      </c>
      <c r="E31" s="3" t="s">
        <v>360</v>
      </c>
      <c r="F31" s="3" t="s">
        <v>540</v>
      </c>
      <c r="G31" s="4">
        <v>54</v>
      </c>
      <c r="H31" s="3" t="s">
        <v>541</v>
      </c>
      <c r="I31" s="3" t="s">
        <v>541</v>
      </c>
      <c r="J31" s="3" t="s">
        <v>233</v>
      </c>
      <c r="K31" s="3"/>
      <c r="L31" s="3" t="s">
        <v>542</v>
      </c>
      <c r="M31" s="3" t="s">
        <v>351</v>
      </c>
      <c r="N31" s="3" t="s">
        <v>365</v>
      </c>
      <c r="O31" s="3" t="s">
        <v>338</v>
      </c>
      <c r="P31" s="3" t="s">
        <v>541</v>
      </c>
      <c r="Q31" s="3" t="s">
        <v>272</v>
      </c>
      <c r="R31" s="3" t="s">
        <v>240</v>
      </c>
      <c r="S31" s="3" t="s">
        <v>241</v>
      </c>
      <c r="T31" s="3" t="s">
        <v>79</v>
      </c>
      <c r="U31" s="3" t="s">
        <v>79</v>
      </c>
      <c r="V31" s="3" t="s">
        <v>242</v>
      </c>
      <c r="W31" s="3" t="s">
        <v>445</v>
      </c>
      <c r="X31" s="3" t="s">
        <v>543</v>
      </c>
      <c r="Y31" s="3" t="s">
        <v>244</v>
      </c>
      <c r="Z31" s="3" t="s">
        <v>245</v>
      </c>
      <c r="AA31" s="3"/>
      <c r="AB31" s="3" t="s">
        <v>248</v>
      </c>
      <c r="AC31" s="3" t="s">
        <v>247</v>
      </c>
      <c r="AD31" s="3" t="s">
        <v>248</v>
      </c>
      <c r="AE31" s="3"/>
      <c r="AF31" s="3" t="s">
        <v>22</v>
      </c>
      <c r="AG31" s="3" t="s">
        <v>544</v>
      </c>
      <c r="AH31" s="3" t="s">
        <v>248</v>
      </c>
      <c r="AI31" s="3"/>
      <c r="AJ31" s="3" t="s">
        <v>545</v>
      </c>
      <c r="AK31" s="3" t="s">
        <v>249</v>
      </c>
    </row>
    <row r="32" ht="34" spans="1:37">
      <c r="A32" s="3" t="s">
        <v>22</v>
      </c>
      <c r="B32" s="3" t="s">
        <v>159</v>
      </c>
      <c r="C32" s="3" t="s">
        <v>227</v>
      </c>
      <c r="D32" s="3" t="s">
        <v>546</v>
      </c>
      <c r="E32" s="3" t="s">
        <v>414</v>
      </c>
      <c r="F32" s="3" t="s">
        <v>547</v>
      </c>
      <c r="G32" s="4">
        <v>55</v>
      </c>
      <c r="H32" s="3" t="s">
        <v>461</v>
      </c>
      <c r="I32" s="3" t="s">
        <v>461</v>
      </c>
      <c r="J32" s="3" t="s">
        <v>233</v>
      </c>
      <c r="K32" s="3"/>
      <c r="L32" s="3" t="s">
        <v>548</v>
      </c>
      <c r="M32" s="3" t="s">
        <v>351</v>
      </c>
      <c r="N32" s="3" t="s">
        <v>365</v>
      </c>
      <c r="O32" s="3" t="s">
        <v>549</v>
      </c>
      <c r="P32" s="3" t="s">
        <v>452</v>
      </c>
      <c r="Q32" s="3" t="s">
        <v>272</v>
      </c>
      <c r="R32" s="3" t="s">
        <v>240</v>
      </c>
      <c r="S32" s="3" t="s">
        <v>241</v>
      </c>
      <c r="T32" s="3" t="s">
        <v>79</v>
      </c>
      <c r="U32" s="3" t="s">
        <v>79</v>
      </c>
      <c r="V32" s="3" t="s">
        <v>242</v>
      </c>
      <c r="W32" s="3" t="s">
        <v>445</v>
      </c>
      <c r="X32" s="3" t="s">
        <v>550</v>
      </c>
      <c r="Y32" s="3" t="s">
        <v>244</v>
      </c>
      <c r="Z32" s="3" t="s">
        <v>245</v>
      </c>
      <c r="AA32" s="3" t="s">
        <v>551</v>
      </c>
      <c r="AB32" s="3" t="s">
        <v>247</v>
      </c>
      <c r="AC32" s="3" t="s">
        <v>247</v>
      </c>
      <c r="AD32" s="3" t="s">
        <v>248</v>
      </c>
      <c r="AE32" s="3"/>
      <c r="AF32" s="3" t="s">
        <v>22</v>
      </c>
      <c r="AG32" s="3" t="s">
        <v>552</v>
      </c>
      <c r="AH32" s="3" t="s">
        <v>248</v>
      </c>
      <c r="AI32" s="3"/>
      <c r="AJ32" s="3" t="s">
        <v>553</v>
      </c>
      <c r="AK32" s="3" t="s">
        <v>249</v>
      </c>
    </row>
    <row r="33" ht="34" spans="1:37">
      <c r="A33" s="3" t="s">
        <v>11</v>
      </c>
      <c r="B33" s="3" t="s">
        <v>51</v>
      </c>
      <c r="C33" s="3" t="s">
        <v>227</v>
      </c>
      <c r="D33" s="3" t="s">
        <v>554</v>
      </c>
      <c r="E33" s="3" t="s">
        <v>396</v>
      </c>
      <c r="F33" s="3" t="s">
        <v>423</v>
      </c>
      <c r="G33" s="4">
        <v>57</v>
      </c>
      <c r="H33" s="3" t="s">
        <v>555</v>
      </c>
      <c r="I33" s="3" t="s">
        <v>555</v>
      </c>
      <c r="J33" s="3" t="s">
        <v>285</v>
      </c>
      <c r="K33" s="3" t="s">
        <v>556</v>
      </c>
      <c r="L33" s="3" t="s">
        <v>557</v>
      </c>
      <c r="M33" s="3" t="s">
        <v>236</v>
      </c>
      <c r="N33" s="3" t="s">
        <v>352</v>
      </c>
      <c r="O33" s="3" t="s">
        <v>558</v>
      </c>
      <c r="P33" s="3" t="s">
        <v>424</v>
      </c>
      <c r="Q33" s="3" t="s">
        <v>272</v>
      </c>
      <c r="R33" s="3" t="s">
        <v>240</v>
      </c>
      <c r="S33" s="3" t="s">
        <v>289</v>
      </c>
      <c r="T33" s="3" t="s">
        <v>79</v>
      </c>
      <c r="U33" s="3" t="s">
        <v>79</v>
      </c>
      <c r="V33" s="3" t="s">
        <v>242</v>
      </c>
      <c r="W33" s="3" t="s">
        <v>445</v>
      </c>
      <c r="X33" s="3" t="s">
        <v>559</v>
      </c>
      <c r="Y33" s="3" t="s">
        <v>244</v>
      </c>
      <c r="Z33" s="3" t="s">
        <v>245</v>
      </c>
      <c r="AA33" s="3"/>
      <c r="AB33" s="3" t="s">
        <v>248</v>
      </c>
      <c r="AC33" s="3" t="s">
        <v>247</v>
      </c>
      <c r="AD33" s="3" t="s">
        <v>248</v>
      </c>
      <c r="AE33" s="3"/>
      <c r="AF33" s="3" t="s">
        <v>11</v>
      </c>
      <c r="AG33" s="3" t="s">
        <v>560</v>
      </c>
      <c r="AH33" s="3" t="s">
        <v>248</v>
      </c>
      <c r="AI33" s="3"/>
      <c r="AJ33" s="3" t="s">
        <v>561</v>
      </c>
      <c r="AK33" s="3" t="s">
        <v>249</v>
      </c>
    </row>
    <row r="34" ht="34" spans="1:37">
      <c r="A34" s="3" t="s">
        <v>14</v>
      </c>
      <c r="B34" s="3" t="s">
        <v>70</v>
      </c>
      <c r="C34" s="3" t="s">
        <v>251</v>
      </c>
      <c r="D34" s="3" t="s">
        <v>562</v>
      </c>
      <c r="E34" s="3" t="s">
        <v>414</v>
      </c>
      <c r="F34" s="3" t="s">
        <v>563</v>
      </c>
      <c r="G34" s="4">
        <v>51</v>
      </c>
      <c r="H34" s="3" t="s">
        <v>564</v>
      </c>
      <c r="I34" s="3" t="s">
        <v>564</v>
      </c>
      <c r="J34" s="3" t="s">
        <v>233</v>
      </c>
      <c r="K34" s="3" t="s">
        <v>565</v>
      </c>
      <c r="L34" s="3" t="s">
        <v>566</v>
      </c>
      <c r="M34" s="3" t="s">
        <v>351</v>
      </c>
      <c r="N34" s="3" t="s">
        <v>286</v>
      </c>
      <c r="O34" s="3" t="s">
        <v>567</v>
      </c>
      <c r="P34" s="3" t="s">
        <v>568</v>
      </c>
      <c r="Q34" s="3" t="s">
        <v>272</v>
      </c>
      <c r="R34" s="3" t="s">
        <v>240</v>
      </c>
      <c r="S34" s="3" t="s">
        <v>241</v>
      </c>
      <c r="T34" s="3" t="s">
        <v>79</v>
      </c>
      <c r="U34" s="3" t="s">
        <v>79</v>
      </c>
      <c r="V34" s="3" t="s">
        <v>242</v>
      </c>
      <c r="W34" s="3" t="s">
        <v>569</v>
      </c>
      <c r="X34" s="3" t="s">
        <v>570</v>
      </c>
      <c r="Y34" s="3" t="s">
        <v>244</v>
      </c>
      <c r="Z34" s="3" t="s">
        <v>245</v>
      </c>
      <c r="AA34" s="3" t="s">
        <v>571</v>
      </c>
      <c r="AB34" s="3" t="s">
        <v>247</v>
      </c>
      <c r="AC34" s="3" t="s">
        <v>247</v>
      </c>
      <c r="AD34" s="3" t="s">
        <v>247</v>
      </c>
      <c r="AE34" s="3"/>
      <c r="AF34" s="3" t="s">
        <v>14</v>
      </c>
      <c r="AG34" s="3" t="s">
        <v>572</v>
      </c>
      <c r="AH34" s="3" t="s">
        <v>248</v>
      </c>
      <c r="AI34" s="3"/>
      <c r="AJ34" s="3" t="s">
        <v>573</v>
      </c>
      <c r="AK34" s="3" t="s">
        <v>249</v>
      </c>
    </row>
    <row r="35" ht="34" spans="1:37">
      <c r="A35" s="3" t="s">
        <v>10</v>
      </c>
      <c r="B35" s="3" t="s">
        <v>574</v>
      </c>
      <c r="C35" s="3" t="s">
        <v>227</v>
      </c>
      <c r="D35" s="3" t="s">
        <v>575</v>
      </c>
      <c r="E35" s="3" t="s">
        <v>294</v>
      </c>
      <c r="F35" s="3" t="s">
        <v>576</v>
      </c>
      <c r="G35" s="4">
        <v>52</v>
      </c>
      <c r="H35" s="3" t="s">
        <v>577</v>
      </c>
      <c r="I35" s="3" t="s">
        <v>577</v>
      </c>
      <c r="J35" s="3" t="s">
        <v>266</v>
      </c>
      <c r="K35" s="3" t="s">
        <v>349</v>
      </c>
      <c r="L35" s="3" t="s">
        <v>578</v>
      </c>
      <c r="M35" s="3" t="s">
        <v>269</v>
      </c>
      <c r="N35" s="3" t="s">
        <v>327</v>
      </c>
      <c r="O35" s="3"/>
      <c r="P35" s="3" t="s">
        <v>379</v>
      </c>
      <c r="Q35" s="3" t="s">
        <v>272</v>
      </c>
      <c r="R35" s="3" t="s">
        <v>273</v>
      </c>
      <c r="S35" s="3" t="s">
        <v>241</v>
      </c>
      <c r="T35" s="3" t="s">
        <v>79</v>
      </c>
      <c r="U35" s="3" t="s">
        <v>79</v>
      </c>
      <c r="V35" s="3" t="s">
        <v>242</v>
      </c>
      <c r="W35" s="3" t="s">
        <v>569</v>
      </c>
      <c r="X35" s="3" t="s">
        <v>290</v>
      </c>
      <c r="Y35" s="3" t="s">
        <v>244</v>
      </c>
      <c r="Z35" s="3" t="s">
        <v>245</v>
      </c>
      <c r="AA35" s="3"/>
      <c r="AB35" s="3" t="s">
        <v>248</v>
      </c>
      <c r="AC35" s="3" t="s">
        <v>247</v>
      </c>
      <c r="AD35" s="3" t="s">
        <v>248</v>
      </c>
      <c r="AE35" s="3"/>
      <c r="AF35" s="3" t="s">
        <v>16</v>
      </c>
      <c r="AG35" s="3" t="s">
        <v>579</v>
      </c>
      <c r="AH35" s="3" t="s">
        <v>248</v>
      </c>
      <c r="AI35" s="3"/>
      <c r="AJ35" s="3" t="s">
        <v>580</v>
      </c>
      <c r="AK35" s="3" t="s">
        <v>249</v>
      </c>
    </row>
    <row r="36" ht="34" spans="1:37">
      <c r="A36" s="3" t="s">
        <v>21</v>
      </c>
      <c r="B36" s="3" t="s">
        <v>147</v>
      </c>
      <c r="C36" s="3" t="s">
        <v>227</v>
      </c>
      <c r="D36" s="3" t="s">
        <v>581</v>
      </c>
      <c r="E36" s="3" t="s">
        <v>430</v>
      </c>
      <c r="F36" s="3" t="s">
        <v>582</v>
      </c>
      <c r="G36" s="4">
        <v>51</v>
      </c>
      <c r="H36" s="3" t="s">
        <v>564</v>
      </c>
      <c r="I36" s="3" t="s">
        <v>564</v>
      </c>
      <c r="J36" s="3" t="s">
        <v>285</v>
      </c>
      <c r="K36" s="3" t="s">
        <v>583</v>
      </c>
      <c r="L36" s="3" t="s">
        <v>584</v>
      </c>
      <c r="M36" s="3" t="s">
        <v>351</v>
      </c>
      <c r="N36" s="3" t="s">
        <v>585</v>
      </c>
      <c r="O36" s="3" t="s">
        <v>586</v>
      </c>
      <c r="P36" s="3" t="s">
        <v>568</v>
      </c>
      <c r="Q36" s="3" t="s">
        <v>272</v>
      </c>
      <c r="R36" s="3" t="s">
        <v>240</v>
      </c>
      <c r="S36" s="3" t="s">
        <v>241</v>
      </c>
      <c r="T36" s="3" t="s">
        <v>79</v>
      </c>
      <c r="U36" s="3" t="s">
        <v>79</v>
      </c>
      <c r="V36" s="3" t="s">
        <v>242</v>
      </c>
      <c r="W36" s="3" t="s">
        <v>569</v>
      </c>
      <c r="X36" s="3" t="s">
        <v>587</v>
      </c>
      <c r="Y36" s="3" t="s">
        <v>244</v>
      </c>
      <c r="Z36" s="3" t="s">
        <v>245</v>
      </c>
      <c r="AA36" s="3" t="s">
        <v>588</v>
      </c>
      <c r="AB36" s="3" t="s">
        <v>247</v>
      </c>
      <c r="AC36" s="3" t="s">
        <v>247</v>
      </c>
      <c r="AD36" s="3" t="s">
        <v>247</v>
      </c>
      <c r="AE36" s="3" t="s">
        <v>589</v>
      </c>
      <c r="AF36" s="3" t="s">
        <v>590</v>
      </c>
      <c r="AG36" s="3" t="s">
        <v>591</v>
      </c>
      <c r="AH36" s="3" t="s">
        <v>248</v>
      </c>
      <c r="AI36" s="3"/>
      <c r="AJ36" s="3" t="s">
        <v>592</v>
      </c>
      <c r="AK36" s="3" t="s">
        <v>249</v>
      </c>
    </row>
    <row r="37" ht="34" spans="1:37">
      <c r="A37" s="3" t="s">
        <v>22</v>
      </c>
      <c r="B37" s="3" t="s">
        <v>175</v>
      </c>
      <c r="C37" s="3" t="s">
        <v>227</v>
      </c>
      <c r="D37" s="3" t="s">
        <v>593</v>
      </c>
      <c r="E37" s="3" t="s">
        <v>594</v>
      </c>
      <c r="F37" s="3" t="s">
        <v>451</v>
      </c>
      <c r="G37" s="4">
        <v>52</v>
      </c>
      <c r="H37" s="3" t="s">
        <v>595</v>
      </c>
      <c r="I37" s="3" t="s">
        <v>595</v>
      </c>
      <c r="J37" s="3" t="s">
        <v>285</v>
      </c>
      <c r="K37" s="3"/>
      <c r="L37" s="3" t="s">
        <v>596</v>
      </c>
      <c r="M37" s="3" t="s">
        <v>351</v>
      </c>
      <c r="N37" s="3"/>
      <c r="O37" s="3" t="s">
        <v>338</v>
      </c>
      <c r="P37" s="3" t="s">
        <v>339</v>
      </c>
      <c r="Q37" s="3" t="s">
        <v>272</v>
      </c>
      <c r="R37" s="3" t="s">
        <v>240</v>
      </c>
      <c r="S37" s="3" t="s">
        <v>241</v>
      </c>
      <c r="T37" s="3" t="s">
        <v>79</v>
      </c>
      <c r="U37" s="3" t="s">
        <v>79</v>
      </c>
      <c r="V37" s="3" t="s">
        <v>242</v>
      </c>
      <c r="W37" s="3" t="s">
        <v>569</v>
      </c>
      <c r="X37" s="3" t="s">
        <v>597</v>
      </c>
      <c r="Y37" s="3" t="s">
        <v>244</v>
      </c>
      <c r="Z37" s="3" t="s">
        <v>245</v>
      </c>
      <c r="AA37" s="3" t="s">
        <v>598</v>
      </c>
      <c r="AB37" s="3" t="s">
        <v>247</v>
      </c>
      <c r="AC37" s="3" t="s">
        <v>247</v>
      </c>
      <c r="AD37" s="3" t="s">
        <v>248</v>
      </c>
      <c r="AE37" s="3" t="s">
        <v>46</v>
      </c>
      <c r="AF37" s="3" t="s">
        <v>22</v>
      </c>
      <c r="AG37" s="3" t="s">
        <v>599</v>
      </c>
      <c r="AH37" s="3" t="s">
        <v>248</v>
      </c>
      <c r="AI37" s="3"/>
      <c r="AJ37" s="3" t="s">
        <v>600</v>
      </c>
      <c r="AK37" s="3" t="s">
        <v>249</v>
      </c>
    </row>
    <row r="38" ht="34" spans="1:37">
      <c r="A38" s="3" t="s">
        <v>19</v>
      </c>
      <c r="B38" s="3" t="s">
        <v>116</v>
      </c>
      <c r="C38" s="3" t="s">
        <v>251</v>
      </c>
      <c r="D38" s="3" t="s">
        <v>601</v>
      </c>
      <c r="E38" s="3" t="s">
        <v>360</v>
      </c>
      <c r="F38" s="3" t="s">
        <v>602</v>
      </c>
      <c r="G38" s="4">
        <v>50</v>
      </c>
      <c r="H38" s="3" t="s">
        <v>603</v>
      </c>
      <c r="I38" s="3" t="s">
        <v>603</v>
      </c>
      <c r="J38" s="3" t="s">
        <v>233</v>
      </c>
      <c r="K38" s="3" t="s">
        <v>604</v>
      </c>
      <c r="L38" s="3" t="s">
        <v>605</v>
      </c>
      <c r="M38" s="3" t="s">
        <v>364</v>
      </c>
      <c r="N38" s="3" t="s">
        <v>585</v>
      </c>
      <c r="O38" s="3" t="s">
        <v>606</v>
      </c>
      <c r="P38" s="3" t="s">
        <v>607</v>
      </c>
      <c r="Q38" s="3" t="s">
        <v>272</v>
      </c>
      <c r="R38" s="3" t="s">
        <v>240</v>
      </c>
      <c r="S38" s="3" t="s">
        <v>241</v>
      </c>
      <c r="T38" s="3" t="s">
        <v>79</v>
      </c>
      <c r="U38" s="3" t="s">
        <v>79</v>
      </c>
      <c r="V38" s="3" t="s">
        <v>242</v>
      </c>
      <c r="W38" s="3" t="s">
        <v>569</v>
      </c>
      <c r="X38" s="3" t="s">
        <v>608</v>
      </c>
      <c r="Y38" s="3" t="s">
        <v>244</v>
      </c>
      <c r="Z38" s="3" t="s">
        <v>245</v>
      </c>
      <c r="AA38" s="3" t="s">
        <v>609</v>
      </c>
      <c r="AB38" s="3" t="s">
        <v>247</v>
      </c>
      <c r="AC38" s="3" t="s">
        <v>247</v>
      </c>
      <c r="AD38" s="3" t="s">
        <v>247</v>
      </c>
      <c r="AE38" s="3"/>
      <c r="AF38" s="3" t="s">
        <v>19</v>
      </c>
      <c r="AG38" s="3" t="s">
        <v>610</v>
      </c>
      <c r="AH38" s="3" t="s">
        <v>248</v>
      </c>
      <c r="AI38" s="3"/>
      <c r="AJ38" s="3" t="s">
        <v>611</v>
      </c>
      <c r="AK38" s="3" t="s">
        <v>249</v>
      </c>
    </row>
    <row r="39" ht="34" spans="1:37">
      <c r="A39" s="3" t="s">
        <v>20</v>
      </c>
      <c r="B39" s="3" t="s">
        <v>142</v>
      </c>
      <c r="C39" s="3" t="s">
        <v>227</v>
      </c>
      <c r="D39" s="3" t="s">
        <v>612</v>
      </c>
      <c r="E39" s="3" t="s">
        <v>334</v>
      </c>
      <c r="F39" s="3" t="s">
        <v>613</v>
      </c>
      <c r="G39" s="4">
        <v>52</v>
      </c>
      <c r="H39" s="3" t="s">
        <v>603</v>
      </c>
      <c r="I39" s="3" t="s">
        <v>603</v>
      </c>
      <c r="J39" s="3" t="s">
        <v>285</v>
      </c>
      <c r="K39" s="3" t="s">
        <v>614</v>
      </c>
      <c r="L39" s="3" t="s">
        <v>615</v>
      </c>
      <c r="M39" s="3" t="s">
        <v>236</v>
      </c>
      <c r="N39" s="3" t="s">
        <v>286</v>
      </c>
      <c r="O39" s="3" t="s">
        <v>287</v>
      </c>
      <c r="P39" s="3" t="s">
        <v>616</v>
      </c>
      <c r="Q39" s="3" t="s">
        <v>272</v>
      </c>
      <c r="R39" s="3" t="s">
        <v>240</v>
      </c>
      <c r="S39" s="3" t="s">
        <v>241</v>
      </c>
      <c r="T39" s="3" t="s">
        <v>79</v>
      </c>
      <c r="U39" s="3" t="s">
        <v>79</v>
      </c>
      <c r="V39" s="3" t="s">
        <v>242</v>
      </c>
      <c r="W39" s="3" t="s">
        <v>569</v>
      </c>
      <c r="X39" s="3" t="s">
        <v>617</v>
      </c>
      <c r="Y39" s="3" t="s">
        <v>244</v>
      </c>
      <c r="Z39" s="3" t="s">
        <v>245</v>
      </c>
      <c r="AA39" s="3" t="s">
        <v>618</v>
      </c>
      <c r="AB39" s="3" t="s">
        <v>247</v>
      </c>
      <c r="AC39" s="3" t="s">
        <v>247</v>
      </c>
      <c r="AD39" s="3" t="s">
        <v>247</v>
      </c>
      <c r="AE39" s="3" t="s">
        <v>51</v>
      </c>
      <c r="AF39" s="3" t="s">
        <v>13</v>
      </c>
      <c r="AG39" s="3" t="s">
        <v>619</v>
      </c>
      <c r="AH39" s="3" t="s">
        <v>248</v>
      </c>
      <c r="AI39" s="3"/>
      <c r="AJ39" s="3" t="s">
        <v>620</v>
      </c>
      <c r="AK39" s="3" t="s">
        <v>249</v>
      </c>
    </row>
    <row r="40" ht="34" spans="1:37">
      <c r="A40" s="3" t="s">
        <v>23</v>
      </c>
      <c r="B40" s="3" t="s">
        <v>182</v>
      </c>
      <c r="C40" s="3" t="s">
        <v>251</v>
      </c>
      <c r="D40" s="3" t="s">
        <v>621</v>
      </c>
      <c r="E40" s="3" t="s">
        <v>360</v>
      </c>
      <c r="F40" s="3" t="s">
        <v>622</v>
      </c>
      <c r="G40" s="4">
        <v>50</v>
      </c>
      <c r="H40" s="3" t="s">
        <v>603</v>
      </c>
      <c r="I40" s="3" t="s">
        <v>603</v>
      </c>
      <c r="J40" s="3" t="s">
        <v>233</v>
      </c>
      <c r="K40" s="3" t="s">
        <v>623</v>
      </c>
      <c r="L40" s="3" t="s">
        <v>624</v>
      </c>
      <c r="M40" s="3" t="s">
        <v>236</v>
      </c>
      <c r="N40" s="3" t="s">
        <v>237</v>
      </c>
      <c r="O40" s="3" t="s">
        <v>625</v>
      </c>
      <c r="P40" s="3" t="s">
        <v>626</v>
      </c>
      <c r="Q40" s="3" t="s">
        <v>272</v>
      </c>
      <c r="R40" s="3" t="s">
        <v>240</v>
      </c>
      <c r="S40" s="3" t="s">
        <v>241</v>
      </c>
      <c r="T40" s="3" t="s">
        <v>79</v>
      </c>
      <c r="U40" s="3" t="s">
        <v>79</v>
      </c>
      <c r="V40" s="3" t="s">
        <v>242</v>
      </c>
      <c r="W40" s="3" t="s">
        <v>569</v>
      </c>
      <c r="X40" s="3" t="s">
        <v>627</v>
      </c>
      <c r="Y40" s="3" t="s">
        <v>244</v>
      </c>
      <c r="Z40" s="3" t="s">
        <v>245</v>
      </c>
      <c r="AA40" s="3" t="s">
        <v>628</v>
      </c>
      <c r="AB40" s="3" t="s">
        <v>247</v>
      </c>
      <c r="AC40" s="3" t="s">
        <v>247</v>
      </c>
      <c r="AD40" s="3" t="s">
        <v>247</v>
      </c>
      <c r="AE40" s="3"/>
      <c r="AF40" s="3" t="s">
        <v>277</v>
      </c>
      <c r="AG40" s="3" t="s">
        <v>629</v>
      </c>
      <c r="AH40" s="3" t="s">
        <v>248</v>
      </c>
      <c r="AI40" s="3"/>
      <c r="AJ40" s="3" t="s">
        <v>630</v>
      </c>
      <c r="AK40" s="3" t="s">
        <v>249</v>
      </c>
    </row>
    <row r="41" ht="34" spans="1:37">
      <c r="A41" s="3" t="s">
        <v>10</v>
      </c>
      <c r="B41" s="3" t="s">
        <v>40</v>
      </c>
      <c r="C41" s="3" t="s">
        <v>227</v>
      </c>
      <c r="D41" s="3" t="s">
        <v>631</v>
      </c>
      <c r="E41" s="3" t="s">
        <v>632</v>
      </c>
      <c r="F41" s="3" t="s">
        <v>633</v>
      </c>
      <c r="G41" s="4">
        <v>50</v>
      </c>
      <c r="H41" s="3" t="s">
        <v>634</v>
      </c>
      <c r="I41" s="3" t="s">
        <v>634</v>
      </c>
      <c r="J41" s="3" t="s">
        <v>266</v>
      </c>
      <c r="K41" s="3" t="s">
        <v>296</v>
      </c>
      <c r="L41" s="3" t="s">
        <v>635</v>
      </c>
      <c r="M41" s="3" t="s">
        <v>473</v>
      </c>
      <c r="N41" s="3" t="s">
        <v>299</v>
      </c>
      <c r="O41" s="3" t="s">
        <v>636</v>
      </c>
      <c r="P41" s="3" t="s">
        <v>271</v>
      </c>
      <c r="Q41" s="3" t="s">
        <v>272</v>
      </c>
      <c r="R41" s="3" t="s">
        <v>273</v>
      </c>
      <c r="S41" s="3" t="s">
        <v>241</v>
      </c>
      <c r="T41" s="3" t="s">
        <v>79</v>
      </c>
      <c r="U41" s="3" t="s">
        <v>79</v>
      </c>
      <c r="V41" s="3" t="s">
        <v>242</v>
      </c>
      <c r="W41" s="3" t="s">
        <v>569</v>
      </c>
      <c r="X41" s="3" t="s">
        <v>637</v>
      </c>
      <c r="Y41" s="3" t="s">
        <v>244</v>
      </c>
      <c r="Z41" s="3" t="s">
        <v>245</v>
      </c>
      <c r="AA41" s="3"/>
      <c r="AB41" s="3" t="s">
        <v>248</v>
      </c>
      <c r="AC41" s="3" t="s">
        <v>247</v>
      </c>
      <c r="AD41" s="3" t="s">
        <v>248</v>
      </c>
      <c r="AE41" s="3"/>
      <c r="AF41" s="3" t="s">
        <v>16</v>
      </c>
      <c r="AG41" s="3" t="s">
        <v>638</v>
      </c>
      <c r="AH41" s="3" t="s">
        <v>248</v>
      </c>
      <c r="AI41" s="3"/>
      <c r="AJ41" s="3" t="s">
        <v>639</v>
      </c>
      <c r="AK41" s="3" t="s">
        <v>249</v>
      </c>
    </row>
    <row r="42" ht="34" spans="1:37">
      <c r="A42" s="3" t="s">
        <v>23</v>
      </c>
      <c r="B42" s="3" t="s">
        <v>188</v>
      </c>
      <c r="C42" s="3" t="s">
        <v>251</v>
      </c>
      <c r="D42" s="3" t="s">
        <v>640</v>
      </c>
      <c r="E42" s="3" t="s">
        <v>430</v>
      </c>
      <c r="F42" s="3" t="s">
        <v>641</v>
      </c>
      <c r="G42" s="4">
        <v>49</v>
      </c>
      <c r="H42" s="3" t="s">
        <v>603</v>
      </c>
      <c r="I42" s="3" t="s">
        <v>603</v>
      </c>
      <c r="J42" s="3" t="s">
        <v>285</v>
      </c>
      <c r="K42" s="3"/>
      <c r="L42" s="3" t="s">
        <v>642</v>
      </c>
      <c r="M42" s="3" t="s">
        <v>351</v>
      </c>
      <c r="N42" s="3" t="s">
        <v>237</v>
      </c>
      <c r="O42" s="3" t="s">
        <v>338</v>
      </c>
      <c r="P42" s="3" t="s">
        <v>339</v>
      </c>
      <c r="Q42" s="3" t="s">
        <v>272</v>
      </c>
      <c r="R42" s="3" t="s">
        <v>240</v>
      </c>
      <c r="S42" s="3" t="s">
        <v>289</v>
      </c>
      <c r="T42" s="3" t="s">
        <v>79</v>
      </c>
      <c r="U42" s="3" t="s">
        <v>79</v>
      </c>
      <c r="V42" s="3" t="s">
        <v>242</v>
      </c>
      <c r="W42" s="3" t="s">
        <v>569</v>
      </c>
      <c r="X42" s="3" t="s">
        <v>643</v>
      </c>
      <c r="Y42" s="3" t="s">
        <v>244</v>
      </c>
      <c r="Z42" s="3" t="s">
        <v>245</v>
      </c>
      <c r="AA42" s="3" t="s">
        <v>644</v>
      </c>
      <c r="AB42" s="3" t="s">
        <v>247</v>
      </c>
      <c r="AC42" s="3" t="s">
        <v>247</v>
      </c>
      <c r="AD42" s="3" t="s">
        <v>247</v>
      </c>
      <c r="AE42" s="3" t="s">
        <v>43</v>
      </c>
      <c r="AF42" s="3" t="s">
        <v>645</v>
      </c>
      <c r="AG42" s="3" t="s">
        <v>646</v>
      </c>
      <c r="AH42" s="3" t="s">
        <v>248</v>
      </c>
      <c r="AI42" s="3"/>
      <c r="AJ42" s="3" t="s">
        <v>647</v>
      </c>
      <c r="AK42" s="3" t="s">
        <v>249</v>
      </c>
    </row>
    <row r="43" ht="34" spans="1:37">
      <c r="A43" s="3" t="s">
        <v>10</v>
      </c>
      <c r="B43" s="3" t="s">
        <v>648</v>
      </c>
      <c r="C43" s="3" t="s">
        <v>227</v>
      </c>
      <c r="D43" s="3" t="s">
        <v>649</v>
      </c>
      <c r="E43" s="3" t="s">
        <v>632</v>
      </c>
      <c r="F43" s="3" t="s">
        <v>650</v>
      </c>
      <c r="G43" s="4">
        <v>51</v>
      </c>
      <c r="H43" s="3" t="s">
        <v>577</v>
      </c>
      <c r="I43" s="3" t="s">
        <v>577</v>
      </c>
      <c r="J43" s="3" t="s">
        <v>266</v>
      </c>
      <c r="K43" s="3" t="s">
        <v>267</v>
      </c>
      <c r="L43" s="3" t="s">
        <v>651</v>
      </c>
      <c r="M43" s="3" t="s">
        <v>269</v>
      </c>
      <c r="N43" s="3" t="s">
        <v>299</v>
      </c>
      <c r="O43" s="3" t="s">
        <v>652</v>
      </c>
      <c r="P43" s="3" t="s">
        <v>379</v>
      </c>
      <c r="Q43" s="3" t="s">
        <v>272</v>
      </c>
      <c r="R43" s="3" t="s">
        <v>273</v>
      </c>
      <c r="S43" s="3" t="s">
        <v>241</v>
      </c>
      <c r="T43" s="3" t="s">
        <v>79</v>
      </c>
      <c r="U43" s="3" t="s">
        <v>79</v>
      </c>
      <c r="V43" s="3" t="s">
        <v>242</v>
      </c>
      <c r="W43" s="3" t="s">
        <v>569</v>
      </c>
      <c r="X43" s="3" t="s">
        <v>653</v>
      </c>
      <c r="Y43" s="3" t="s">
        <v>244</v>
      </c>
      <c r="Z43" s="3" t="s">
        <v>245</v>
      </c>
      <c r="AA43" s="3"/>
      <c r="AB43" s="3" t="s">
        <v>248</v>
      </c>
      <c r="AC43" s="3" t="s">
        <v>247</v>
      </c>
      <c r="AD43" s="3" t="s">
        <v>248</v>
      </c>
      <c r="AE43" s="3"/>
      <c r="AF43" s="3" t="s">
        <v>10</v>
      </c>
      <c r="AG43" s="3" t="s">
        <v>654</v>
      </c>
      <c r="AH43" s="3" t="s">
        <v>248</v>
      </c>
      <c r="AI43" s="3"/>
      <c r="AJ43" s="3" t="s">
        <v>655</v>
      </c>
      <c r="AK43" s="3" t="s">
        <v>249</v>
      </c>
    </row>
    <row r="44" ht="34" spans="1:37">
      <c r="A44" s="3" t="s">
        <v>18</v>
      </c>
      <c r="B44" s="3" t="s">
        <v>110</v>
      </c>
      <c r="C44" s="3" t="s">
        <v>227</v>
      </c>
      <c r="D44" s="3" t="s">
        <v>656</v>
      </c>
      <c r="E44" s="3" t="s">
        <v>657</v>
      </c>
      <c r="F44" s="3" t="s">
        <v>658</v>
      </c>
      <c r="G44" s="4">
        <v>50</v>
      </c>
      <c r="H44" s="3" t="s">
        <v>564</v>
      </c>
      <c r="I44" s="3" t="s">
        <v>564</v>
      </c>
      <c r="J44" s="3" t="s">
        <v>233</v>
      </c>
      <c r="K44" s="3"/>
      <c r="L44" s="3" t="s">
        <v>659</v>
      </c>
      <c r="M44" s="3" t="s">
        <v>269</v>
      </c>
      <c r="N44" s="3" t="s">
        <v>512</v>
      </c>
      <c r="O44" s="3"/>
      <c r="P44" s="3" t="s">
        <v>568</v>
      </c>
      <c r="Q44" s="3" t="s">
        <v>272</v>
      </c>
      <c r="R44" s="3" t="s">
        <v>273</v>
      </c>
      <c r="S44" s="3" t="s">
        <v>241</v>
      </c>
      <c r="T44" s="3" t="s">
        <v>79</v>
      </c>
      <c r="U44" s="3" t="s">
        <v>79</v>
      </c>
      <c r="V44" s="3" t="s">
        <v>242</v>
      </c>
      <c r="W44" s="3" t="s">
        <v>660</v>
      </c>
      <c r="X44" s="3" t="s">
        <v>661</v>
      </c>
      <c r="Y44" s="3" t="s">
        <v>244</v>
      </c>
      <c r="Z44" s="3" t="s">
        <v>245</v>
      </c>
      <c r="AA44" s="3" t="s">
        <v>662</v>
      </c>
      <c r="AB44" s="3" t="s">
        <v>247</v>
      </c>
      <c r="AC44" s="3" t="s">
        <v>247</v>
      </c>
      <c r="AD44" s="3" t="s">
        <v>247</v>
      </c>
      <c r="AE44" s="3"/>
      <c r="AF44" s="3" t="s">
        <v>18</v>
      </c>
      <c r="AG44" s="3" t="s">
        <v>663</v>
      </c>
      <c r="AH44" s="3" t="s">
        <v>248</v>
      </c>
      <c r="AI44" s="3"/>
      <c r="AJ44" s="3" t="s">
        <v>664</v>
      </c>
      <c r="AK44" s="3" t="s">
        <v>249</v>
      </c>
    </row>
    <row r="45" ht="34" spans="1:37">
      <c r="A45" s="3" t="s">
        <v>18</v>
      </c>
      <c r="B45" s="3" t="s">
        <v>665</v>
      </c>
      <c r="C45" s="3" t="s">
        <v>251</v>
      </c>
      <c r="D45" s="3" t="s">
        <v>666</v>
      </c>
      <c r="E45" s="3" t="s">
        <v>414</v>
      </c>
      <c r="F45" s="3" t="s">
        <v>602</v>
      </c>
      <c r="G45" s="4">
        <v>50</v>
      </c>
      <c r="H45" s="3" t="s">
        <v>564</v>
      </c>
      <c r="I45" s="3" t="s">
        <v>564</v>
      </c>
      <c r="J45" s="3" t="s">
        <v>233</v>
      </c>
      <c r="K45" s="3" t="s">
        <v>510</v>
      </c>
      <c r="L45" s="3" t="s">
        <v>667</v>
      </c>
      <c r="M45" s="3" t="s">
        <v>364</v>
      </c>
      <c r="N45" s="3" t="s">
        <v>377</v>
      </c>
      <c r="O45" s="3" t="s">
        <v>668</v>
      </c>
      <c r="P45" s="3" t="s">
        <v>568</v>
      </c>
      <c r="Q45" s="3" t="s">
        <v>272</v>
      </c>
      <c r="R45" s="3" t="s">
        <v>240</v>
      </c>
      <c r="S45" s="3" t="s">
        <v>241</v>
      </c>
      <c r="T45" s="3" t="s">
        <v>79</v>
      </c>
      <c r="U45" s="3" t="s">
        <v>79</v>
      </c>
      <c r="V45" s="3" t="s">
        <v>242</v>
      </c>
      <c r="W45" s="3" t="s">
        <v>660</v>
      </c>
      <c r="X45" s="3" t="s">
        <v>669</v>
      </c>
      <c r="Y45" s="3" t="s">
        <v>244</v>
      </c>
      <c r="Z45" s="3" t="s">
        <v>245</v>
      </c>
      <c r="AA45" s="3" t="s">
        <v>670</v>
      </c>
      <c r="AB45" s="3" t="s">
        <v>247</v>
      </c>
      <c r="AC45" s="3" t="s">
        <v>247</v>
      </c>
      <c r="AD45" s="3" t="s">
        <v>247</v>
      </c>
      <c r="AE45" s="3"/>
      <c r="AF45" s="3" t="s">
        <v>18</v>
      </c>
      <c r="AG45" s="3" t="s">
        <v>671</v>
      </c>
      <c r="AH45" s="3" t="s">
        <v>248</v>
      </c>
      <c r="AI45" s="3"/>
      <c r="AJ45" s="3" t="s">
        <v>672</v>
      </c>
      <c r="AK45" s="3" t="s">
        <v>249</v>
      </c>
    </row>
    <row r="46" ht="34" spans="1:37">
      <c r="A46" s="3" t="s">
        <v>12</v>
      </c>
      <c r="B46" s="3" t="s">
        <v>59</v>
      </c>
      <c r="C46" s="3" t="s">
        <v>227</v>
      </c>
      <c r="D46" s="3" t="s">
        <v>673</v>
      </c>
      <c r="E46" s="3" t="s">
        <v>430</v>
      </c>
      <c r="F46" s="3" t="s">
        <v>622</v>
      </c>
      <c r="G46" s="4">
        <v>50</v>
      </c>
      <c r="H46" s="3" t="s">
        <v>674</v>
      </c>
      <c r="I46" s="3" t="s">
        <v>674</v>
      </c>
      <c r="J46" s="3" t="s">
        <v>285</v>
      </c>
      <c r="K46" s="3" t="s">
        <v>675</v>
      </c>
      <c r="L46" s="3" t="s">
        <v>676</v>
      </c>
      <c r="M46" s="3" t="s">
        <v>236</v>
      </c>
      <c r="N46" s="3" t="s">
        <v>286</v>
      </c>
      <c r="O46" s="3" t="s">
        <v>677</v>
      </c>
      <c r="P46" s="3" t="s">
        <v>483</v>
      </c>
      <c r="Q46" s="3" t="s">
        <v>272</v>
      </c>
      <c r="R46" s="3" t="s">
        <v>240</v>
      </c>
      <c r="S46" s="3" t="s">
        <v>289</v>
      </c>
      <c r="T46" s="3" t="s">
        <v>79</v>
      </c>
      <c r="U46" s="3" t="s">
        <v>79</v>
      </c>
      <c r="V46" s="3" t="s">
        <v>242</v>
      </c>
      <c r="W46" s="3" t="s">
        <v>660</v>
      </c>
      <c r="X46" s="3" t="s">
        <v>643</v>
      </c>
      <c r="Y46" s="3" t="s">
        <v>244</v>
      </c>
      <c r="Z46" s="3" t="s">
        <v>245</v>
      </c>
      <c r="AA46" s="3" t="s">
        <v>678</v>
      </c>
      <c r="AB46" s="3" t="s">
        <v>247</v>
      </c>
      <c r="AC46" s="3" t="s">
        <v>247</v>
      </c>
      <c r="AD46" s="3" t="s">
        <v>247</v>
      </c>
      <c r="AE46" s="3" t="s">
        <v>49</v>
      </c>
      <c r="AF46" s="3" t="s">
        <v>679</v>
      </c>
      <c r="AG46" s="3" t="s">
        <v>680</v>
      </c>
      <c r="AH46" s="3" t="s">
        <v>248</v>
      </c>
      <c r="AI46" s="3"/>
      <c r="AJ46" s="3" t="s">
        <v>681</v>
      </c>
      <c r="AK46" s="3" t="s">
        <v>249</v>
      </c>
    </row>
    <row r="47" ht="34" spans="1:37">
      <c r="A47" s="3" t="s">
        <v>14</v>
      </c>
      <c r="B47" s="3" t="s">
        <v>75</v>
      </c>
      <c r="C47" s="3" t="s">
        <v>251</v>
      </c>
      <c r="D47" s="3" t="s">
        <v>682</v>
      </c>
      <c r="E47" s="3" t="s">
        <v>683</v>
      </c>
      <c r="F47" s="3" t="s">
        <v>684</v>
      </c>
      <c r="G47" s="4">
        <v>46</v>
      </c>
      <c r="H47" s="3" t="s">
        <v>685</v>
      </c>
      <c r="I47" s="3" t="s">
        <v>685</v>
      </c>
      <c r="J47" s="3" t="s">
        <v>266</v>
      </c>
      <c r="K47" s="3" t="s">
        <v>686</v>
      </c>
      <c r="L47" s="3" t="s">
        <v>687</v>
      </c>
      <c r="M47" s="3" t="s">
        <v>364</v>
      </c>
      <c r="N47" s="3" t="s">
        <v>237</v>
      </c>
      <c r="O47" s="3"/>
      <c r="P47" s="3" t="s">
        <v>483</v>
      </c>
      <c r="Q47" s="3" t="s">
        <v>272</v>
      </c>
      <c r="R47" s="3" t="s">
        <v>273</v>
      </c>
      <c r="S47" s="3" t="s">
        <v>241</v>
      </c>
      <c r="T47" s="3" t="s">
        <v>79</v>
      </c>
      <c r="U47" s="3" t="s">
        <v>79</v>
      </c>
      <c r="V47" s="3" t="s">
        <v>242</v>
      </c>
      <c r="W47" s="3" t="s">
        <v>660</v>
      </c>
      <c r="X47" s="3" t="s">
        <v>688</v>
      </c>
      <c r="Y47" s="3" t="s">
        <v>244</v>
      </c>
      <c r="Z47" s="3" t="s">
        <v>245</v>
      </c>
      <c r="AA47" s="3" t="s">
        <v>319</v>
      </c>
      <c r="AB47" s="3" t="s">
        <v>247</v>
      </c>
      <c r="AC47" s="3" t="s">
        <v>247</v>
      </c>
      <c r="AD47" s="3" t="s">
        <v>247</v>
      </c>
      <c r="AE47" s="3"/>
      <c r="AF47" s="3" t="s">
        <v>14</v>
      </c>
      <c r="AG47" s="3" t="s">
        <v>689</v>
      </c>
      <c r="AH47" s="3" t="s">
        <v>248</v>
      </c>
      <c r="AI47" s="3"/>
      <c r="AJ47" s="3" t="s">
        <v>690</v>
      </c>
      <c r="AK47" s="3" t="s">
        <v>249</v>
      </c>
    </row>
    <row r="48" ht="34" spans="1:37">
      <c r="A48" s="3" t="s">
        <v>18</v>
      </c>
      <c r="B48" s="3" t="s">
        <v>691</v>
      </c>
      <c r="C48" s="3" t="s">
        <v>251</v>
      </c>
      <c r="D48" s="3" t="s">
        <v>692</v>
      </c>
      <c r="E48" s="3" t="s">
        <v>414</v>
      </c>
      <c r="F48" s="3" t="s">
        <v>693</v>
      </c>
      <c r="G48" s="4">
        <v>51</v>
      </c>
      <c r="H48" s="3" t="s">
        <v>694</v>
      </c>
      <c r="I48" s="3" t="s">
        <v>694</v>
      </c>
      <c r="J48" s="3" t="s">
        <v>233</v>
      </c>
      <c r="K48" s="3" t="s">
        <v>565</v>
      </c>
      <c r="L48" s="3" t="s">
        <v>695</v>
      </c>
      <c r="M48" s="3" t="s">
        <v>351</v>
      </c>
      <c r="N48" s="3" t="s">
        <v>377</v>
      </c>
      <c r="O48" s="3" t="s">
        <v>696</v>
      </c>
      <c r="P48" s="3" t="s">
        <v>697</v>
      </c>
      <c r="Q48" s="3" t="s">
        <v>272</v>
      </c>
      <c r="R48" s="3" t="s">
        <v>240</v>
      </c>
      <c r="S48" s="3" t="s">
        <v>241</v>
      </c>
      <c r="T48" s="3" t="s">
        <v>79</v>
      </c>
      <c r="U48" s="3" t="s">
        <v>79</v>
      </c>
      <c r="V48" s="3" t="s">
        <v>242</v>
      </c>
      <c r="W48" s="3" t="s">
        <v>660</v>
      </c>
      <c r="X48" s="3" t="s">
        <v>698</v>
      </c>
      <c r="Y48" s="3" t="s">
        <v>244</v>
      </c>
      <c r="Z48" s="3" t="s">
        <v>245</v>
      </c>
      <c r="AA48" s="3" t="s">
        <v>699</v>
      </c>
      <c r="AB48" s="3" t="s">
        <v>247</v>
      </c>
      <c r="AC48" s="3" t="s">
        <v>247</v>
      </c>
      <c r="AD48" s="3" t="s">
        <v>248</v>
      </c>
      <c r="AE48" s="3"/>
      <c r="AF48" s="3" t="s">
        <v>18</v>
      </c>
      <c r="AG48" s="3" t="s">
        <v>700</v>
      </c>
      <c r="AH48" s="3" t="s">
        <v>248</v>
      </c>
      <c r="AI48" s="3"/>
      <c r="AJ48" s="3" t="s">
        <v>701</v>
      </c>
      <c r="AK48" s="3" t="s">
        <v>249</v>
      </c>
    </row>
    <row r="49" ht="34" spans="1:37">
      <c r="A49" s="3" t="s">
        <v>20</v>
      </c>
      <c r="B49" s="3" t="s">
        <v>139</v>
      </c>
      <c r="C49" s="3" t="s">
        <v>227</v>
      </c>
      <c r="D49" s="3" t="s">
        <v>702</v>
      </c>
      <c r="E49" s="3" t="s">
        <v>384</v>
      </c>
      <c r="F49" s="3" t="s">
        <v>576</v>
      </c>
      <c r="G49" s="4">
        <v>52</v>
      </c>
      <c r="H49" s="3" t="s">
        <v>674</v>
      </c>
      <c r="I49" s="3" t="s">
        <v>674</v>
      </c>
      <c r="J49" s="3" t="s">
        <v>285</v>
      </c>
      <c r="K49" s="3" t="s">
        <v>703</v>
      </c>
      <c r="L49" s="3" t="s">
        <v>704</v>
      </c>
      <c r="M49" s="3" t="s">
        <v>351</v>
      </c>
      <c r="N49" s="3" t="s">
        <v>352</v>
      </c>
      <c r="O49" s="3" t="s">
        <v>407</v>
      </c>
      <c r="P49" s="3" t="s">
        <v>705</v>
      </c>
      <c r="Q49" s="3" t="s">
        <v>272</v>
      </c>
      <c r="R49" s="3" t="s">
        <v>240</v>
      </c>
      <c r="S49" s="3" t="s">
        <v>241</v>
      </c>
      <c r="T49" s="3" t="s">
        <v>79</v>
      </c>
      <c r="U49" s="3" t="s">
        <v>79</v>
      </c>
      <c r="V49" s="3" t="s">
        <v>242</v>
      </c>
      <c r="W49" s="3" t="s">
        <v>660</v>
      </c>
      <c r="X49" s="3" t="s">
        <v>706</v>
      </c>
      <c r="Y49" s="3" t="s">
        <v>244</v>
      </c>
      <c r="Z49" s="3" t="s">
        <v>245</v>
      </c>
      <c r="AA49" s="3" t="s">
        <v>707</v>
      </c>
      <c r="AB49" s="3" t="s">
        <v>247</v>
      </c>
      <c r="AC49" s="3" t="s">
        <v>247</v>
      </c>
      <c r="AD49" s="3" t="s">
        <v>247</v>
      </c>
      <c r="AE49" s="3" t="s">
        <v>51</v>
      </c>
      <c r="AF49" s="3" t="s">
        <v>13</v>
      </c>
      <c r="AG49" s="3" t="s">
        <v>708</v>
      </c>
      <c r="AH49" s="3" t="s">
        <v>248</v>
      </c>
      <c r="AI49" s="3"/>
      <c r="AJ49" s="3" t="s">
        <v>709</v>
      </c>
      <c r="AK49" s="3" t="s">
        <v>249</v>
      </c>
    </row>
    <row r="50" ht="34" spans="1:37">
      <c r="A50" s="3" t="s">
        <v>10</v>
      </c>
      <c r="B50" s="3" t="s">
        <v>710</v>
      </c>
      <c r="C50" s="3" t="s">
        <v>251</v>
      </c>
      <c r="D50" s="3" t="s">
        <v>711</v>
      </c>
      <c r="E50" s="3" t="s">
        <v>360</v>
      </c>
      <c r="F50" s="3" t="s">
        <v>613</v>
      </c>
      <c r="G50" s="4">
        <v>52</v>
      </c>
      <c r="H50" s="3" t="s">
        <v>712</v>
      </c>
      <c r="I50" s="3" t="s">
        <v>712</v>
      </c>
      <c r="J50" s="3" t="s">
        <v>233</v>
      </c>
      <c r="K50" s="3"/>
      <c r="L50" s="3"/>
      <c r="M50" s="3" t="s">
        <v>351</v>
      </c>
      <c r="N50" s="3" t="s">
        <v>365</v>
      </c>
      <c r="O50" s="3" t="s">
        <v>338</v>
      </c>
      <c r="P50" s="3" t="s">
        <v>568</v>
      </c>
      <c r="Q50" s="3" t="s">
        <v>272</v>
      </c>
      <c r="R50" s="3" t="s">
        <v>240</v>
      </c>
      <c r="S50" s="3" t="s">
        <v>241</v>
      </c>
      <c r="T50" s="3" t="s">
        <v>79</v>
      </c>
      <c r="U50" s="3" t="s">
        <v>79</v>
      </c>
      <c r="V50" s="3" t="s">
        <v>242</v>
      </c>
      <c r="W50" s="3" t="s">
        <v>660</v>
      </c>
      <c r="X50" s="3" t="s">
        <v>713</v>
      </c>
      <c r="Y50" s="3" t="s">
        <v>244</v>
      </c>
      <c r="Z50" s="3" t="s">
        <v>245</v>
      </c>
      <c r="AA50" s="3"/>
      <c r="AB50" s="3" t="s">
        <v>248</v>
      </c>
      <c r="AC50" s="3" t="s">
        <v>247</v>
      </c>
      <c r="AD50" s="3" t="s">
        <v>248</v>
      </c>
      <c r="AE50" s="3"/>
      <c r="AF50" s="3" t="s">
        <v>10</v>
      </c>
      <c r="AG50" s="3" t="s">
        <v>714</v>
      </c>
      <c r="AH50" s="3" t="s">
        <v>248</v>
      </c>
      <c r="AI50" s="3"/>
      <c r="AJ50" s="3" t="s">
        <v>715</v>
      </c>
      <c r="AK50" s="3" t="s">
        <v>249</v>
      </c>
    </row>
    <row r="51" ht="34" spans="1:37">
      <c r="A51" s="3" t="s">
        <v>22</v>
      </c>
      <c r="B51" s="3" t="s">
        <v>163</v>
      </c>
      <c r="C51" s="3" t="s">
        <v>227</v>
      </c>
      <c r="D51" s="3" t="s">
        <v>716</v>
      </c>
      <c r="E51" s="3" t="s">
        <v>360</v>
      </c>
      <c r="F51" s="3" t="s">
        <v>717</v>
      </c>
      <c r="G51" s="4">
        <v>45</v>
      </c>
      <c r="H51" s="3" t="s">
        <v>718</v>
      </c>
      <c r="I51" s="3" t="s">
        <v>719</v>
      </c>
      <c r="J51" s="3" t="s">
        <v>233</v>
      </c>
      <c r="K51" s="3" t="s">
        <v>623</v>
      </c>
      <c r="L51" s="3" t="s">
        <v>720</v>
      </c>
      <c r="M51" s="3" t="s">
        <v>351</v>
      </c>
      <c r="N51" s="3" t="s">
        <v>365</v>
      </c>
      <c r="O51" s="3" t="s">
        <v>721</v>
      </c>
      <c r="P51" s="3" t="s">
        <v>722</v>
      </c>
      <c r="Q51" s="3" t="s">
        <v>272</v>
      </c>
      <c r="R51" s="3" t="s">
        <v>240</v>
      </c>
      <c r="S51" s="3" t="s">
        <v>289</v>
      </c>
      <c r="T51" s="3" t="s">
        <v>79</v>
      </c>
      <c r="U51" s="3" t="s">
        <v>79</v>
      </c>
      <c r="V51" s="3" t="s">
        <v>242</v>
      </c>
      <c r="W51" s="3" t="s">
        <v>660</v>
      </c>
      <c r="X51" s="3" t="s">
        <v>723</v>
      </c>
      <c r="Y51" s="3" t="s">
        <v>244</v>
      </c>
      <c r="Z51" s="3" t="s">
        <v>245</v>
      </c>
      <c r="AA51" s="3" t="s">
        <v>724</v>
      </c>
      <c r="AB51" s="3" t="s">
        <v>247</v>
      </c>
      <c r="AC51" s="3" t="s">
        <v>247</v>
      </c>
      <c r="AD51" s="3" t="s">
        <v>248</v>
      </c>
      <c r="AE51" s="3"/>
      <c r="AF51" s="3" t="s">
        <v>22</v>
      </c>
      <c r="AG51" s="3" t="s">
        <v>725</v>
      </c>
      <c r="AH51" s="3" t="s">
        <v>248</v>
      </c>
      <c r="AI51" s="3"/>
      <c r="AJ51" s="3" t="s">
        <v>726</v>
      </c>
      <c r="AK51" s="3" t="s">
        <v>249</v>
      </c>
    </row>
    <row r="52" ht="34" spans="1:37">
      <c r="A52" s="3" t="s">
        <v>20</v>
      </c>
      <c r="B52" s="3" t="s">
        <v>137</v>
      </c>
      <c r="C52" s="3" t="s">
        <v>227</v>
      </c>
      <c r="D52" s="3" t="s">
        <v>727</v>
      </c>
      <c r="E52" s="3" t="s">
        <v>384</v>
      </c>
      <c r="F52" s="3" t="s">
        <v>728</v>
      </c>
      <c r="G52" s="4">
        <v>49</v>
      </c>
      <c r="H52" s="3" t="s">
        <v>729</v>
      </c>
      <c r="I52" s="3" t="s">
        <v>729</v>
      </c>
      <c r="J52" s="3" t="s">
        <v>285</v>
      </c>
      <c r="K52" s="3"/>
      <c r="L52" s="3" t="s">
        <v>730</v>
      </c>
      <c r="M52" s="3" t="s">
        <v>236</v>
      </c>
      <c r="N52" s="3" t="s">
        <v>352</v>
      </c>
      <c r="O52" s="3" t="s">
        <v>731</v>
      </c>
      <c r="P52" s="3" t="s">
        <v>732</v>
      </c>
      <c r="Q52" s="3" t="s">
        <v>272</v>
      </c>
      <c r="R52" s="3" t="s">
        <v>240</v>
      </c>
      <c r="S52" s="3" t="s">
        <v>289</v>
      </c>
      <c r="T52" s="3" t="s">
        <v>79</v>
      </c>
      <c r="U52" s="3" t="s">
        <v>79</v>
      </c>
      <c r="V52" s="3" t="s">
        <v>242</v>
      </c>
      <c r="W52" s="3" t="s">
        <v>660</v>
      </c>
      <c r="X52" s="3" t="s">
        <v>733</v>
      </c>
      <c r="Y52" s="3" t="s">
        <v>244</v>
      </c>
      <c r="Z52" s="3" t="s">
        <v>245</v>
      </c>
      <c r="AA52" s="3" t="s">
        <v>734</v>
      </c>
      <c r="AB52" s="3" t="s">
        <v>247</v>
      </c>
      <c r="AC52" s="3" t="s">
        <v>247</v>
      </c>
      <c r="AD52" s="3" t="s">
        <v>247</v>
      </c>
      <c r="AE52" s="3" t="s">
        <v>51</v>
      </c>
      <c r="AF52" s="3" t="s">
        <v>13</v>
      </c>
      <c r="AG52" s="3" t="s">
        <v>735</v>
      </c>
      <c r="AH52" s="3" t="s">
        <v>248</v>
      </c>
      <c r="AI52" s="3"/>
      <c r="AJ52" s="3" t="s">
        <v>736</v>
      </c>
      <c r="AK52" s="3" t="s">
        <v>249</v>
      </c>
    </row>
    <row r="53" ht="34" spans="1:37">
      <c r="A53" s="3" t="s">
        <v>10</v>
      </c>
      <c r="B53" s="3" t="s">
        <v>737</v>
      </c>
      <c r="C53" s="3" t="s">
        <v>251</v>
      </c>
      <c r="D53" s="3" t="s">
        <v>738</v>
      </c>
      <c r="E53" s="3" t="s">
        <v>683</v>
      </c>
      <c r="F53" s="3" t="s">
        <v>739</v>
      </c>
      <c r="G53" s="4">
        <v>49</v>
      </c>
      <c r="H53" s="3" t="s">
        <v>564</v>
      </c>
      <c r="I53" s="3" t="s">
        <v>564</v>
      </c>
      <c r="J53" s="3" t="s">
        <v>266</v>
      </c>
      <c r="K53" s="3" t="s">
        <v>349</v>
      </c>
      <c r="L53" s="3" t="s">
        <v>740</v>
      </c>
      <c r="M53" s="3" t="s">
        <v>269</v>
      </c>
      <c r="N53" s="3" t="s">
        <v>502</v>
      </c>
      <c r="O53" s="3" t="s">
        <v>652</v>
      </c>
      <c r="P53" s="3" t="s">
        <v>568</v>
      </c>
      <c r="Q53" s="3" t="s">
        <v>272</v>
      </c>
      <c r="R53" s="3" t="s">
        <v>273</v>
      </c>
      <c r="S53" s="3" t="s">
        <v>241</v>
      </c>
      <c r="T53" s="3" t="s">
        <v>79</v>
      </c>
      <c r="U53" s="3" t="s">
        <v>79</v>
      </c>
      <c r="V53" s="3" t="s">
        <v>242</v>
      </c>
      <c r="W53" s="3" t="s">
        <v>660</v>
      </c>
      <c r="X53" s="3" t="s">
        <v>741</v>
      </c>
      <c r="Y53" s="3" t="s">
        <v>244</v>
      </c>
      <c r="Z53" s="3" t="s">
        <v>245</v>
      </c>
      <c r="AA53" s="3"/>
      <c r="AB53" s="3" t="s">
        <v>248</v>
      </c>
      <c r="AC53" s="3" t="s">
        <v>247</v>
      </c>
      <c r="AD53" s="3" t="s">
        <v>248</v>
      </c>
      <c r="AE53" s="3"/>
      <c r="AF53" s="3" t="s">
        <v>10</v>
      </c>
      <c r="AG53" s="3" t="s">
        <v>742</v>
      </c>
      <c r="AH53" s="3" t="s">
        <v>248</v>
      </c>
      <c r="AI53" s="3"/>
      <c r="AJ53" s="3" t="s">
        <v>743</v>
      </c>
      <c r="AK53" s="3" t="s">
        <v>249</v>
      </c>
    </row>
    <row r="54" ht="34" spans="1:37">
      <c r="A54" s="3" t="s">
        <v>20</v>
      </c>
      <c r="B54" s="3" t="s">
        <v>131</v>
      </c>
      <c r="C54" s="3" t="s">
        <v>251</v>
      </c>
      <c r="D54" s="3" t="s">
        <v>744</v>
      </c>
      <c r="E54" s="3" t="s">
        <v>346</v>
      </c>
      <c r="F54" s="3" t="s">
        <v>658</v>
      </c>
      <c r="G54" s="4">
        <v>50</v>
      </c>
      <c r="H54" s="3" t="s">
        <v>745</v>
      </c>
      <c r="I54" s="3" t="s">
        <v>745</v>
      </c>
      <c r="J54" s="3" t="s">
        <v>233</v>
      </c>
      <c r="K54" s="3" t="s">
        <v>746</v>
      </c>
      <c r="L54" s="3" t="s">
        <v>747</v>
      </c>
      <c r="M54" s="3" t="s">
        <v>364</v>
      </c>
      <c r="N54" s="3" t="s">
        <v>237</v>
      </c>
      <c r="O54" s="3" t="s">
        <v>748</v>
      </c>
      <c r="P54" s="3" t="s">
        <v>483</v>
      </c>
      <c r="Q54" s="3" t="s">
        <v>272</v>
      </c>
      <c r="R54" s="3" t="s">
        <v>240</v>
      </c>
      <c r="S54" s="3" t="s">
        <v>289</v>
      </c>
      <c r="T54" s="3" t="s">
        <v>79</v>
      </c>
      <c r="U54" s="3" t="s">
        <v>79</v>
      </c>
      <c r="V54" s="3" t="s">
        <v>242</v>
      </c>
      <c r="W54" s="3" t="s">
        <v>660</v>
      </c>
      <c r="X54" s="3" t="s">
        <v>749</v>
      </c>
      <c r="Y54" s="3" t="s">
        <v>244</v>
      </c>
      <c r="Z54" s="3" t="s">
        <v>245</v>
      </c>
      <c r="AA54" s="3" t="s">
        <v>750</v>
      </c>
      <c r="AB54" s="3" t="s">
        <v>247</v>
      </c>
      <c r="AC54" s="3" t="s">
        <v>247</v>
      </c>
      <c r="AD54" s="3" t="s">
        <v>247</v>
      </c>
      <c r="AE54" s="3"/>
      <c r="AF54" s="3" t="s">
        <v>13</v>
      </c>
      <c r="AG54" s="3" t="s">
        <v>751</v>
      </c>
      <c r="AH54" s="3" t="s">
        <v>248</v>
      </c>
      <c r="AI54" s="3"/>
      <c r="AJ54" s="3" t="s">
        <v>752</v>
      </c>
      <c r="AK54" s="3" t="s">
        <v>249</v>
      </c>
    </row>
    <row r="55" ht="34" spans="1:37">
      <c r="A55" s="3" t="s">
        <v>16</v>
      </c>
      <c r="B55" s="3" t="s">
        <v>98</v>
      </c>
      <c r="C55" s="3" t="s">
        <v>251</v>
      </c>
      <c r="D55" s="3" t="s">
        <v>753</v>
      </c>
      <c r="E55" s="3" t="s">
        <v>334</v>
      </c>
      <c r="F55" s="3" t="s">
        <v>754</v>
      </c>
      <c r="G55" s="4">
        <v>50</v>
      </c>
      <c r="H55" s="3" t="s">
        <v>755</v>
      </c>
      <c r="I55" s="3" t="s">
        <v>755</v>
      </c>
      <c r="J55" s="3" t="s">
        <v>285</v>
      </c>
      <c r="K55" s="3" t="s">
        <v>756</v>
      </c>
      <c r="L55" s="3" t="s">
        <v>757</v>
      </c>
      <c r="M55" s="3" t="s">
        <v>351</v>
      </c>
      <c r="N55" s="3" t="s">
        <v>237</v>
      </c>
      <c r="O55" s="3" t="s">
        <v>338</v>
      </c>
      <c r="P55" s="3" t="s">
        <v>758</v>
      </c>
      <c r="Q55" s="3" t="s">
        <v>272</v>
      </c>
      <c r="R55" s="3" t="s">
        <v>240</v>
      </c>
      <c r="S55" s="3" t="s">
        <v>289</v>
      </c>
      <c r="T55" s="3" t="s">
        <v>79</v>
      </c>
      <c r="U55" s="3" t="s">
        <v>79</v>
      </c>
      <c r="V55" s="3" t="s">
        <v>242</v>
      </c>
      <c r="W55" s="3" t="s">
        <v>660</v>
      </c>
      <c r="X55" s="3" t="s">
        <v>759</v>
      </c>
      <c r="Y55" s="3" t="s">
        <v>244</v>
      </c>
      <c r="Z55" s="3" t="s">
        <v>245</v>
      </c>
      <c r="AA55" s="3" t="s">
        <v>760</v>
      </c>
      <c r="AB55" s="3" t="s">
        <v>247</v>
      </c>
      <c r="AC55" s="3" t="s">
        <v>247</v>
      </c>
      <c r="AD55" s="3" t="s">
        <v>248</v>
      </c>
      <c r="AE55" s="3" t="s">
        <v>43</v>
      </c>
      <c r="AF55" s="3" t="s">
        <v>16</v>
      </c>
      <c r="AG55" s="3" t="s">
        <v>761</v>
      </c>
      <c r="AH55" s="3" t="s">
        <v>248</v>
      </c>
      <c r="AI55" s="3"/>
      <c r="AJ55" s="3" t="s">
        <v>762</v>
      </c>
      <c r="AK55" s="3" t="s">
        <v>249</v>
      </c>
    </row>
    <row r="56" ht="34" spans="1:37">
      <c r="A56" s="3" t="s">
        <v>10</v>
      </c>
      <c r="B56" s="3" t="s">
        <v>763</v>
      </c>
      <c r="C56" s="3" t="s">
        <v>251</v>
      </c>
      <c r="D56" s="3" t="s">
        <v>764</v>
      </c>
      <c r="E56" s="3" t="s">
        <v>360</v>
      </c>
      <c r="F56" s="3" t="s">
        <v>765</v>
      </c>
      <c r="G56" s="4">
        <v>51</v>
      </c>
      <c r="H56" s="3" t="s">
        <v>564</v>
      </c>
      <c r="I56" s="3" t="s">
        <v>564</v>
      </c>
      <c r="J56" s="3" t="s">
        <v>233</v>
      </c>
      <c r="K56" s="3" t="s">
        <v>766</v>
      </c>
      <c r="L56" s="3" t="s">
        <v>767</v>
      </c>
      <c r="M56" s="3" t="s">
        <v>351</v>
      </c>
      <c r="N56" s="3" t="s">
        <v>365</v>
      </c>
      <c r="O56" s="3" t="s">
        <v>768</v>
      </c>
      <c r="P56" s="3" t="s">
        <v>568</v>
      </c>
      <c r="Q56" s="3" t="s">
        <v>272</v>
      </c>
      <c r="R56" s="3" t="s">
        <v>240</v>
      </c>
      <c r="S56" s="3" t="s">
        <v>241</v>
      </c>
      <c r="T56" s="3" t="s">
        <v>79</v>
      </c>
      <c r="U56" s="3" t="s">
        <v>79</v>
      </c>
      <c r="V56" s="3" t="s">
        <v>242</v>
      </c>
      <c r="W56" s="3" t="s">
        <v>660</v>
      </c>
      <c r="X56" s="3" t="s">
        <v>759</v>
      </c>
      <c r="Y56" s="3" t="s">
        <v>244</v>
      </c>
      <c r="Z56" s="3" t="s">
        <v>245</v>
      </c>
      <c r="AA56" s="3"/>
      <c r="AB56" s="3" t="s">
        <v>248</v>
      </c>
      <c r="AC56" s="3" t="s">
        <v>247</v>
      </c>
      <c r="AD56" s="3" t="s">
        <v>248</v>
      </c>
      <c r="AE56" s="3"/>
      <c r="AF56" s="3" t="s">
        <v>10</v>
      </c>
      <c r="AG56" s="3" t="s">
        <v>769</v>
      </c>
      <c r="AH56" s="3" t="s">
        <v>248</v>
      </c>
      <c r="AI56" s="3"/>
      <c r="AJ56" s="3" t="s">
        <v>770</v>
      </c>
      <c r="AK56" s="3" t="s">
        <v>249</v>
      </c>
    </row>
    <row r="57" ht="34" spans="1:37">
      <c r="A57" s="3" t="s">
        <v>18</v>
      </c>
      <c r="B57" s="3" t="s">
        <v>111</v>
      </c>
      <c r="C57" s="3" t="s">
        <v>251</v>
      </c>
      <c r="D57" s="3" t="s">
        <v>771</v>
      </c>
      <c r="E57" s="3" t="s">
        <v>594</v>
      </c>
      <c r="F57" s="3" t="s">
        <v>772</v>
      </c>
      <c r="G57" s="4">
        <v>49</v>
      </c>
      <c r="H57" s="3" t="s">
        <v>773</v>
      </c>
      <c r="I57" s="3" t="s">
        <v>773</v>
      </c>
      <c r="J57" s="3" t="s">
        <v>285</v>
      </c>
      <c r="K57" s="3" t="s">
        <v>774</v>
      </c>
      <c r="L57" s="3" t="s">
        <v>775</v>
      </c>
      <c r="M57" s="3" t="s">
        <v>236</v>
      </c>
      <c r="N57" s="3" t="s">
        <v>286</v>
      </c>
      <c r="O57" s="3" t="s">
        <v>776</v>
      </c>
      <c r="P57" s="3" t="s">
        <v>722</v>
      </c>
      <c r="Q57" s="3" t="s">
        <v>272</v>
      </c>
      <c r="R57" s="3" t="s">
        <v>240</v>
      </c>
      <c r="S57" s="3" t="s">
        <v>241</v>
      </c>
      <c r="T57" s="3" t="s">
        <v>79</v>
      </c>
      <c r="U57" s="3" t="s">
        <v>79</v>
      </c>
      <c r="V57" s="3" t="s">
        <v>242</v>
      </c>
      <c r="W57" s="3" t="s">
        <v>660</v>
      </c>
      <c r="X57" s="3" t="s">
        <v>777</v>
      </c>
      <c r="Y57" s="3" t="s">
        <v>244</v>
      </c>
      <c r="Z57" s="3" t="s">
        <v>245</v>
      </c>
      <c r="AA57" s="3" t="s">
        <v>778</v>
      </c>
      <c r="AB57" s="3" t="s">
        <v>247</v>
      </c>
      <c r="AC57" s="3" t="s">
        <v>247</v>
      </c>
      <c r="AD57" s="3" t="s">
        <v>247</v>
      </c>
      <c r="AE57" s="3" t="s">
        <v>44</v>
      </c>
      <c r="AF57" s="3" t="s">
        <v>18</v>
      </c>
      <c r="AG57" s="3" t="s">
        <v>779</v>
      </c>
      <c r="AH57" s="3" t="s">
        <v>248</v>
      </c>
      <c r="AI57" s="3"/>
      <c r="AJ57" s="3" t="s">
        <v>780</v>
      </c>
      <c r="AK57" s="3" t="s">
        <v>249</v>
      </c>
    </row>
    <row r="58" ht="34" spans="1:37">
      <c r="A58" s="3" t="s">
        <v>10</v>
      </c>
      <c r="B58" s="3" t="s">
        <v>781</v>
      </c>
      <c r="C58" s="3" t="s">
        <v>251</v>
      </c>
      <c r="D58" s="3" t="s">
        <v>782</v>
      </c>
      <c r="E58" s="3" t="s">
        <v>346</v>
      </c>
      <c r="F58" s="3" t="s">
        <v>783</v>
      </c>
      <c r="G58" s="4">
        <v>48</v>
      </c>
      <c r="H58" s="3" t="s">
        <v>564</v>
      </c>
      <c r="I58" s="3" t="s">
        <v>564</v>
      </c>
      <c r="J58" s="3" t="s">
        <v>233</v>
      </c>
      <c r="K58" s="3" t="s">
        <v>784</v>
      </c>
      <c r="L58" s="3" t="s">
        <v>785</v>
      </c>
      <c r="M58" s="3" t="s">
        <v>269</v>
      </c>
      <c r="N58" s="3" t="s">
        <v>352</v>
      </c>
      <c r="O58" s="3" t="s">
        <v>652</v>
      </c>
      <c r="P58" s="3" t="s">
        <v>786</v>
      </c>
      <c r="Q58" s="3" t="s">
        <v>272</v>
      </c>
      <c r="R58" s="3" t="s">
        <v>240</v>
      </c>
      <c r="S58" s="3" t="s">
        <v>241</v>
      </c>
      <c r="T58" s="3" t="s">
        <v>79</v>
      </c>
      <c r="U58" s="3" t="s">
        <v>79</v>
      </c>
      <c r="V58" s="3" t="s">
        <v>242</v>
      </c>
      <c r="W58" s="3" t="s">
        <v>660</v>
      </c>
      <c r="X58" s="3" t="s">
        <v>787</v>
      </c>
      <c r="Y58" s="3" t="s">
        <v>244</v>
      </c>
      <c r="Z58" s="3" t="s">
        <v>245</v>
      </c>
      <c r="AA58" s="3"/>
      <c r="AB58" s="3" t="s">
        <v>248</v>
      </c>
      <c r="AC58" s="3" t="s">
        <v>247</v>
      </c>
      <c r="AD58" s="3" t="s">
        <v>248</v>
      </c>
      <c r="AE58" s="3"/>
      <c r="AF58" s="3" t="s">
        <v>10</v>
      </c>
      <c r="AG58" s="3" t="s">
        <v>788</v>
      </c>
      <c r="AH58" s="3" t="s">
        <v>248</v>
      </c>
      <c r="AI58" s="3"/>
      <c r="AJ58" s="3" t="s">
        <v>789</v>
      </c>
      <c r="AK58" s="3" t="s">
        <v>249</v>
      </c>
    </row>
    <row r="59" ht="34" spans="1:37">
      <c r="A59" s="3" t="s">
        <v>12</v>
      </c>
      <c r="B59" s="3" t="s">
        <v>57</v>
      </c>
      <c r="C59" s="3" t="s">
        <v>227</v>
      </c>
      <c r="D59" s="3" t="s">
        <v>790</v>
      </c>
      <c r="E59" s="3" t="s">
        <v>791</v>
      </c>
      <c r="F59" s="3" t="s">
        <v>792</v>
      </c>
      <c r="G59" s="4">
        <v>50</v>
      </c>
      <c r="H59" s="3" t="s">
        <v>564</v>
      </c>
      <c r="I59" s="3" t="s">
        <v>564</v>
      </c>
      <c r="J59" s="3" t="s">
        <v>233</v>
      </c>
      <c r="K59" s="3" t="s">
        <v>267</v>
      </c>
      <c r="L59" s="3" t="s">
        <v>793</v>
      </c>
      <c r="M59" s="3" t="s">
        <v>236</v>
      </c>
      <c r="N59" s="3" t="s">
        <v>794</v>
      </c>
      <c r="O59" s="3"/>
      <c r="P59" s="3"/>
      <c r="Q59" s="3" t="s">
        <v>272</v>
      </c>
      <c r="R59" s="3" t="s">
        <v>240</v>
      </c>
      <c r="S59" s="3" t="s">
        <v>241</v>
      </c>
      <c r="T59" s="3" t="s">
        <v>79</v>
      </c>
      <c r="U59" s="3" t="s">
        <v>79</v>
      </c>
      <c r="V59" s="3" t="s">
        <v>242</v>
      </c>
      <c r="W59" s="3" t="s">
        <v>660</v>
      </c>
      <c r="X59" s="3" t="s">
        <v>795</v>
      </c>
      <c r="Y59" s="3" t="s">
        <v>244</v>
      </c>
      <c r="Z59" s="3" t="s">
        <v>245</v>
      </c>
      <c r="AA59" s="3" t="s">
        <v>796</v>
      </c>
      <c r="AB59" s="3" t="s">
        <v>247</v>
      </c>
      <c r="AC59" s="3" t="s">
        <v>247</v>
      </c>
      <c r="AD59" s="3" t="s">
        <v>247</v>
      </c>
      <c r="AE59" s="3"/>
      <c r="AF59" s="3" t="s">
        <v>12</v>
      </c>
      <c r="AG59" s="3" t="s">
        <v>797</v>
      </c>
      <c r="AH59" s="3" t="s">
        <v>248</v>
      </c>
      <c r="AI59" s="3"/>
      <c r="AJ59" s="3" t="s">
        <v>798</v>
      </c>
      <c r="AK59" s="3" t="s">
        <v>799</v>
      </c>
    </row>
    <row r="60" ht="34" spans="1:37">
      <c r="A60" s="3" t="s">
        <v>18</v>
      </c>
      <c r="B60" s="3" t="s">
        <v>112</v>
      </c>
      <c r="C60" s="3" t="s">
        <v>251</v>
      </c>
      <c r="D60" s="3" t="s">
        <v>800</v>
      </c>
      <c r="E60" s="3" t="s">
        <v>324</v>
      </c>
      <c r="F60" s="3" t="s">
        <v>801</v>
      </c>
      <c r="G60" s="4">
        <v>49</v>
      </c>
      <c r="H60" s="3" t="s">
        <v>564</v>
      </c>
      <c r="I60" s="3" t="s">
        <v>564</v>
      </c>
      <c r="J60" s="3" t="s">
        <v>233</v>
      </c>
      <c r="K60" s="3" t="s">
        <v>349</v>
      </c>
      <c r="L60" s="3" t="s">
        <v>802</v>
      </c>
      <c r="M60" s="3" t="s">
        <v>364</v>
      </c>
      <c r="N60" s="3" t="s">
        <v>237</v>
      </c>
      <c r="O60" s="3" t="s">
        <v>803</v>
      </c>
      <c r="P60" s="3" t="s">
        <v>483</v>
      </c>
      <c r="Q60" s="3" t="s">
        <v>272</v>
      </c>
      <c r="R60" s="3" t="s">
        <v>240</v>
      </c>
      <c r="S60" s="3" t="s">
        <v>241</v>
      </c>
      <c r="T60" s="3" t="s">
        <v>79</v>
      </c>
      <c r="U60" s="3" t="s">
        <v>79</v>
      </c>
      <c r="V60" s="3" t="s">
        <v>242</v>
      </c>
      <c r="W60" s="3" t="s">
        <v>660</v>
      </c>
      <c r="X60" s="3" t="s">
        <v>804</v>
      </c>
      <c r="Y60" s="3" t="s">
        <v>244</v>
      </c>
      <c r="Z60" s="3" t="s">
        <v>245</v>
      </c>
      <c r="AA60" s="3" t="s">
        <v>805</v>
      </c>
      <c r="AB60" s="3" t="s">
        <v>247</v>
      </c>
      <c r="AC60" s="3" t="s">
        <v>247</v>
      </c>
      <c r="AD60" s="3" t="s">
        <v>247</v>
      </c>
      <c r="AE60" s="3"/>
      <c r="AF60" s="3" t="s">
        <v>18</v>
      </c>
      <c r="AG60" s="3" t="s">
        <v>806</v>
      </c>
      <c r="AH60" s="3" t="s">
        <v>248</v>
      </c>
      <c r="AI60" s="3"/>
      <c r="AJ60" s="3" t="s">
        <v>807</v>
      </c>
      <c r="AK60" s="3" t="s">
        <v>249</v>
      </c>
    </row>
    <row r="61" ht="34" spans="1:37">
      <c r="A61" s="3" t="s">
        <v>18</v>
      </c>
      <c r="B61" s="3" t="s">
        <v>808</v>
      </c>
      <c r="C61" s="3" t="s">
        <v>251</v>
      </c>
      <c r="D61" s="3" t="s">
        <v>809</v>
      </c>
      <c r="E61" s="3" t="s">
        <v>414</v>
      </c>
      <c r="F61" s="3" t="s">
        <v>810</v>
      </c>
      <c r="G61" s="4">
        <v>42</v>
      </c>
      <c r="H61" s="3" t="s">
        <v>811</v>
      </c>
      <c r="I61" s="3" t="s">
        <v>811</v>
      </c>
      <c r="J61" s="3" t="s">
        <v>233</v>
      </c>
      <c r="K61" s="3" t="s">
        <v>812</v>
      </c>
      <c r="L61" s="3" t="s">
        <v>813</v>
      </c>
      <c r="M61" s="3" t="s">
        <v>364</v>
      </c>
      <c r="N61" s="3" t="s">
        <v>286</v>
      </c>
      <c r="O61" s="3" t="s">
        <v>668</v>
      </c>
      <c r="P61" s="3" t="s">
        <v>814</v>
      </c>
      <c r="Q61" s="3" t="s">
        <v>272</v>
      </c>
      <c r="R61" s="3" t="s">
        <v>240</v>
      </c>
      <c r="S61" s="3" t="s">
        <v>241</v>
      </c>
      <c r="T61" s="3" t="s">
        <v>79</v>
      </c>
      <c r="U61" s="3" t="s">
        <v>79</v>
      </c>
      <c r="V61" s="3" t="s">
        <v>242</v>
      </c>
      <c r="W61" s="3" t="s">
        <v>815</v>
      </c>
      <c r="X61" s="3" t="s">
        <v>816</v>
      </c>
      <c r="Y61" s="3" t="s">
        <v>244</v>
      </c>
      <c r="Z61" s="3" t="s">
        <v>245</v>
      </c>
      <c r="AA61" s="3" t="s">
        <v>817</v>
      </c>
      <c r="AB61" s="3" t="s">
        <v>247</v>
      </c>
      <c r="AC61" s="3" t="s">
        <v>247</v>
      </c>
      <c r="AD61" s="3" t="s">
        <v>247</v>
      </c>
      <c r="AE61" s="3"/>
      <c r="AF61" s="3" t="s">
        <v>18</v>
      </c>
      <c r="AG61" s="3" t="s">
        <v>818</v>
      </c>
      <c r="AH61" s="3" t="s">
        <v>248</v>
      </c>
      <c r="AI61" s="3"/>
      <c r="AJ61" s="3" t="s">
        <v>819</v>
      </c>
      <c r="AK61" s="3" t="s">
        <v>249</v>
      </c>
    </row>
    <row r="62" ht="34" spans="1:37">
      <c r="A62" s="3" t="s">
        <v>11</v>
      </c>
      <c r="B62" s="3" t="s">
        <v>50</v>
      </c>
      <c r="C62" s="3" t="s">
        <v>227</v>
      </c>
      <c r="D62" s="3" t="s">
        <v>820</v>
      </c>
      <c r="E62" s="3" t="s">
        <v>396</v>
      </c>
      <c r="F62" s="3" t="s">
        <v>821</v>
      </c>
      <c r="G62" s="4">
        <v>48</v>
      </c>
      <c r="H62" s="3" t="s">
        <v>822</v>
      </c>
      <c r="I62" s="3" t="s">
        <v>822</v>
      </c>
      <c r="J62" s="3" t="s">
        <v>285</v>
      </c>
      <c r="K62" s="3" t="s">
        <v>823</v>
      </c>
      <c r="L62" s="3" t="s">
        <v>824</v>
      </c>
      <c r="M62" s="3" t="s">
        <v>351</v>
      </c>
      <c r="N62" s="3" t="s">
        <v>286</v>
      </c>
      <c r="O62" s="3" t="s">
        <v>731</v>
      </c>
      <c r="P62" s="3" t="s">
        <v>825</v>
      </c>
      <c r="Q62" s="3" t="s">
        <v>272</v>
      </c>
      <c r="R62" s="3" t="s">
        <v>240</v>
      </c>
      <c r="S62" s="3" t="s">
        <v>289</v>
      </c>
      <c r="T62" s="3" t="s">
        <v>79</v>
      </c>
      <c r="U62" s="3" t="s">
        <v>79</v>
      </c>
      <c r="V62" s="3" t="s">
        <v>242</v>
      </c>
      <c r="W62" s="3" t="s">
        <v>815</v>
      </c>
      <c r="X62" s="3" t="s">
        <v>826</v>
      </c>
      <c r="Y62" s="3" t="s">
        <v>244</v>
      </c>
      <c r="Z62" s="3" t="s">
        <v>245</v>
      </c>
      <c r="AA62" s="3"/>
      <c r="AB62" s="3" t="s">
        <v>248</v>
      </c>
      <c r="AC62" s="3" t="s">
        <v>247</v>
      </c>
      <c r="AD62" s="3" t="s">
        <v>248</v>
      </c>
      <c r="AE62" s="3"/>
      <c r="AF62" s="3" t="s">
        <v>11</v>
      </c>
      <c r="AG62" s="3" t="s">
        <v>827</v>
      </c>
      <c r="AH62" s="3" t="s">
        <v>248</v>
      </c>
      <c r="AI62" s="3"/>
      <c r="AJ62" s="3" t="s">
        <v>828</v>
      </c>
      <c r="AK62" s="3" t="s">
        <v>249</v>
      </c>
    </row>
    <row r="63" ht="34" spans="1:37">
      <c r="A63" s="3" t="s">
        <v>12</v>
      </c>
      <c r="B63" s="3" t="s">
        <v>52</v>
      </c>
      <c r="C63" s="3" t="s">
        <v>251</v>
      </c>
      <c r="D63" s="3" t="s">
        <v>829</v>
      </c>
      <c r="E63" s="3" t="s">
        <v>360</v>
      </c>
      <c r="F63" s="3" t="s">
        <v>830</v>
      </c>
      <c r="G63" s="4">
        <v>45</v>
      </c>
      <c r="H63" s="3" t="s">
        <v>831</v>
      </c>
      <c r="I63" s="3" t="s">
        <v>831</v>
      </c>
      <c r="J63" s="3" t="s">
        <v>233</v>
      </c>
      <c r="K63" s="3" t="s">
        <v>832</v>
      </c>
      <c r="L63" s="3" t="s">
        <v>833</v>
      </c>
      <c r="M63" s="3" t="s">
        <v>236</v>
      </c>
      <c r="N63" s="3" t="s">
        <v>794</v>
      </c>
      <c r="O63" s="3" t="s">
        <v>834</v>
      </c>
      <c r="P63" s="3" t="s">
        <v>835</v>
      </c>
      <c r="Q63" s="3" t="s">
        <v>272</v>
      </c>
      <c r="R63" s="3" t="s">
        <v>240</v>
      </c>
      <c r="S63" s="3" t="s">
        <v>241</v>
      </c>
      <c r="T63" s="3" t="s">
        <v>79</v>
      </c>
      <c r="U63" s="3" t="s">
        <v>79</v>
      </c>
      <c r="V63" s="3" t="s">
        <v>242</v>
      </c>
      <c r="W63" s="3" t="s">
        <v>815</v>
      </c>
      <c r="X63" s="3" t="s">
        <v>836</v>
      </c>
      <c r="Y63" s="3" t="s">
        <v>244</v>
      </c>
      <c r="Z63" s="3" t="s">
        <v>245</v>
      </c>
      <c r="AA63" s="3" t="s">
        <v>319</v>
      </c>
      <c r="AB63" s="3" t="s">
        <v>247</v>
      </c>
      <c r="AC63" s="3" t="s">
        <v>247</v>
      </c>
      <c r="AD63" s="3" t="s">
        <v>248</v>
      </c>
      <c r="AE63" s="3"/>
      <c r="AF63" s="3" t="s">
        <v>12</v>
      </c>
      <c r="AG63" s="3" t="s">
        <v>837</v>
      </c>
      <c r="AH63" s="3" t="s">
        <v>248</v>
      </c>
      <c r="AI63" s="3"/>
      <c r="AJ63" s="3" t="s">
        <v>838</v>
      </c>
      <c r="AK63" s="3" t="s">
        <v>249</v>
      </c>
    </row>
    <row r="64" ht="34" spans="1:37">
      <c r="A64" s="3" t="s">
        <v>13</v>
      </c>
      <c r="B64" s="3" t="s">
        <v>65</v>
      </c>
      <c r="C64" s="3" t="s">
        <v>251</v>
      </c>
      <c r="D64" s="3" t="s">
        <v>839</v>
      </c>
      <c r="E64" s="3" t="s">
        <v>346</v>
      </c>
      <c r="F64" s="3" t="s">
        <v>840</v>
      </c>
      <c r="G64" s="4">
        <v>41</v>
      </c>
      <c r="H64" s="3" t="s">
        <v>841</v>
      </c>
      <c r="I64" s="3" t="s">
        <v>841</v>
      </c>
      <c r="J64" s="3" t="s">
        <v>233</v>
      </c>
      <c r="K64" s="3" t="s">
        <v>842</v>
      </c>
      <c r="L64" s="3" t="s">
        <v>843</v>
      </c>
      <c r="M64" s="3" t="s">
        <v>364</v>
      </c>
      <c r="N64" s="3" t="s">
        <v>585</v>
      </c>
      <c r="O64" s="3" t="s">
        <v>844</v>
      </c>
      <c r="P64" s="3" t="s">
        <v>845</v>
      </c>
      <c r="Q64" s="3" t="s">
        <v>272</v>
      </c>
      <c r="R64" s="3" t="s">
        <v>240</v>
      </c>
      <c r="S64" s="3" t="s">
        <v>241</v>
      </c>
      <c r="T64" s="3" t="s">
        <v>79</v>
      </c>
      <c r="U64" s="3" t="s">
        <v>79</v>
      </c>
      <c r="V64" s="3" t="s">
        <v>242</v>
      </c>
      <c r="W64" s="3" t="s">
        <v>815</v>
      </c>
      <c r="X64" s="3" t="s">
        <v>846</v>
      </c>
      <c r="Y64" s="3" t="s">
        <v>244</v>
      </c>
      <c r="Z64" s="3" t="s">
        <v>245</v>
      </c>
      <c r="AA64" s="3" t="s">
        <v>847</v>
      </c>
      <c r="AB64" s="3" t="s">
        <v>247</v>
      </c>
      <c r="AC64" s="3" t="s">
        <v>247</v>
      </c>
      <c r="AD64" s="3" t="s">
        <v>247</v>
      </c>
      <c r="AE64" s="3"/>
      <c r="AF64" s="3" t="s">
        <v>13</v>
      </c>
      <c r="AG64" s="3" t="s">
        <v>848</v>
      </c>
      <c r="AH64" s="3" t="s">
        <v>248</v>
      </c>
      <c r="AI64" s="3"/>
      <c r="AJ64" s="3" t="s">
        <v>849</v>
      </c>
      <c r="AK64" s="3" t="s">
        <v>249</v>
      </c>
    </row>
    <row r="65" ht="34" spans="1:37">
      <c r="A65" s="3" t="s">
        <v>20</v>
      </c>
      <c r="B65" s="3" t="s">
        <v>129</v>
      </c>
      <c r="C65" s="3" t="s">
        <v>227</v>
      </c>
      <c r="D65" s="3" t="s">
        <v>850</v>
      </c>
      <c r="E65" s="3" t="s">
        <v>346</v>
      </c>
      <c r="F65" s="3" t="s">
        <v>851</v>
      </c>
      <c r="G65" s="4">
        <v>46</v>
      </c>
      <c r="H65" s="3" t="s">
        <v>852</v>
      </c>
      <c r="I65" s="3" t="s">
        <v>852</v>
      </c>
      <c r="J65" s="3" t="s">
        <v>233</v>
      </c>
      <c r="K65" s="3"/>
      <c r="L65" s="3" t="s">
        <v>853</v>
      </c>
      <c r="M65" s="3" t="s">
        <v>351</v>
      </c>
      <c r="N65" s="3" t="s">
        <v>377</v>
      </c>
      <c r="O65" s="3" t="s">
        <v>854</v>
      </c>
      <c r="P65" s="3" t="s">
        <v>455</v>
      </c>
      <c r="Q65" s="3" t="s">
        <v>272</v>
      </c>
      <c r="R65" s="3" t="s">
        <v>240</v>
      </c>
      <c r="S65" s="3" t="s">
        <v>241</v>
      </c>
      <c r="T65" s="3" t="s">
        <v>79</v>
      </c>
      <c r="U65" s="3" t="s">
        <v>79</v>
      </c>
      <c r="V65" s="3" t="s">
        <v>242</v>
      </c>
      <c r="W65" s="3" t="s">
        <v>815</v>
      </c>
      <c r="X65" s="3" t="s">
        <v>855</v>
      </c>
      <c r="Y65" s="3" t="s">
        <v>244</v>
      </c>
      <c r="Z65" s="3" t="s">
        <v>245</v>
      </c>
      <c r="AA65" s="3" t="s">
        <v>856</v>
      </c>
      <c r="AB65" s="3" t="s">
        <v>247</v>
      </c>
      <c r="AC65" s="3" t="s">
        <v>247</v>
      </c>
      <c r="AD65" s="3" t="s">
        <v>247</v>
      </c>
      <c r="AE65" s="3"/>
      <c r="AF65" s="3" t="s">
        <v>13</v>
      </c>
      <c r="AG65" s="3" t="s">
        <v>857</v>
      </c>
      <c r="AH65" s="3" t="s">
        <v>248</v>
      </c>
      <c r="AI65" s="3"/>
      <c r="AJ65" s="3" t="s">
        <v>858</v>
      </c>
      <c r="AK65" s="3" t="s">
        <v>249</v>
      </c>
    </row>
    <row r="66" ht="34" spans="1:37">
      <c r="A66" s="3" t="s">
        <v>20</v>
      </c>
      <c r="B66" s="3" t="s">
        <v>140</v>
      </c>
      <c r="C66" s="3" t="s">
        <v>227</v>
      </c>
      <c r="D66" s="3" t="s">
        <v>859</v>
      </c>
      <c r="E66" s="3" t="s">
        <v>346</v>
      </c>
      <c r="F66" s="3" t="s">
        <v>860</v>
      </c>
      <c r="G66" s="4">
        <v>41</v>
      </c>
      <c r="H66" s="3" t="s">
        <v>841</v>
      </c>
      <c r="I66" s="3" t="s">
        <v>841</v>
      </c>
      <c r="J66" s="3" t="s">
        <v>233</v>
      </c>
      <c r="K66" s="3" t="s">
        <v>861</v>
      </c>
      <c r="L66" s="3" t="s">
        <v>862</v>
      </c>
      <c r="M66" s="3" t="s">
        <v>236</v>
      </c>
      <c r="N66" s="3" t="s">
        <v>327</v>
      </c>
      <c r="O66" s="3" t="s">
        <v>668</v>
      </c>
      <c r="P66" s="3" t="s">
        <v>814</v>
      </c>
      <c r="Q66" s="3" t="s">
        <v>272</v>
      </c>
      <c r="R66" s="3" t="s">
        <v>240</v>
      </c>
      <c r="S66" s="3" t="s">
        <v>241</v>
      </c>
      <c r="T66" s="3" t="s">
        <v>79</v>
      </c>
      <c r="U66" s="3" t="s">
        <v>79</v>
      </c>
      <c r="V66" s="3" t="s">
        <v>242</v>
      </c>
      <c r="W66" s="3" t="s">
        <v>815</v>
      </c>
      <c r="X66" s="3" t="s">
        <v>863</v>
      </c>
      <c r="Y66" s="3" t="s">
        <v>244</v>
      </c>
      <c r="Z66" s="3" t="s">
        <v>245</v>
      </c>
      <c r="AA66" s="3" t="s">
        <v>864</v>
      </c>
      <c r="AB66" s="3" t="s">
        <v>247</v>
      </c>
      <c r="AC66" s="3" t="s">
        <v>247</v>
      </c>
      <c r="AD66" s="3" t="s">
        <v>247</v>
      </c>
      <c r="AE66" s="3"/>
      <c r="AF66" s="3" t="s">
        <v>13</v>
      </c>
      <c r="AG66" s="3" t="s">
        <v>865</v>
      </c>
      <c r="AH66" s="3" t="s">
        <v>248</v>
      </c>
      <c r="AI66" s="3"/>
      <c r="AJ66" s="3" t="s">
        <v>866</v>
      </c>
      <c r="AK66" s="3" t="s">
        <v>249</v>
      </c>
    </row>
    <row r="67" ht="34" spans="1:37">
      <c r="A67" s="3" t="s">
        <v>22</v>
      </c>
      <c r="B67" s="3" t="s">
        <v>165</v>
      </c>
      <c r="C67" s="3" t="s">
        <v>251</v>
      </c>
      <c r="D67" s="3" t="s">
        <v>867</v>
      </c>
      <c r="E67" s="3" t="s">
        <v>360</v>
      </c>
      <c r="F67" s="3" t="s">
        <v>840</v>
      </c>
      <c r="G67" s="4">
        <v>41</v>
      </c>
      <c r="H67" s="3" t="s">
        <v>868</v>
      </c>
      <c r="I67" s="3" t="s">
        <v>868</v>
      </c>
      <c r="J67" s="3" t="s">
        <v>233</v>
      </c>
      <c r="K67" s="3"/>
      <c r="L67" s="3" t="s">
        <v>869</v>
      </c>
      <c r="M67" s="3" t="s">
        <v>364</v>
      </c>
      <c r="N67" s="3" t="s">
        <v>365</v>
      </c>
      <c r="O67" s="3" t="s">
        <v>668</v>
      </c>
      <c r="P67" s="3" t="s">
        <v>814</v>
      </c>
      <c r="Q67" s="3" t="s">
        <v>272</v>
      </c>
      <c r="R67" s="3" t="s">
        <v>240</v>
      </c>
      <c r="S67" s="3" t="s">
        <v>241</v>
      </c>
      <c r="T67" s="3" t="s">
        <v>79</v>
      </c>
      <c r="U67" s="3" t="s">
        <v>79</v>
      </c>
      <c r="V67" s="3" t="s">
        <v>242</v>
      </c>
      <c r="W67" s="3" t="s">
        <v>815</v>
      </c>
      <c r="X67" s="3" t="s">
        <v>870</v>
      </c>
      <c r="Y67" s="3" t="s">
        <v>244</v>
      </c>
      <c r="Z67" s="3" t="s">
        <v>245</v>
      </c>
      <c r="AA67" s="3" t="s">
        <v>871</v>
      </c>
      <c r="AB67" s="3" t="s">
        <v>247</v>
      </c>
      <c r="AC67" s="3" t="s">
        <v>247</v>
      </c>
      <c r="AD67" s="3" t="s">
        <v>248</v>
      </c>
      <c r="AE67" s="3"/>
      <c r="AF67" s="3" t="s">
        <v>22</v>
      </c>
      <c r="AG67" s="3" t="s">
        <v>872</v>
      </c>
      <c r="AH67" s="3" t="s">
        <v>248</v>
      </c>
      <c r="AI67" s="3"/>
      <c r="AJ67" s="3" t="s">
        <v>873</v>
      </c>
      <c r="AK67" s="3" t="s">
        <v>249</v>
      </c>
    </row>
    <row r="68" ht="34" spans="1:37">
      <c r="A68" s="3" t="s">
        <v>17</v>
      </c>
      <c r="B68" s="3" t="s">
        <v>99</v>
      </c>
      <c r="C68" s="3" t="s">
        <v>227</v>
      </c>
      <c r="D68" s="3" t="s">
        <v>874</v>
      </c>
      <c r="E68" s="3" t="s">
        <v>334</v>
      </c>
      <c r="F68" s="3" t="s">
        <v>875</v>
      </c>
      <c r="G68" s="4">
        <v>43</v>
      </c>
      <c r="H68" s="3" t="s">
        <v>876</v>
      </c>
      <c r="I68" s="3" t="s">
        <v>876</v>
      </c>
      <c r="J68" s="3" t="s">
        <v>285</v>
      </c>
      <c r="K68" s="3"/>
      <c r="L68" s="3" t="s">
        <v>877</v>
      </c>
      <c r="M68" s="3" t="s">
        <v>236</v>
      </c>
      <c r="N68" s="3" t="s">
        <v>365</v>
      </c>
      <c r="O68" s="3"/>
      <c r="P68" s="3" t="s">
        <v>878</v>
      </c>
      <c r="Q68" s="3" t="s">
        <v>272</v>
      </c>
      <c r="R68" s="3" t="s">
        <v>240</v>
      </c>
      <c r="S68" s="3" t="s">
        <v>241</v>
      </c>
      <c r="T68" s="3" t="s">
        <v>79</v>
      </c>
      <c r="U68" s="3" t="s">
        <v>79</v>
      </c>
      <c r="V68" s="3" t="s">
        <v>242</v>
      </c>
      <c r="W68" s="3" t="s">
        <v>879</v>
      </c>
      <c r="X68" s="3" t="s">
        <v>759</v>
      </c>
      <c r="Y68" s="3" t="s">
        <v>244</v>
      </c>
      <c r="Z68" s="3" t="s">
        <v>245</v>
      </c>
      <c r="AA68" s="3"/>
      <c r="AB68" s="3" t="s">
        <v>248</v>
      </c>
      <c r="AC68" s="3" t="s">
        <v>247</v>
      </c>
      <c r="AD68" s="3" t="s">
        <v>248</v>
      </c>
      <c r="AE68" s="3" t="s">
        <v>46</v>
      </c>
      <c r="AF68" s="3" t="s">
        <v>22</v>
      </c>
      <c r="AG68" s="3" t="s">
        <v>880</v>
      </c>
      <c r="AH68" s="3" t="s">
        <v>248</v>
      </c>
      <c r="AI68" s="3"/>
      <c r="AJ68" s="3" t="s">
        <v>881</v>
      </c>
      <c r="AK68" s="3" t="s">
        <v>249</v>
      </c>
    </row>
    <row r="69" ht="34" spans="1:37">
      <c r="A69" s="3" t="s">
        <v>18</v>
      </c>
      <c r="B69" s="3" t="s">
        <v>102</v>
      </c>
      <c r="C69" s="3" t="s">
        <v>227</v>
      </c>
      <c r="D69" s="3" t="s">
        <v>882</v>
      </c>
      <c r="E69" s="3" t="s">
        <v>384</v>
      </c>
      <c r="F69" s="3" t="s">
        <v>883</v>
      </c>
      <c r="G69" s="4">
        <v>43</v>
      </c>
      <c r="H69" s="3" t="s">
        <v>884</v>
      </c>
      <c r="I69" s="3" t="s">
        <v>884</v>
      </c>
      <c r="J69" s="3" t="s">
        <v>285</v>
      </c>
      <c r="K69" s="3" t="s">
        <v>885</v>
      </c>
      <c r="L69" s="3" t="s">
        <v>886</v>
      </c>
      <c r="M69" s="3" t="s">
        <v>236</v>
      </c>
      <c r="N69" s="3" t="s">
        <v>377</v>
      </c>
      <c r="O69" s="3" t="s">
        <v>887</v>
      </c>
      <c r="P69" s="3" t="s">
        <v>494</v>
      </c>
      <c r="Q69" s="3" t="s">
        <v>272</v>
      </c>
      <c r="R69" s="3" t="s">
        <v>240</v>
      </c>
      <c r="S69" s="3" t="s">
        <v>241</v>
      </c>
      <c r="T69" s="3" t="s">
        <v>79</v>
      </c>
      <c r="U69" s="3" t="s">
        <v>79</v>
      </c>
      <c r="V69" s="3" t="s">
        <v>242</v>
      </c>
      <c r="W69" s="3" t="s">
        <v>879</v>
      </c>
      <c r="X69" s="3" t="s">
        <v>888</v>
      </c>
      <c r="Y69" s="3" t="s">
        <v>244</v>
      </c>
      <c r="Z69" s="3" t="s">
        <v>245</v>
      </c>
      <c r="AA69" s="3" t="s">
        <v>889</v>
      </c>
      <c r="AB69" s="3" t="s">
        <v>247</v>
      </c>
      <c r="AC69" s="3" t="s">
        <v>247</v>
      </c>
      <c r="AD69" s="3" t="s">
        <v>247</v>
      </c>
      <c r="AE69" s="3" t="s">
        <v>44</v>
      </c>
      <c r="AF69" s="3" t="s">
        <v>18</v>
      </c>
      <c r="AG69" s="3" t="s">
        <v>890</v>
      </c>
      <c r="AH69" s="3" t="s">
        <v>248</v>
      </c>
      <c r="AI69" s="3"/>
      <c r="AJ69" s="3" t="s">
        <v>891</v>
      </c>
      <c r="AK69" s="3" t="s">
        <v>249</v>
      </c>
    </row>
    <row r="70" ht="34" spans="1:37">
      <c r="A70" s="3" t="s">
        <v>13</v>
      </c>
      <c r="B70" s="3" t="s">
        <v>68</v>
      </c>
      <c r="C70" s="3" t="s">
        <v>227</v>
      </c>
      <c r="D70" s="3" t="s">
        <v>892</v>
      </c>
      <c r="E70" s="3" t="s">
        <v>346</v>
      </c>
      <c r="F70" s="3" t="s">
        <v>893</v>
      </c>
      <c r="G70" s="4">
        <v>43</v>
      </c>
      <c r="H70" s="3" t="s">
        <v>894</v>
      </c>
      <c r="I70" s="3" t="s">
        <v>894</v>
      </c>
      <c r="J70" s="3" t="s">
        <v>233</v>
      </c>
      <c r="K70" s="3" t="s">
        <v>895</v>
      </c>
      <c r="L70" s="3" t="s">
        <v>896</v>
      </c>
      <c r="M70" s="3" t="s">
        <v>351</v>
      </c>
      <c r="N70" s="3" t="s">
        <v>897</v>
      </c>
      <c r="O70" s="3" t="s">
        <v>887</v>
      </c>
      <c r="P70" s="3" t="s">
        <v>835</v>
      </c>
      <c r="Q70" s="3" t="s">
        <v>272</v>
      </c>
      <c r="R70" s="3" t="s">
        <v>240</v>
      </c>
      <c r="S70" s="3" t="s">
        <v>241</v>
      </c>
      <c r="T70" s="3" t="s">
        <v>79</v>
      </c>
      <c r="U70" s="3" t="s">
        <v>79</v>
      </c>
      <c r="V70" s="3" t="s">
        <v>242</v>
      </c>
      <c r="W70" s="3" t="s">
        <v>879</v>
      </c>
      <c r="X70" s="3" t="s">
        <v>898</v>
      </c>
      <c r="Y70" s="3" t="s">
        <v>244</v>
      </c>
      <c r="Z70" s="3" t="s">
        <v>245</v>
      </c>
      <c r="AA70" s="3" t="s">
        <v>899</v>
      </c>
      <c r="AB70" s="3" t="s">
        <v>247</v>
      </c>
      <c r="AC70" s="3" t="s">
        <v>247</v>
      </c>
      <c r="AD70" s="3" t="s">
        <v>247</v>
      </c>
      <c r="AE70" s="3"/>
      <c r="AF70" s="3" t="s">
        <v>13</v>
      </c>
      <c r="AG70" s="3" t="s">
        <v>900</v>
      </c>
      <c r="AH70" s="3" t="s">
        <v>248</v>
      </c>
      <c r="AI70" s="3"/>
      <c r="AJ70" s="3" t="s">
        <v>901</v>
      </c>
      <c r="AK70" s="3" t="s">
        <v>249</v>
      </c>
    </row>
    <row r="71" ht="34" spans="1:37">
      <c r="A71" s="3" t="s">
        <v>16</v>
      </c>
      <c r="B71" s="3" t="s">
        <v>95</v>
      </c>
      <c r="C71" s="3" t="s">
        <v>227</v>
      </c>
      <c r="D71" s="3" t="s">
        <v>902</v>
      </c>
      <c r="E71" s="3" t="s">
        <v>430</v>
      </c>
      <c r="F71" s="3" t="s">
        <v>903</v>
      </c>
      <c r="G71" s="4">
        <v>44</v>
      </c>
      <c r="H71" s="3" t="s">
        <v>904</v>
      </c>
      <c r="I71" s="3" t="s">
        <v>904</v>
      </c>
      <c r="J71" s="3" t="s">
        <v>285</v>
      </c>
      <c r="K71" s="3"/>
      <c r="L71" s="3" t="s">
        <v>905</v>
      </c>
      <c r="M71" s="3" t="s">
        <v>236</v>
      </c>
      <c r="N71" s="3"/>
      <c r="O71" s="3" t="s">
        <v>887</v>
      </c>
      <c r="P71" s="3" t="s">
        <v>494</v>
      </c>
      <c r="Q71" s="3" t="s">
        <v>272</v>
      </c>
      <c r="R71" s="3" t="s">
        <v>240</v>
      </c>
      <c r="S71" s="3" t="s">
        <v>241</v>
      </c>
      <c r="T71" s="3" t="s">
        <v>79</v>
      </c>
      <c r="U71" s="3" t="s">
        <v>79</v>
      </c>
      <c r="V71" s="3" t="s">
        <v>242</v>
      </c>
      <c r="W71" s="3" t="s">
        <v>879</v>
      </c>
      <c r="X71" s="3" t="s">
        <v>759</v>
      </c>
      <c r="Y71" s="3" t="s">
        <v>244</v>
      </c>
      <c r="Z71" s="3" t="s">
        <v>245</v>
      </c>
      <c r="AA71" s="3"/>
      <c r="AB71" s="3" t="s">
        <v>248</v>
      </c>
      <c r="AC71" s="3" t="s">
        <v>247</v>
      </c>
      <c r="AD71" s="3" t="s">
        <v>247</v>
      </c>
      <c r="AE71" s="3" t="s">
        <v>43</v>
      </c>
      <c r="AF71" s="3" t="s">
        <v>16</v>
      </c>
      <c r="AG71" s="3" t="s">
        <v>906</v>
      </c>
      <c r="AH71" s="3" t="s">
        <v>248</v>
      </c>
      <c r="AI71" s="3"/>
      <c r="AJ71" s="3" t="s">
        <v>907</v>
      </c>
      <c r="AK71" s="3" t="s">
        <v>249</v>
      </c>
    </row>
    <row r="72" ht="34" spans="1:37">
      <c r="A72" s="3" t="s">
        <v>18</v>
      </c>
      <c r="B72" s="3" t="s">
        <v>100</v>
      </c>
      <c r="C72" s="3" t="s">
        <v>251</v>
      </c>
      <c r="D72" s="3" t="s">
        <v>908</v>
      </c>
      <c r="E72" s="3" t="s">
        <v>384</v>
      </c>
      <c r="F72" s="3" t="s">
        <v>909</v>
      </c>
      <c r="G72" s="4">
        <v>42</v>
      </c>
      <c r="H72" s="3" t="s">
        <v>910</v>
      </c>
      <c r="I72" s="3" t="s">
        <v>910</v>
      </c>
      <c r="J72" s="3" t="s">
        <v>285</v>
      </c>
      <c r="K72" s="3" t="s">
        <v>911</v>
      </c>
      <c r="L72" s="3" t="s">
        <v>912</v>
      </c>
      <c r="M72" s="3" t="s">
        <v>236</v>
      </c>
      <c r="N72" s="3" t="s">
        <v>352</v>
      </c>
      <c r="O72" s="3" t="s">
        <v>887</v>
      </c>
      <c r="P72" s="3" t="s">
        <v>913</v>
      </c>
      <c r="Q72" s="3" t="s">
        <v>272</v>
      </c>
      <c r="R72" s="3" t="s">
        <v>240</v>
      </c>
      <c r="S72" s="3" t="s">
        <v>289</v>
      </c>
      <c r="T72" s="3" t="s">
        <v>79</v>
      </c>
      <c r="U72" s="3" t="s">
        <v>79</v>
      </c>
      <c r="V72" s="3" t="s">
        <v>242</v>
      </c>
      <c r="W72" s="3" t="s">
        <v>879</v>
      </c>
      <c r="X72" s="3" t="s">
        <v>914</v>
      </c>
      <c r="Y72" s="3" t="s">
        <v>244</v>
      </c>
      <c r="Z72" s="3" t="s">
        <v>245</v>
      </c>
      <c r="AA72" s="3" t="s">
        <v>915</v>
      </c>
      <c r="AB72" s="3" t="s">
        <v>247</v>
      </c>
      <c r="AC72" s="3" t="s">
        <v>247</v>
      </c>
      <c r="AD72" s="3" t="s">
        <v>247</v>
      </c>
      <c r="AE72" s="3" t="s">
        <v>44</v>
      </c>
      <c r="AF72" s="3" t="s">
        <v>18</v>
      </c>
      <c r="AG72" s="3" t="s">
        <v>916</v>
      </c>
      <c r="AH72" s="3" t="s">
        <v>248</v>
      </c>
      <c r="AI72" s="3"/>
      <c r="AJ72" s="3" t="s">
        <v>917</v>
      </c>
      <c r="AK72" s="3" t="s">
        <v>249</v>
      </c>
    </row>
    <row r="73" ht="34" spans="1:37">
      <c r="A73" s="3" t="s">
        <v>19</v>
      </c>
      <c r="B73" s="3" t="s">
        <v>115</v>
      </c>
      <c r="C73" s="3" t="s">
        <v>227</v>
      </c>
      <c r="D73" s="3" t="s">
        <v>918</v>
      </c>
      <c r="E73" s="3" t="s">
        <v>334</v>
      </c>
      <c r="F73" s="3" t="s">
        <v>919</v>
      </c>
      <c r="G73" s="4">
        <v>43</v>
      </c>
      <c r="H73" s="3" t="s">
        <v>920</v>
      </c>
      <c r="I73" s="3" t="s">
        <v>920</v>
      </c>
      <c r="J73" s="3" t="s">
        <v>285</v>
      </c>
      <c r="K73" s="3" t="s">
        <v>911</v>
      </c>
      <c r="L73" s="3" t="s">
        <v>921</v>
      </c>
      <c r="M73" s="3" t="s">
        <v>351</v>
      </c>
      <c r="N73" s="3" t="s">
        <v>237</v>
      </c>
      <c r="O73" s="3" t="s">
        <v>887</v>
      </c>
      <c r="P73" s="3" t="s">
        <v>494</v>
      </c>
      <c r="Q73" s="3" t="s">
        <v>272</v>
      </c>
      <c r="R73" s="3" t="s">
        <v>240</v>
      </c>
      <c r="S73" s="3" t="s">
        <v>289</v>
      </c>
      <c r="T73" s="3" t="s">
        <v>79</v>
      </c>
      <c r="U73" s="3" t="s">
        <v>79</v>
      </c>
      <c r="V73" s="3" t="s">
        <v>242</v>
      </c>
      <c r="W73" s="3" t="s">
        <v>879</v>
      </c>
      <c r="X73" s="3" t="s">
        <v>922</v>
      </c>
      <c r="Y73" s="3" t="s">
        <v>244</v>
      </c>
      <c r="Z73" s="3" t="s">
        <v>245</v>
      </c>
      <c r="AA73" s="3" t="s">
        <v>923</v>
      </c>
      <c r="AB73" s="3" t="s">
        <v>247</v>
      </c>
      <c r="AC73" s="3" t="s">
        <v>247</v>
      </c>
      <c r="AD73" s="3" t="s">
        <v>247</v>
      </c>
      <c r="AE73" s="3" t="s">
        <v>42</v>
      </c>
      <c r="AF73" s="3" t="s">
        <v>19</v>
      </c>
      <c r="AG73" s="3" t="s">
        <v>924</v>
      </c>
      <c r="AH73" s="3" t="s">
        <v>248</v>
      </c>
      <c r="AI73" s="3"/>
      <c r="AJ73" s="3" t="s">
        <v>925</v>
      </c>
      <c r="AK73" s="3" t="s">
        <v>249</v>
      </c>
    </row>
    <row r="74" ht="34" spans="1:37">
      <c r="A74" s="3" t="s">
        <v>21</v>
      </c>
      <c r="B74" s="3" t="s">
        <v>149</v>
      </c>
      <c r="C74" s="3" t="s">
        <v>227</v>
      </c>
      <c r="D74" s="3" t="s">
        <v>926</v>
      </c>
      <c r="E74" s="3" t="s">
        <v>384</v>
      </c>
      <c r="F74" s="3" t="s">
        <v>927</v>
      </c>
      <c r="G74" s="4">
        <v>43</v>
      </c>
      <c r="H74" s="3" t="s">
        <v>928</v>
      </c>
      <c r="I74" s="3" t="s">
        <v>928</v>
      </c>
      <c r="J74" s="3" t="s">
        <v>285</v>
      </c>
      <c r="K74" s="3" t="s">
        <v>246</v>
      </c>
      <c r="L74" s="3" t="s">
        <v>929</v>
      </c>
      <c r="M74" s="3" t="s">
        <v>236</v>
      </c>
      <c r="N74" s="3" t="s">
        <v>585</v>
      </c>
      <c r="O74" s="3" t="s">
        <v>930</v>
      </c>
      <c r="P74" s="3" t="s">
        <v>913</v>
      </c>
      <c r="Q74" s="3" t="s">
        <v>272</v>
      </c>
      <c r="R74" s="3" t="s">
        <v>240</v>
      </c>
      <c r="S74" s="3" t="s">
        <v>241</v>
      </c>
      <c r="T74" s="3" t="s">
        <v>79</v>
      </c>
      <c r="U74" s="3" t="s">
        <v>79</v>
      </c>
      <c r="V74" s="3" t="s">
        <v>242</v>
      </c>
      <c r="W74" s="3" t="s">
        <v>879</v>
      </c>
      <c r="X74" s="3" t="s">
        <v>931</v>
      </c>
      <c r="Y74" s="3" t="s">
        <v>244</v>
      </c>
      <c r="Z74" s="3" t="s">
        <v>245</v>
      </c>
      <c r="AA74" s="3" t="s">
        <v>932</v>
      </c>
      <c r="AB74" s="3" t="s">
        <v>247</v>
      </c>
      <c r="AC74" s="3" t="s">
        <v>247</v>
      </c>
      <c r="AD74" s="3" t="s">
        <v>247</v>
      </c>
      <c r="AE74" s="3" t="s">
        <v>45</v>
      </c>
      <c r="AF74" s="3" t="s">
        <v>21</v>
      </c>
      <c r="AG74" s="3" t="s">
        <v>933</v>
      </c>
      <c r="AH74" s="3" t="s">
        <v>248</v>
      </c>
      <c r="AI74" s="3"/>
      <c r="AJ74" s="3" t="s">
        <v>934</v>
      </c>
      <c r="AK74" s="3" t="s">
        <v>249</v>
      </c>
    </row>
    <row r="75" ht="34" spans="1:37">
      <c r="A75" s="3" t="s">
        <v>18</v>
      </c>
      <c r="B75" s="3" t="s">
        <v>935</v>
      </c>
      <c r="C75" s="3" t="s">
        <v>251</v>
      </c>
      <c r="D75" s="3" t="s">
        <v>936</v>
      </c>
      <c r="E75" s="3" t="s">
        <v>414</v>
      </c>
      <c r="F75" s="3" t="s">
        <v>937</v>
      </c>
      <c r="G75" s="4">
        <v>43</v>
      </c>
      <c r="H75" s="3" t="s">
        <v>938</v>
      </c>
      <c r="I75" s="3" t="s">
        <v>938</v>
      </c>
      <c r="J75" s="3" t="s">
        <v>233</v>
      </c>
      <c r="K75" s="3" t="s">
        <v>939</v>
      </c>
      <c r="L75" s="3" t="s">
        <v>940</v>
      </c>
      <c r="M75" s="3" t="s">
        <v>351</v>
      </c>
      <c r="N75" s="3" t="s">
        <v>286</v>
      </c>
      <c r="O75" s="3" t="s">
        <v>887</v>
      </c>
      <c r="P75" s="3" t="s">
        <v>494</v>
      </c>
      <c r="Q75" s="3" t="s">
        <v>272</v>
      </c>
      <c r="R75" s="3" t="s">
        <v>240</v>
      </c>
      <c r="S75" s="3" t="s">
        <v>289</v>
      </c>
      <c r="T75" s="3" t="s">
        <v>79</v>
      </c>
      <c r="U75" s="3" t="s">
        <v>79</v>
      </c>
      <c r="V75" s="3" t="s">
        <v>242</v>
      </c>
      <c r="W75" s="3" t="s">
        <v>879</v>
      </c>
      <c r="X75" s="3" t="s">
        <v>941</v>
      </c>
      <c r="Y75" s="3" t="s">
        <v>244</v>
      </c>
      <c r="Z75" s="3" t="s">
        <v>245</v>
      </c>
      <c r="AA75" s="3" t="s">
        <v>942</v>
      </c>
      <c r="AB75" s="3" t="s">
        <v>247</v>
      </c>
      <c r="AC75" s="3" t="s">
        <v>247</v>
      </c>
      <c r="AD75" s="3" t="s">
        <v>247</v>
      </c>
      <c r="AE75" s="3"/>
      <c r="AF75" s="3" t="s">
        <v>18</v>
      </c>
      <c r="AG75" s="3" t="s">
        <v>943</v>
      </c>
      <c r="AH75" s="3" t="s">
        <v>248</v>
      </c>
      <c r="AI75" s="3"/>
      <c r="AJ75" s="3" t="s">
        <v>944</v>
      </c>
      <c r="AK75" s="3" t="s">
        <v>249</v>
      </c>
    </row>
    <row r="76" ht="34" spans="1:37">
      <c r="A76" s="3" t="s">
        <v>18</v>
      </c>
      <c r="B76" s="3" t="s">
        <v>945</v>
      </c>
      <c r="C76" s="3" t="s">
        <v>251</v>
      </c>
      <c r="D76" s="3" t="s">
        <v>946</v>
      </c>
      <c r="E76" s="3" t="s">
        <v>346</v>
      </c>
      <c r="F76" s="3" t="s">
        <v>947</v>
      </c>
      <c r="G76" s="4">
        <v>41</v>
      </c>
      <c r="H76" s="3" t="s">
        <v>920</v>
      </c>
      <c r="I76" s="3" t="s">
        <v>920</v>
      </c>
      <c r="J76" s="3" t="s">
        <v>233</v>
      </c>
      <c r="K76" s="3" t="s">
        <v>948</v>
      </c>
      <c r="L76" s="3" t="s">
        <v>949</v>
      </c>
      <c r="M76" s="3" t="s">
        <v>351</v>
      </c>
      <c r="N76" s="3" t="s">
        <v>377</v>
      </c>
      <c r="O76" s="3" t="s">
        <v>950</v>
      </c>
      <c r="P76" s="3" t="s">
        <v>494</v>
      </c>
      <c r="Q76" s="3" t="s">
        <v>272</v>
      </c>
      <c r="R76" s="3" t="s">
        <v>240</v>
      </c>
      <c r="S76" s="3"/>
      <c r="T76" s="3" t="s">
        <v>79</v>
      </c>
      <c r="U76" s="3" t="s">
        <v>79</v>
      </c>
      <c r="V76" s="3" t="s">
        <v>242</v>
      </c>
      <c r="W76" s="3" t="s">
        <v>879</v>
      </c>
      <c r="X76" s="3" t="s">
        <v>951</v>
      </c>
      <c r="Y76" s="3" t="s">
        <v>244</v>
      </c>
      <c r="Z76" s="3" t="s">
        <v>245</v>
      </c>
      <c r="AA76" s="3" t="s">
        <v>952</v>
      </c>
      <c r="AB76" s="3" t="s">
        <v>247</v>
      </c>
      <c r="AC76" s="3" t="s">
        <v>247</v>
      </c>
      <c r="AD76" s="3" t="s">
        <v>247</v>
      </c>
      <c r="AE76" s="3"/>
      <c r="AF76" s="3" t="s">
        <v>18</v>
      </c>
      <c r="AG76" s="3" t="s">
        <v>953</v>
      </c>
      <c r="AH76" s="3" t="s">
        <v>248</v>
      </c>
      <c r="AI76" s="3"/>
      <c r="AJ76" s="3" t="s">
        <v>954</v>
      </c>
      <c r="AK76" s="3" t="s">
        <v>249</v>
      </c>
    </row>
    <row r="77" ht="34" spans="1:37">
      <c r="A77" s="3" t="s">
        <v>19</v>
      </c>
      <c r="B77" s="3" t="s">
        <v>122</v>
      </c>
      <c r="C77" s="3" t="s">
        <v>251</v>
      </c>
      <c r="D77" s="3" t="s">
        <v>955</v>
      </c>
      <c r="E77" s="3" t="s">
        <v>414</v>
      </c>
      <c r="F77" s="3" t="s">
        <v>956</v>
      </c>
      <c r="G77" s="4">
        <v>44</v>
      </c>
      <c r="H77" s="3" t="s">
        <v>957</v>
      </c>
      <c r="I77" s="3" t="s">
        <v>957</v>
      </c>
      <c r="J77" s="3" t="s">
        <v>233</v>
      </c>
      <c r="K77" s="3" t="s">
        <v>958</v>
      </c>
      <c r="L77" s="3" t="s">
        <v>959</v>
      </c>
      <c r="M77" s="3" t="s">
        <v>364</v>
      </c>
      <c r="N77" s="3"/>
      <c r="O77" s="3" t="s">
        <v>960</v>
      </c>
      <c r="P77" s="3" t="s">
        <v>961</v>
      </c>
      <c r="Q77" s="3" t="s">
        <v>272</v>
      </c>
      <c r="R77" s="3" t="s">
        <v>240</v>
      </c>
      <c r="S77" s="3" t="s">
        <v>241</v>
      </c>
      <c r="T77" s="3" t="s">
        <v>79</v>
      </c>
      <c r="U77" s="3" t="s">
        <v>79</v>
      </c>
      <c r="V77" s="3" t="s">
        <v>242</v>
      </c>
      <c r="W77" s="3" t="s">
        <v>879</v>
      </c>
      <c r="X77" s="3" t="s">
        <v>951</v>
      </c>
      <c r="Y77" s="3" t="s">
        <v>244</v>
      </c>
      <c r="Z77" s="3" t="s">
        <v>245</v>
      </c>
      <c r="AA77" s="3" t="s">
        <v>962</v>
      </c>
      <c r="AB77" s="3" t="s">
        <v>247</v>
      </c>
      <c r="AC77" s="3" t="s">
        <v>247</v>
      </c>
      <c r="AD77" s="3" t="s">
        <v>247</v>
      </c>
      <c r="AE77" s="3"/>
      <c r="AF77" s="3" t="s">
        <v>19</v>
      </c>
      <c r="AG77" s="3" t="s">
        <v>963</v>
      </c>
      <c r="AH77" s="3" t="s">
        <v>248</v>
      </c>
      <c r="AI77" s="3"/>
      <c r="AJ77" s="3" t="s">
        <v>964</v>
      </c>
      <c r="AK77" s="3" t="s">
        <v>249</v>
      </c>
    </row>
    <row r="78" ht="34" spans="1:37">
      <c r="A78" s="3" t="s">
        <v>23</v>
      </c>
      <c r="B78" s="3" t="s">
        <v>187</v>
      </c>
      <c r="C78" s="3" t="s">
        <v>251</v>
      </c>
      <c r="D78" s="3" t="s">
        <v>965</v>
      </c>
      <c r="E78" s="3" t="s">
        <v>791</v>
      </c>
      <c r="F78" s="3" t="s">
        <v>966</v>
      </c>
      <c r="G78" s="4">
        <v>44</v>
      </c>
      <c r="H78" s="3" t="s">
        <v>938</v>
      </c>
      <c r="I78" s="3" t="s">
        <v>938</v>
      </c>
      <c r="J78" s="3" t="s">
        <v>233</v>
      </c>
      <c r="K78" s="3" t="s">
        <v>895</v>
      </c>
      <c r="L78" s="3" t="s">
        <v>967</v>
      </c>
      <c r="M78" s="3" t="s">
        <v>351</v>
      </c>
      <c r="N78" s="3" t="s">
        <v>237</v>
      </c>
      <c r="O78" s="3" t="s">
        <v>968</v>
      </c>
      <c r="P78" s="3" t="s">
        <v>835</v>
      </c>
      <c r="Q78" s="3" t="s">
        <v>272</v>
      </c>
      <c r="R78" s="3" t="s">
        <v>240</v>
      </c>
      <c r="S78" s="3" t="s">
        <v>241</v>
      </c>
      <c r="T78" s="3" t="s">
        <v>79</v>
      </c>
      <c r="U78" s="3" t="s">
        <v>79</v>
      </c>
      <c r="V78" s="3" t="s">
        <v>242</v>
      </c>
      <c r="W78" s="3" t="s">
        <v>879</v>
      </c>
      <c r="X78" s="3" t="s">
        <v>969</v>
      </c>
      <c r="Y78" s="3" t="s">
        <v>244</v>
      </c>
      <c r="Z78" s="3" t="s">
        <v>245</v>
      </c>
      <c r="AA78" s="3" t="s">
        <v>970</v>
      </c>
      <c r="AB78" s="3" t="s">
        <v>247</v>
      </c>
      <c r="AC78" s="3" t="s">
        <v>247</v>
      </c>
      <c r="AD78" s="3" t="s">
        <v>247</v>
      </c>
      <c r="AE78" s="3"/>
      <c r="AF78" s="3" t="s">
        <v>277</v>
      </c>
      <c r="AG78" s="3" t="s">
        <v>971</v>
      </c>
      <c r="AH78" s="3" t="s">
        <v>248</v>
      </c>
      <c r="AI78" s="3"/>
      <c r="AJ78" s="3" t="s">
        <v>972</v>
      </c>
      <c r="AK78" s="3" t="s">
        <v>249</v>
      </c>
    </row>
    <row r="79" ht="34" spans="1:37">
      <c r="A79" s="3" t="s">
        <v>18</v>
      </c>
      <c r="B79" s="3" t="s">
        <v>973</v>
      </c>
      <c r="C79" s="3" t="s">
        <v>251</v>
      </c>
      <c r="D79" s="3" t="s">
        <v>974</v>
      </c>
      <c r="E79" s="3" t="s">
        <v>346</v>
      </c>
      <c r="F79" s="3" t="s">
        <v>975</v>
      </c>
      <c r="G79" s="4">
        <v>44</v>
      </c>
      <c r="H79" s="3" t="s">
        <v>976</v>
      </c>
      <c r="I79" s="3" t="s">
        <v>976</v>
      </c>
      <c r="J79" s="3" t="s">
        <v>233</v>
      </c>
      <c r="K79" s="3" t="s">
        <v>977</v>
      </c>
      <c r="L79" s="3" t="s">
        <v>978</v>
      </c>
      <c r="M79" s="3" t="s">
        <v>351</v>
      </c>
      <c r="N79" s="3"/>
      <c r="O79" s="3" t="s">
        <v>887</v>
      </c>
      <c r="P79" s="3" t="s">
        <v>835</v>
      </c>
      <c r="Q79" s="3" t="s">
        <v>272</v>
      </c>
      <c r="R79" s="3" t="s">
        <v>240</v>
      </c>
      <c r="S79" s="3" t="s">
        <v>241</v>
      </c>
      <c r="T79" s="3" t="s">
        <v>79</v>
      </c>
      <c r="U79" s="3" t="s">
        <v>79</v>
      </c>
      <c r="V79" s="3" t="s">
        <v>242</v>
      </c>
      <c r="W79" s="3" t="s">
        <v>879</v>
      </c>
      <c r="X79" s="3" t="s">
        <v>979</v>
      </c>
      <c r="Y79" s="3" t="s">
        <v>244</v>
      </c>
      <c r="Z79" s="3" t="s">
        <v>245</v>
      </c>
      <c r="AA79" s="3" t="s">
        <v>980</v>
      </c>
      <c r="AB79" s="3" t="s">
        <v>247</v>
      </c>
      <c r="AC79" s="3" t="s">
        <v>247</v>
      </c>
      <c r="AD79" s="3" t="s">
        <v>247</v>
      </c>
      <c r="AE79" s="3"/>
      <c r="AF79" s="3" t="s">
        <v>18</v>
      </c>
      <c r="AG79" s="3" t="s">
        <v>981</v>
      </c>
      <c r="AH79" s="3" t="s">
        <v>248</v>
      </c>
      <c r="AI79" s="3"/>
      <c r="AJ79" s="3" t="s">
        <v>982</v>
      </c>
      <c r="AK79" s="3" t="s">
        <v>249</v>
      </c>
    </row>
    <row r="80" ht="34" spans="1:37">
      <c r="A80" s="3" t="s">
        <v>18</v>
      </c>
      <c r="B80" s="3" t="s">
        <v>108</v>
      </c>
      <c r="C80" s="3" t="s">
        <v>227</v>
      </c>
      <c r="D80" s="3" t="s">
        <v>983</v>
      </c>
      <c r="E80" s="3" t="s">
        <v>346</v>
      </c>
      <c r="F80" s="3" t="s">
        <v>984</v>
      </c>
      <c r="G80" s="4">
        <v>42</v>
      </c>
      <c r="H80" s="3" t="s">
        <v>985</v>
      </c>
      <c r="I80" s="3" t="s">
        <v>985</v>
      </c>
      <c r="J80" s="3" t="s">
        <v>233</v>
      </c>
      <c r="K80" s="3" t="s">
        <v>267</v>
      </c>
      <c r="L80" s="3" t="s">
        <v>986</v>
      </c>
      <c r="M80" s="3" t="s">
        <v>351</v>
      </c>
      <c r="N80" s="3" t="s">
        <v>352</v>
      </c>
      <c r="O80" s="3" t="s">
        <v>987</v>
      </c>
      <c r="P80" s="3" t="s">
        <v>494</v>
      </c>
      <c r="Q80" s="3" t="s">
        <v>272</v>
      </c>
      <c r="R80" s="3" t="s">
        <v>240</v>
      </c>
      <c r="S80" s="3" t="s">
        <v>241</v>
      </c>
      <c r="T80" s="3" t="s">
        <v>79</v>
      </c>
      <c r="U80" s="3" t="s">
        <v>79</v>
      </c>
      <c r="V80" s="3" t="s">
        <v>242</v>
      </c>
      <c r="W80" s="3" t="s">
        <v>879</v>
      </c>
      <c r="X80" s="3" t="s">
        <v>988</v>
      </c>
      <c r="Y80" s="3" t="s">
        <v>244</v>
      </c>
      <c r="Z80" s="3" t="s">
        <v>245</v>
      </c>
      <c r="AA80" s="3" t="s">
        <v>989</v>
      </c>
      <c r="AB80" s="3" t="s">
        <v>247</v>
      </c>
      <c r="AC80" s="3" t="s">
        <v>247</v>
      </c>
      <c r="AD80" s="3" t="s">
        <v>247</v>
      </c>
      <c r="AE80" s="3"/>
      <c r="AF80" s="3" t="s">
        <v>18</v>
      </c>
      <c r="AG80" s="3" t="s">
        <v>990</v>
      </c>
      <c r="AH80" s="3" t="s">
        <v>248</v>
      </c>
      <c r="AI80" s="3"/>
      <c r="AJ80" s="3" t="s">
        <v>991</v>
      </c>
      <c r="AK80" s="3" t="s">
        <v>249</v>
      </c>
    </row>
    <row r="81" ht="34" spans="1:37">
      <c r="A81" s="3" t="s">
        <v>19</v>
      </c>
      <c r="B81" s="3" t="s">
        <v>121</v>
      </c>
      <c r="C81" s="3" t="s">
        <v>251</v>
      </c>
      <c r="D81" s="3" t="s">
        <v>992</v>
      </c>
      <c r="E81" s="3" t="s">
        <v>360</v>
      </c>
      <c r="F81" s="3" t="s">
        <v>993</v>
      </c>
      <c r="G81" s="4">
        <v>41</v>
      </c>
      <c r="H81" s="3" t="s">
        <v>994</v>
      </c>
      <c r="I81" s="3" t="s">
        <v>994</v>
      </c>
      <c r="J81" s="3" t="s">
        <v>233</v>
      </c>
      <c r="K81" s="3" t="s">
        <v>995</v>
      </c>
      <c r="L81" s="3" t="s">
        <v>996</v>
      </c>
      <c r="M81" s="3" t="s">
        <v>236</v>
      </c>
      <c r="N81" s="3" t="s">
        <v>502</v>
      </c>
      <c r="O81" s="3" t="s">
        <v>887</v>
      </c>
      <c r="P81" s="3" t="s">
        <v>997</v>
      </c>
      <c r="Q81" s="3" t="s">
        <v>272</v>
      </c>
      <c r="R81" s="3" t="s">
        <v>240</v>
      </c>
      <c r="S81" s="3" t="s">
        <v>289</v>
      </c>
      <c r="T81" s="3" t="s">
        <v>79</v>
      </c>
      <c r="U81" s="3" t="s">
        <v>79</v>
      </c>
      <c r="V81" s="3" t="s">
        <v>242</v>
      </c>
      <c r="W81" s="3" t="s">
        <v>998</v>
      </c>
      <c r="X81" s="3" t="s">
        <v>999</v>
      </c>
      <c r="Y81" s="3" t="s">
        <v>244</v>
      </c>
      <c r="Z81" s="3" t="s">
        <v>245</v>
      </c>
      <c r="AA81" s="3" t="s">
        <v>319</v>
      </c>
      <c r="AB81" s="3" t="s">
        <v>247</v>
      </c>
      <c r="AC81" s="3" t="s">
        <v>247</v>
      </c>
      <c r="AD81" s="3" t="s">
        <v>247</v>
      </c>
      <c r="AE81" s="3"/>
      <c r="AF81" s="3" t="s">
        <v>19</v>
      </c>
      <c r="AG81" s="3" t="s">
        <v>1000</v>
      </c>
      <c r="AH81" s="3" t="s">
        <v>248</v>
      </c>
      <c r="AI81" s="3"/>
      <c r="AJ81" s="3" t="s">
        <v>1001</v>
      </c>
      <c r="AK81" s="3" t="s">
        <v>249</v>
      </c>
    </row>
    <row r="82" ht="34" spans="1:37">
      <c r="A82" s="3" t="s">
        <v>13</v>
      </c>
      <c r="B82" s="3" t="s">
        <v>63</v>
      </c>
      <c r="C82" s="3" t="s">
        <v>227</v>
      </c>
      <c r="D82" s="3" t="s">
        <v>1002</v>
      </c>
      <c r="E82" s="3" t="s">
        <v>346</v>
      </c>
      <c r="F82" s="3" t="s">
        <v>1003</v>
      </c>
      <c r="G82" s="4">
        <v>39</v>
      </c>
      <c r="H82" s="3" t="s">
        <v>994</v>
      </c>
      <c r="I82" s="3" t="s">
        <v>994</v>
      </c>
      <c r="J82" s="3" t="s">
        <v>233</v>
      </c>
      <c r="K82" s="3" t="s">
        <v>1004</v>
      </c>
      <c r="L82" s="3" t="s">
        <v>1005</v>
      </c>
      <c r="M82" s="3" t="s">
        <v>351</v>
      </c>
      <c r="N82" s="3" t="s">
        <v>585</v>
      </c>
      <c r="O82" s="3" t="s">
        <v>1006</v>
      </c>
      <c r="P82" s="3" t="s">
        <v>997</v>
      </c>
      <c r="Q82" s="3" t="s">
        <v>272</v>
      </c>
      <c r="R82" s="3" t="s">
        <v>240</v>
      </c>
      <c r="S82" s="3" t="s">
        <v>1007</v>
      </c>
      <c r="T82" s="3" t="s">
        <v>79</v>
      </c>
      <c r="U82" s="3" t="s">
        <v>79</v>
      </c>
      <c r="V82" s="3" t="s">
        <v>242</v>
      </c>
      <c r="W82" s="3" t="s">
        <v>998</v>
      </c>
      <c r="X82" s="3" t="s">
        <v>999</v>
      </c>
      <c r="Y82" s="3" t="s">
        <v>244</v>
      </c>
      <c r="Z82" s="3" t="s">
        <v>245</v>
      </c>
      <c r="AA82" s="3" t="s">
        <v>1008</v>
      </c>
      <c r="AB82" s="3" t="s">
        <v>247</v>
      </c>
      <c r="AC82" s="3" t="s">
        <v>247</v>
      </c>
      <c r="AD82" s="3" t="s">
        <v>247</v>
      </c>
      <c r="AE82" s="3"/>
      <c r="AF82" s="3" t="s">
        <v>13</v>
      </c>
      <c r="AG82" s="3" t="s">
        <v>1009</v>
      </c>
      <c r="AH82" s="3" t="s">
        <v>248</v>
      </c>
      <c r="AI82" s="3"/>
      <c r="AJ82" s="3" t="s">
        <v>1010</v>
      </c>
      <c r="AK82" s="3" t="s">
        <v>249</v>
      </c>
    </row>
    <row r="83" ht="34" spans="1:37">
      <c r="A83" s="3" t="s">
        <v>9</v>
      </c>
      <c r="B83" s="3" t="s">
        <v>33</v>
      </c>
      <c r="C83" s="3" t="s">
        <v>227</v>
      </c>
      <c r="D83" s="3" t="s">
        <v>1011</v>
      </c>
      <c r="E83" s="3" t="s">
        <v>430</v>
      </c>
      <c r="F83" s="3" t="s">
        <v>1012</v>
      </c>
      <c r="G83" s="4">
        <v>40</v>
      </c>
      <c r="H83" s="3" t="s">
        <v>994</v>
      </c>
      <c r="I83" s="3" t="s">
        <v>994</v>
      </c>
      <c r="J83" s="3" t="s">
        <v>285</v>
      </c>
      <c r="K83" s="3" t="s">
        <v>1013</v>
      </c>
      <c r="L83" s="3" t="s">
        <v>1014</v>
      </c>
      <c r="M83" s="3" t="s">
        <v>236</v>
      </c>
      <c r="N83" s="3"/>
      <c r="O83" s="3" t="s">
        <v>482</v>
      </c>
      <c r="P83" s="3" t="s">
        <v>997</v>
      </c>
      <c r="Q83" s="3" t="s">
        <v>272</v>
      </c>
      <c r="R83" s="3" t="s">
        <v>240</v>
      </c>
      <c r="S83" s="3" t="s">
        <v>1015</v>
      </c>
      <c r="T83" s="3" t="s">
        <v>79</v>
      </c>
      <c r="U83" s="3" t="s">
        <v>79</v>
      </c>
      <c r="V83" s="3" t="s">
        <v>242</v>
      </c>
      <c r="W83" s="3" t="s">
        <v>998</v>
      </c>
      <c r="X83" s="3" t="s">
        <v>1016</v>
      </c>
      <c r="Y83" s="3" t="s">
        <v>244</v>
      </c>
      <c r="Z83" s="3" t="s">
        <v>245</v>
      </c>
      <c r="AA83" s="3" t="s">
        <v>1017</v>
      </c>
      <c r="AB83" s="3" t="s">
        <v>247</v>
      </c>
      <c r="AC83" s="3" t="s">
        <v>247</v>
      </c>
      <c r="AD83" s="3" t="s">
        <v>247</v>
      </c>
      <c r="AE83" s="3" t="s">
        <v>42</v>
      </c>
      <c r="AF83" s="3" t="s">
        <v>9</v>
      </c>
      <c r="AG83" s="3" t="s">
        <v>1018</v>
      </c>
      <c r="AH83" s="3" t="s">
        <v>248</v>
      </c>
      <c r="AI83" s="3"/>
      <c r="AJ83" s="3" t="s">
        <v>1019</v>
      </c>
      <c r="AK83" s="3" t="s">
        <v>249</v>
      </c>
    </row>
    <row r="84" ht="34" spans="1:37">
      <c r="A84" s="3" t="s">
        <v>20</v>
      </c>
      <c r="B84" s="3" t="s">
        <v>127</v>
      </c>
      <c r="C84" s="3" t="s">
        <v>227</v>
      </c>
      <c r="D84" s="3" t="s">
        <v>1020</v>
      </c>
      <c r="E84" s="3" t="s">
        <v>384</v>
      </c>
      <c r="F84" s="3" t="s">
        <v>1021</v>
      </c>
      <c r="G84" s="4">
        <v>39</v>
      </c>
      <c r="H84" s="3" t="s">
        <v>1022</v>
      </c>
      <c r="I84" s="3" t="s">
        <v>1022</v>
      </c>
      <c r="J84" s="3" t="s">
        <v>285</v>
      </c>
      <c r="K84" s="3" t="s">
        <v>1023</v>
      </c>
      <c r="L84" s="3" t="s">
        <v>1024</v>
      </c>
      <c r="M84" s="3" t="s">
        <v>236</v>
      </c>
      <c r="N84" s="3" t="s">
        <v>1025</v>
      </c>
      <c r="O84" s="3" t="s">
        <v>1026</v>
      </c>
      <c r="P84" s="3" t="s">
        <v>1027</v>
      </c>
      <c r="Q84" s="3" t="s">
        <v>272</v>
      </c>
      <c r="R84" s="3" t="s">
        <v>240</v>
      </c>
      <c r="S84" s="3" t="s">
        <v>241</v>
      </c>
      <c r="T84" s="3" t="s">
        <v>79</v>
      </c>
      <c r="U84" s="3" t="s">
        <v>79</v>
      </c>
      <c r="V84" s="3" t="s">
        <v>242</v>
      </c>
      <c r="W84" s="3" t="s">
        <v>998</v>
      </c>
      <c r="X84" s="3" t="s">
        <v>1028</v>
      </c>
      <c r="Y84" s="3" t="s">
        <v>244</v>
      </c>
      <c r="Z84" s="3" t="s">
        <v>245</v>
      </c>
      <c r="AA84" s="3" t="s">
        <v>1029</v>
      </c>
      <c r="AB84" s="3" t="s">
        <v>247</v>
      </c>
      <c r="AC84" s="3" t="s">
        <v>247</v>
      </c>
      <c r="AD84" s="3" t="s">
        <v>247</v>
      </c>
      <c r="AE84" s="3" t="s">
        <v>51</v>
      </c>
      <c r="AF84" s="3" t="s">
        <v>13</v>
      </c>
      <c r="AG84" s="3" t="s">
        <v>1030</v>
      </c>
      <c r="AH84" s="3" t="s">
        <v>248</v>
      </c>
      <c r="AI84" s="3"/>
      <c r="AJ84" s="3" t="s">
        <v>1031</v>
      </c>
      <c r="AK84" s="3" t="s">
        <v>249</v>
      </c>
    </row>
    <row r="85" ht="34" spans="1:37">
      <c r="A85" s="3" t="s">
        <v>19</v>
      </c>
      <c r="B85" s="3" t="s">
        <v>114</v>
      </c>
      <c r="C85" s="3" t="s">
        <v>251</v>
      </c>
      <c r="D85" s="3" t="s">
        <v>1032</v>
      </c>
      <c r="E85" s="3" t="s">
        <v>594</v>
      </c>
      <c r="F85" s="3" t="s">
        <v>1033</v>
      </c>
      <c r="G85" s="4">
        <v>41</v>
      </c>
      <c r="H85" s="3" t="s">
        <v>1034</v>
      </c>
      <c r="I85" s="3" t="s">
        <v>1034</v>
      </c>
      <c r="J85" s="3" t="s">
        <v>285</v>
      </c>
      <c r="K85" s="3" t="s">
        <v>349</v>
      </c>
      <c r="L85" s="3" t="s">
        <v>1035</v>
      </c>
      <c r="M85" s="3" t="s">
        <v>236</v>
      </c>
      <c r="N85" s="3" t="s">
        <v>502</v>
      </c>
      <c r="O85" s="3" t="s">
        <v>1036</v>
      </c>
      <c r="P85" s="3" t="s">
        <v>997</v>
      </c>
      <c r="Q85" s="3" t="s">
        <v>272</v>
      </c>
      <c r="R85" s="3" t="s">
        <v>240</v>
      </c>
      <c r="S85" s="3" t="s">
        <v>241</v>
      </c>
      <c r="T85" s="3" t="s">
        <v>79</v>
      </c>
      <c r="U85" s="3" t="s">
        <v>79</v>
      </c>
      <c r="V85" s="3" t="s">
        <v>242</v>
      </c>
      <c r="W85" s="3" t="s">
        <v>998</v>
      </c>
      <c r="X85" s="3" t="s">
        <v>1037</v>
      </c>
      <c r="Y85" s="3" t="s">
        <v>244</v>
      </c>
      <c r="Z85" s="3" t="s">
        <v>245</v>
      </c>
      <c r="AA85" s="3" t="s">
        <v>1038</v>
      </c>
      <c r="AB85" s="3" t="s">
        <v>247</v>
      </c>
      <c r="AC85" s="3" t="s">
        <v>247</v>
      </c>
      <c r="AD85" s="3" t="s">
        <v>247</v>
      </c>
      <c r="AE85" s="3" t="s">
        <v>42</v>
      </c>
      <c r="AF85" s="3" t="s">
        <v>19</v>
      </c>
      <c r="AG85" s="3" t="s">
        <v>1039</v>
      </c>
      <c r="AH85" s="3" t="s">
        <v>248</v>
      </c>
      <c r="AI85" s="3"/>
      <c r="AJ85" s="3" t="s">
        <v>1040</v>
      </c>
      <c r="AK85" s="3" t="s">
        <v>249</v>
      </c>
    </row>
    <row r="86" ht="34" spans="1:37">
      <c r="A86" s="3" t="s">
        <v>23</v>
      </c>
      <c r="B86" s="3" t="s">
        <v>185</v>
      </c>
      <c r="C86" s="3" t="s">
        <v>251</v>
      </c>
      <c r="D86" s="3" t="s">
        <v>1041</v>
      </c>
      <c r="E86" s="3" t="s">
        <v>384</v>
      </c>
      <c r="F86" s="3" t="s">
        <v>1042</v>
      </c>
      <c r="G86" s="4">
        <v>42</v>
      </c>
      <c r="H86" s="3" t="s">
        <v>1043</v>
      </c>
      <c r="I86" s="3" t="s">
        <v>1043</v>
      </c>
      <c r="J86" s="3" t="s">
        <v>285</v>
      </c>
      <c r="K86" s="3" t="s">
        <v>1044</v>
      </c>
      <c r="L86" s="3" t="s">
        <v>1045</v>
      </c>
      <c r="M86" s="3" t="s">
        <v>236</v>
      </c>
      <c r="N86" s="3" t="s">
        <v>237</v>
      </c>
      <c r="O86" s="3" t="s">
        <v>1046</v>
      </c>
      <c r="P86" s="3" t="s">
        <v>455</v>
      </c>
      <c r="Q86" s="3" t="s">
        <v>272</v>
      </c>
      <c r="R86" s="3" t="s">
        <v>240</v>
      </c>
      <c r="S86" s="3" t="s">
        <v>289</v>
      </c>
      <c r="T86" s="3" t="s">
        <v>79</v>
      </c>
      <c r="U86" s="3" t="s">
        <v>79</v>
      </c>
      <c r="V86" s="3" t="s">
        <v>242</v>
      </c>
      <c r="W86" s="3" t="s">
        <v>998</v>
      </c>
      <c r="X86" s="3" t="s">
        <v>1047</v>
      </c>
      <c r="Y86" s="3" t="s">
        <v>244</v>
      </c>
      <c r="Z86" s="3" t="s">
        <v>245</v>
      </c>
      <c r="AA86" s="3" t="s">
        <v>1048</v>
      </c>
      <c r="AB86" s="3" t="s">
        <v>247</v>
      </c>
      <c r="AC86" s="3" t="s">
        <v>247</v>
      </c>
      <c r="AD86" s="3" t="s">
        <v>247</v>
      </c>
      <c r="AE86" s="3" t="s">
        <v>43</v>
      </c>
      <c r="AF86" s="3" t="s">
        <v>277</v>
      </c>
      <c r="AG86" s="3" t="s">
        <v>1049</v>
      </c>
      <c r="AH86" s="3" t="s">
        <v>248</v>
      </c>
      <c r="AI86" s="3"/>
      <c r="AJ86" s="3" t="s">
        <v>1050</v>
      </c>
      <c r="AK86" s="3" t="s">
        <v>249</v>
      </c>
    </row>
    <row r="87" ht="34" spans="1:37">
      <c r="A87" s="3" t="s">
        <v>13</v>
      </c>
      <c r="B87" s="3" t="s">
        <v>66</v>
      </c>
      <c r="C87" s="3" t="s">
        <v>251</v>
      </c>
      <c r="D87" s="3" t="s">
        <v>1051</v>
      </c>
      <c r="E87" s="3" t="s">
        <v>346</v>
      </c>
      <c r="F87" s="3" t="s">
        <v>1033</v>
      </c>
      <c r="G87" s="4">
        <v>41</v>
      </c>
      <c r="H87" s="3" t="s">
        <v>994</v>
      </c>
      <c r="I87" s="3" t="s">
        <v>994</v>
      </c>
      <c r="J87" s="3" t="s">
        <v>233</v>
      </c>
      <c r="K87" s="3" t="s">
        <v>1052</v>
      </c>
      <c r="L87" s="3" t="s">
        <v>1053</v>
      </c>
      <c r="M87" s="3" t="s">
        <v>236</v>
      </c>
      <c r="N87" s="3" t="s">
        <v>1025</v>
      </c>
      <c r="O87" s="3" t="s">
        <v>1026</v>
      </c>
      <c r="P87" s="3" t="s">
        <v>1054</v>
      </c>
      <c r="Q87" s="3" t="s">
        <v>272</v>
      </c>
      <c r="R87" s="3" t="s">
        <v>240</v>
      </c>
      <c r="S87" s="3" t="s">
        <v>289</v>
      </c>
      <c r="T87" s="3" t="s">
        <v>79</v>
      </c>
      <c r="U87" s="3" t="s">
        <v>79</v>
      </c>
      <c r="V87" s="3" t="s">
        <v>242</v>
      </c>
      <c r="W87" s="3" t="s">
        <v>998</v>
      </c>
      <c r="X87" s="3" t="s">
        <v>1055</v>
      </c>
      <c r="Y87" s="3" t="s">
        <v>244</v>
      </c>
      <c r="Z87" s="3" t="s">
        <v>245</v>
      </c>
      <c r="AA87" s="3" t="s">
        <v>817</v>
      </c>
      <c r="AB87" s="3" t="s">
        <v>247</v>
      </c>
      <c r="AC87" s="3" t="s">
        <v>247</v>
      </c>
      <c r="AD87" s="3" t="s">
        <v>247</v>
      </c>
      <c r="AE87" s="3"/>
      <c r="AF87" s="3" t="s">
        <v>13</v>
      </c>
      <c r="AG87" s="3" t="s">
        <v>1056</v>
      </c>
      <c r="AH87" s="3" t="s">
        <v>248</v>
      </c>
      <c r="AI87" s="3"/>
      <c r="AJ87" s="3" t="s">
        <v>1057</v>
      </c>
      <c r="AK87" s="3" t="s">
        <v>249</v>
      </c>
    </row>
    <row r="88" ht="34" spans="1:37">
      <c r="A88" s="3" t="s">
        <v>22</v>
      </c>
      <c r="B88" s="3" t="s">
        <v>172</v>
      </c>
      <c r="C88" s="3" t="s">
        <v>251</v>
      </c>
      <c r="D88" s="3" t="s">
        <v>1058</v>
      </c>
      <c r="E88" s="3" t="s">
        <v>346</v>
      </c>
      <c r="F88" s="3" t="s">
        <v>1059</v>
      </c>
      <c r="G88" s="4">
        <v>37</v>
      </c>
      <c r="H88" s="3" t="s">
        <v>1060</v>
      </c>
      <c r="I88" s="3" t="s">
        <v>1060</v>
      </c>
      <c r="J88" s="3" t="s">
        <v>233</v>
      </c>
      <c r="K88" s="3"/>
      <c r="L88" s="3" t="s">
        <v>1061</v>
      </c>
      <c r="M88" s="3" t="s">
        <v>236</v>
      </c>
      <c r="N88" s="3" t="s">
        <v>365</v>
      </c>
      <c r="O88" s="3" t="s">
        <v>1062</v>
      </c>
      <c r="P88" s="3" t="s">
        <v>1063</v>
      </c>
      <c r="Q88" s="3" t="s">
        <v>272</v>
      </c>
      <c r="R88" s="3" t="s">
        <v>240</v>
      </c>
      <c r="S88" s="3" t="s">
        <v>289</v>
      </c>
      <c r="T88" s="3" t="s">
        <v>79</v>
      </c>
      <c r="U88" s="3" t="s">
        <v>79</v>
      </c>
      <c r="V88" s="3" t="s">
        <v>242</v>
      </c>
      <c r="W88" s="3" t="s">
        <v>1064</v>
      </c>
      <c r="X88" s="3" t="s">
        <v>1065</v>
      </c>
      <c r="Y88" s="3" t="s">
        <v>244</v>
      </c>
      <c r="Z88" s="3" t="s">
        <v>245</v>
      </c>
      <c r="AA88" s="3" t="s">
        <v>1066</v>
      </c>
      <c r="AB88" s="3" t="s">
        <v>247</v>
      </c>
      <c r="AC88" s="3" t="s">
        <v>247</v>
      </c>
      <c r="AD88" s="3" t="s">
        <v>248</v>
      </c>
      <c r="AE88" s="3"/>
      <c r="AF88" s="3" t="s">
        <v>22</v>
      </c>
      <c r="AG88" s="3" t="s">
        <v>1067</v>
      </c>
      <c r="AH88" s="3" t="s">
        <v>248</v>
      </c>
      <c r="AI88" s="3"/>
      <c r="AJ88" s="3" t="s">
        <v>1068</v>
      </c>
      <c r="AK88" s="3" t="s">
        <v>249</v>
      </c>
    </row>
    <row r="89" ht="34" spans="1:37">
      <c r="A89" s="3" t="s">
        <v>14</v>
      </c>
      <c r="B89" s="3" t="s">
        <v>76</v>
      </c>
      <c r="C89" s="3" t="s">
        <v>251</v>
      </c>
      <c r="D89" s="3" t="s">
        <v>1069</v>
      </c>
      <c r="E89" s="3" t="s">
        <v>346</v>
      </c>
      <c r="F89" s="3" t="s">
        <v>1070</v>
      </c>
      <c r="G89" s="4">
        <v>39</v>
      </c>
      <c r="H89" s="3" t="s">
        <v>1071</v>
      </c>
      <c r="I89" s="3" t="s">
        <v>1071</v>
      </c>
      <c r="J89" s="3" t="s">
        <v>233</v>
      </c>
      <c r="K89" s="3" t="s">
        <v>1072</v>
      </c>
      <c r="L89" s="3" t="s">
        <v>1073</v>
      </c>
      <c r="M89" s="3" t="s">
        <v>351</v>
      </c>
      <c r="N89" s="3" t="s">
        <v>352</v>
      </c>
      <c r="O89" s="3" t="s">
        <v>1074</v>
      </c>
      <c r="P89" s="3" t="s">
        <v>997</v>
      </c>
      <c r="Q89" s="3" t="s">
        <v>272</v>
      </c>
      <c r="R89" s="3" t="s">
        <v>240</v>
      </c>
      <c r="S89" s="3" t="s">
        <v>289</v>
      </c>
      <c r="T89" s="3" t="s">
        <v>79</v>
      </c>
      <c r="U89" s="3" t="s">
        <v>79</v>
      </c>
      <c r="V89" s="3" t="s">
        <v>242</v>
      </c>
      <c r="W89" s="3" t="s">
        <v>1064</v>
      </c>
      <c r="X89" s="3" t="s">
        <v>1075</v>
      </c>
      <c r="Y89" s="3" t="s">
        <v>244</v>
      </c>
      <c r="Z89" s="3" t="s">
        <v>245</v>
      </c>
      <c r="AA89" s="3" t="s">
        <v>1076</v>
      </c>
      <c r="AB89" s="3" t="s">
        <v>247</v>
      </c>
      <c r="AC89" s="3" t="s">
        <v>247</v>
      </c>
      <c r="AD89" s="3" t="s">
        <v>247</v>
      </c>
      <c r="AE89" s="3"/>
      <c r="AF89" s="3" t="s">
        <v>14</v>
      </c>
      <c r="AG89" s="3" t="s">
        <v>1077</v>
      </c>
      <c r="AH89" s="3" t="s">
        <v>248</v>
      </c>
      <c r="AI89" s="3"/>
      <c r="AJ89" s="3" t="s">
        <v>1078</v>
      </c>
      <c r="AK89" s="3" t="s">
        <v>249</v>
      </c>
    </row>
    <row r="90" ht="34" spans="1:37">
      <c r="A90" s="3" t="s">
        <v>12</v>
      </c>
      <c r="B90" s="3" t="s">
        <v>55</v>
      </c>
      <c r="C90" s="3" t="s">
        <v>251</v>
      </c>
      <c r="D90" s="3" t="s">
        <v>1079</v>
      </c>
      <c r="E90" s="3" t="s">
        <v>384</v>
      </c>
      <c r="F90" s="3" t="s">
        <v>1080</v>
      </c>
      <c r="G90" s="4">
        <v>40</v>
      </c>
      <c r="H90" s="3" t="s">
        <v>1081</v>
      </c>
      <c r="I90" s="3" t="s">
        <v>1081</v>
      </c>
      <c r="J90" s="3" t="s">
        <v>285</v>
      </c>
      <c r="K90" s="3" t="s">
        <v>1082</v>
      </c>
      <c r="L90" s="3" t="s">
        <v>1083</v>
      </c>
      <c r="M90" s="3" t="s">
        <v>236</v>
      </c>
      <c r="N90" s="3" t="s">
        <v>794</v>
      </c>
      <c r="O90" s="3" t="s">
        <v>1084</v>
      </c>
      <c r="P90" s="3" t="s">
        <v>997</v>
      </c>
      <c r="Q90" s="3" t="s">
        <v>272</v>
      </c>
      <c r="R90" s="3" t="s">
        <v>240</v>
      </c>
      <c r="S90" s="3" t="s">
        <v>241</v>
      </c>
      <c r="T90" s="3" t="s">
        <v>79</v>
      </c>
      <c r="U90" s="3" t="s">
        <v>79</v>
      </c>
      <c r="V90" s="3" t="s">
        <v>242</v>
      </c>
      <c r="W90" s="3" t="s">
        <v>1064</v>
      </c>
      <c r="X90" s="3" t="s">
        <v>1075</v>
      </c>
      <c r="Y90" s="3" t="s">
        <v>244</v>
      </c>
      <c r="Z90" s="3" t="s">
        <v>245</v>
      </c>
      <c r="AA90" s="3" t="s">
        <v>1085</v>
      </c>
      <c r="AB90" s="3" t="s">
        <v>247</v>
      </c>
      <c r="AC90" s="3" t="s">
        <v>247</v>
      </c>
      <c r="AD90" s="3" t="s">
        <v>247</v>
      </c>
      <c r="AE90" s="3" t="s">
        <v>589</v>
      </c>
      <c r="AF90" s="3" t="s">
        <v>12</v>
      </c>
      <c r="AG90" s="3" t="s">
        <v>1086</v>
      </c>
      <c r="AH90" s="3" t="s">
        <v>248</v>
      </c>
      <c r="AI90" s="3"/>
      <c r="AJ90" s="3" t="s">
        <v>1087</v>
      </c>
      <c r="AK90" s="3" t="s">
        <v>249</v>
      </c>
    </row>
    <row r="91" ht="34" spans="1:37">
      <c r="A91" s="3" t="s">
        <v>11</v>
      </c>
      <c r="B91" s="3" t="s">
        <v>48</v>
      </c>
      <c r="C91" s="3" t="s">
        <v>227</v>
      </c>
      <c r="D91" s="3" t="s">
        <v>1088</v>
      </c>
      <c r="E91" s="3" t="s">
        <v>396</v>
      </c>
      <c r="F91" s="3" t="s">
        <v>1089</v>
      </c>
      <c r="G91" s="4">
        <v>37</v>
      </c>
      <c r="H91" s="3" t="s">
        <v>1090</v>
      </c>
      <c r="I91" s="3" t="s">
        <v>1090</v>
      </c>
      <c r="J91" s="3" t="s">
        <v>285</v>
      </c>
      <c r="K91" s="3"/>
      <c r="L91" s="3" t="s">
        <v>1091</v>
      </c>
      <c r="M91" s="3" t="s">
        <v>236</v>
      </c>
      <c r="N91" s="3" t="s">
        <v>352</v>
      </c>
      <c r="O91" s="3" t="s">
        <v>1092</v>
      </c>
      <c r="P91" s="3" t="s">
        <v>1063</v>
      </c>
      <c r="Q91" s="3" t="s">
        <v>272</v>
      </c>
      <c r="R91" s="3" t="s">
        <v>240</v>
      </c>
      <c r="S91" s="3" t="s">
        <v>241</v>
      </c>
      <c r="T91" s="3" t="s">
        <v>79</v>
      </c>
      <c r="U91" s="3" t="s">
        <v>79</v>
      </c>
      <c r="V91" s="3" t="s">
        <v>242</v>
      </c>
      <c r="W91" s="3" t="s">
        <v>1064</v>
      </c>
      <c r="X91" s="3" t="s">
        <v>1093</v>
      </c>
      <c r="Y91" s="3" t="s">
        <v>244</v>
      </c>
      <c r="Z91" s="3" t="s">
        <v>245</v>
      </c>
      <c r="AA91" s="3"/>
      <c r="AB91" s="3" t="s">
        <v>248</v>
      </c>
      <c r="AC91" s="3" t="s">
        <v>247</v>
      </c>
      <c r="AD91" s="3" t="s">
        <v>247</v>
      </c>
      <c r="AE91" s="3"/>
      <c r="AF91" s="3" t="s">
        <v>11</v>
      </c>
      <c r="AG91" s="3" t="s">
        <v>1094</v>
      </c>
      <c r="AH91" s="3" t="s">
        <v>248</v>
      </c>
      <c r="AI91" s="3"/>
      <c r="AJ91" s="3" t="s">
        <v>1095</v>
      </c>
      <c r="AK91" s="3" t="s">
        <v>249</v>
      </c>
    </row>
    <row r="92" ht="34" spans="1:37">
      <c r="A92" s="3" t="s">
        <v>12</v>
      </c>
      <c r="B92" s="3" t="s">
        <v>58</v>
      </c>
      <c r="C92" s="3" t="s">
        <v>227</v>
      </c>
      <c r="D92" s="3" t="s">
        <v>1096</v>
      </c>
      <c r="E92" s="3" t="s">
        <v>384</v>
      </c>
      <c r="F92" s="3" t="s">
        <v>1097</v>
      </c>
      <c r="G92" s="4">
        <v>36</v>
      </c>
      <c r="H92" s="3" t="s">
        <v>1098</v>
      </c>
      <c r="I92" s="3" t="s">
        <v>1098</v>
      </c>
      <c r="J92" s="3" t="s">
        <v>285</v>
      </c>
      <c r="K92" s="3" t="s">
        <v>1099</v>
      </c>
      <c r="L92" s="3" t="s">
        <v>1100</v>
      </c>
      <c r="M92" s="3" t="s">
        <v>351</v>
      </c>
      <c r="N92" s="3" t="s">
        <v>377</v>
      </c>
      <c r="O92" s="3" t="s">
        <v>1101</v>
      </c>
      <c r="P92" s="3" t="s">
        <v>1027</v>
      </c>
      <c r="Q92" s="3" t="s">
        <v>272</v>
      </c>
      <c r="R92" s="3" t="s">
        <v>240</v>
      </c>
      <c r="S92" s="3" t="s">
        <v>241</v>
      </c>
      <c r="T92" s="3" t="s">
        <v>79</v>
      </c>
      <c r="U92" s="3" t="s">
        <v>79</v>
      </c>
      <c r="V92" s="3" t="s">
        <v>242</v>
      </c>
      <c r="W92" s="3" t="s">
        <v>1064</v>
      </c>
      <c r="X92" s="3" t="s">
        <v>1102</v>
      </c>
      <c r="Y92" s="3" t="s">
        <v>244</v>
      </c>
      <c r="Z92" s="3" t="s">
        <v>245</v>
      </c>
      <c r="AA92" s="3" t="s">
        <v>1103</v>
      </c>
      <c r="AB92" s="3" t="s">
        <v>247</v>
      </c>
      <c r="AC92" s="3" t="s">
        <v>247</v>
      </c>
      <c r="AD92" s="3" t="s">
        <v>247</v>
      </c>
      <c r="AE92" s="3" t="s">
        <v>49</v>
      </c>
      <c r="AF92" s="3" t="s">
        <v>679</v>
      </c>
      <c r="AG92" s="3" t="s">
        <v>1104</v>
      </c>
      <c r="AH92" s="3" t="s">
        <v>248</v>
      </c>
      <c r="AI92" s="3"/>
      <c r="AJ92" s="3" t="s">
        <v>1105</v>
      </c>
      <c r="AK92" s="3" t="s">
        <v>249</v>
      </c>
    </row>
    <row r="93" ht="34" spans="1:37">
      <c r="A93" s="3" t="s">
        <v>22</v>
      </c>
      <c r="B93" s="3" t="s">
        <v>177</v>
      </c>
      <c r="C93" s="3" t="s">
        <v>227</v>
      </c>
      <c r="D93" s="3" t="s">
        <v>1106</v>
      </c>
      <c r="E93" s="3" t="s">
        <v>360</v>
      </c>
      <c r="F93" s="3" t="s">
        <v>1107</v>
      </c>
      <c r="G93" s="4">
        <v>39</v>
      </c>
      <c r="H93" s="3" t="s">
        <v>1108</v>
      </c>
      <c r="I93" s="3" t="s">
        <v>1108</v>
      </c>
      <c r="J93" s="3" t="s">
        <v>233</v>
      </c>
      <c r="K93" s="3"/>
      <c r="L93" s="3" t="s">
        <v>1109</v>
      </c>
      <c r="M93" s="3" t="s">
        <v>236</v>
      </c>
      <c r="N93" s="3" t="s">
        <v>365</v>
      </c>
      <c r="O93" s="3" t="s">
        <v>482</v>
      </c>
      <c r="P93" s="3" t="s">
        <v>1110</v>
      </c>
      <c r="Q93" s="3" t="s">
        <v>272</v>
      </c>
      <c r="R93" s="3" t="s">
        <v>240</v>
      </c>
      <c r="S93" s="3" t="s">
        <v>241</v>
      </c>
      <c r="T93" s="3" t="s">
        <v>79</v>
      </c>
      <c r="U93" s="3" t="s">
        <v>79</v>
      </c>
      <c r="V93" s="3" t="s">
        <v>242</v>
      </c>
      <c r="W93" s="3" t="s">
        <v>1064</v>
      </c>
      <c r="X93" s="3" t="s">
        <v>1111</v>
      </c>
      <c r="Y93" s="3" t="s">
        <v>244</v>
      </c>
      <c r="Z93" s="3" t="s">
        <v>245</v>
      </c>
      <c r="AA93" s="3" t="s">
        <v>1112</v>
      </c>
      <c r="AB93" s="3" t="s">
        <v>247</v>
      </c>
      <c r="AC93" s="3" t="s">
        <v>247</v>
      </c>
      <c r="AD93" s="3" t="s">
        <v>247</v>
      </c>
      <c r="AE93" s="3"/>
      <c r="AF93" s="3" t="s">
        <v>22</v>
      </c>
      <c r="AG93" s="3" t="s">
        <v>1113</v>
      </c>
      <c r="AH93" s="3" t="s">
        <v>248</v>
      </c>
      <c r="AI93" s="3"/>
      <c r="AJ93" s="3" t="s">
        <v>1114</v>
      </c>
      <c r="AK93" s="3" t="s">
        <v>249</v>
      </c>
    </row>
    <row r="94" ht="34" spans="1:37">
      <c r="A94" s="3" t="s">
        <v>23</v>
      </c>
      <c r="B94" s="3" t="s">
        <v>181</v>
      </c>
      <c r="C94" s="3" t="s">
        <v>251</v>
      </c>
      <c r="D94" s="3" t="s">
        <v>1115</v>
      </c>
      <c r="E94" s="3" t="s">
        <v>346</v>
      </c>
      <c r="F94" s="3" t="s">
        <v>1116</v>
      </c>
      <c r="G94" s="4">
        <v>37</v>
      </c>
      <c r="H94" s="3" t="s">
        <v>1117</v>
      </c>
      <c r="I94" s="3" t="s">
        <v>1117</v>
      </c>
      <c r="J94" s="3" t="s">
        <v>233</v>
      </c>
      <c r="K94" s="3" t="s">
        <v>1118</v>
      </c>
      <c r="L94" s="3" t="s">
        <v>1119</v>
      </c>
      <c r="M94" s="3" t="s">
        <v>236</v>
      </c>
      <c r="N94" s="3" t="s">
        <v>286</v>
      </c>
      <c r="O94" s="3" t="s">
        <v>1120</v>
      </c>
      <c r="P94" s="3" t="s">
        <v>1063</v>
      </c>
      <c r="Q94" s="3" t="s">
        <v>272</v>
      </c>
      <c r="R94" s="3" t="s">
        <v>240</v>
      </c>
      <c r="S94" s="3" t="s">
        <v>289</v>
      </c>
      <c r="T94" s="3" t="s">
        <v>79</v>
      </c>
      <c r="U94" s="3" t="s">
        <v>79</v>
      </c>
      <c r="V94" s="3" t="s">
        <v>242</v>
      </c>
      <c r="W94" s="3" t="s">
        <v>1064</v>
      </c>
      <c r="X94" s="3" t="s">
        <v>1121</v>
      </c>
      <c r="Y94" s="3" t="s">
        <v>244</v>
      </c>
      <c r="Z94" s="3" t="s">
        <v>245</v>
      </c>
      <c r="AA94" s="3" t="s">
        <v>618</v>
      </c>
      <c r="AB94" s="3" t="s">
        <v>247</v>
      </c>
      <c r="AC94" s="3" t="s">
        <v>247</v>
      </c>
      <c r="AD94" s="3" t="s">
        <v>247</v>
      </c>
      <c r="AE94" s="3"/>
      <c r="AF94" s="3" t="s">
        <v>277</v>
      </c>
      <c r="AG94" s="3" t="s">
        <v>1122</v>
      </c>
      <c r="AH94" s="3" t="s">
        <v>248</v>
      </c>
      <c r="AI94" s="3"/>
      <c r="AJ94" s="3" t="s">
        <v>1123</v>
      </c>
      <c r="AK94" s="3" t="s">
        <v>249</v>
      </c>
    </row>
    <row r="95" ht="34" spans="1:37">
      <c r="A95" s="3" t="s">
        <v>14</v>
      </c>
      <c r="B95" s="3" t="s">
        <v>72</v>
      </c>
      <c r="C95" s="3" t="s">
        <v>251</v>
      </c>
      <c r="D95" s="3" t="s">
        <v>1124</v>
      </c>
      <c r="E95" s="3" t="s">
        <v>384</v>
      </c>
      <c r="F95" s="3" t="s">
        <v>1033</v>
      </c>
      <c r="G95" s="4">
        <v>41</v>
      </c>
      <c r="H95" s="3" t="s">
        <v>1125</v>
      </c>
      <c r="I95" s="3" t="s">
        <v>1125</v>
      </c>
      <c r="J95" s="3" t="s">
        <v>285</v>
      </c>
      <c r="K95" s="3"/>
      <c r="L95" s="3" t="s">
        <v>1126</v>
      </c>
      <c r="M95" s="3" t="s">
        <v>1127</v>
      </c>
      <c r="N95" s="3" t="s">
        <v>327</v>
      </c>
      <c r="O95" s="3" t="s">
        <v>1036</v>
      </c>
      <c r="P95" s="3" t="s">
        <v>1063</v>
      </c>
      <c r="Q95" s="3" t="s">
        <v>272</v>
      </c>
      <c r="R95" s="3" t="s">
        <v>240</v>
      </c>
      <c r="S95" s="3" t="s">
        <v>289</v>
      </c>
      <c r="T95" s="3" t="s">
        <v>79</v>
      </c>
      <c r="U95" s="3" t="s">
        <v>79</v>
      </c>
      <c r="V95" s="3" t="s">
        <v>242</v>
      </c>
      <c r="W95" s="3" t="s">
        <v>1064</v>
      </c>
      <c r="X95" s="3" t="s">
        <v>1128</v>
      </c>
      <c r="Y95" s="3" t="s">
        <v>244</v>
      </c>
      <c r="Z95" s="3" t="s">
        <v>245</v>
      </c>
      <c r="AA95" s="3" t="s">
        <v>319</v>
      </c>
      <c r="AB95" s="3" t="s">
        <v>247</v>
      </c>
      <c r="AC95" s="3" t="s">
        <v>247</v>
      </c>
      <c r="AD95" s="3" t="s">
        <v>247</v>
      </c>
      <c r="AE95" s="3" t="s">
        <v>45</v>
      </c>
      <c r="AF95" s="3" t="s">
        <v>14</v>
      </c>
      <c r="AG95" s="3" t="s">
        <v>1129</v>
      </c>
      <c r="AH95" s="3" t="s">
        <v>248</v>
      </c>
      <c r="AI95" s="3"/>
      <c r="AJ95" s="3" t="s">
        <v>1130</v>
      </c>
      <c r="AK95" s="3" t="s">
        <v>249</v>
      </c>
    </row>
    <row r="96" ht="34" spans="1:37">
      <c r="A96" s="3" t="s">
        <v>20</v>
      </c>
      <c r="B96" s="3" t="s">
        <v>126</v>
      </c>
      <c r="C96" s="3" t="s">
        <v>227</v>
      </c>
      <c r="D96" s="3" t="s">
        <v>1131</v>
      </c>
      <c r="E96" s="3" t="s">
        <v>384</v>
      </c>
      <c r="F96" s="3" t="s">
        <v>1132</v>
      </c>
      <c r="G96" s="4">
        <v>38</v>
      </c>
      <c r="H96" s="3" t="s">
        <v>1133</v>
      </c>
      <c r="I96" s="3" t="s">
        <v>1133</v>
      </c>
      <c r="J96" s="3" t="s">
        <v>285</v>
      </c>
      <c r="K96" s="3" t="s">
        <v>1134</v>
      </c>
      <c r="L96" s="3" t="s">
        <v>1135</v>
      </c>
      <c r="M96" s="3" t="s">
        <v>236</v>
      </c>
      <c r="N96" s="3" t="s">
        <v>585</v>
      </c>
      <c r="O96" s="3" t="s">
        <v>1036</v>
      </c>
      <c r="P96" s="3" t="s">
        <v>1136</v>
      </c>
      <c r="Q96" s="3" t="s">
        <v>272</v>
      </c>
      <c r="R96" s="3" t="s">
        <v>240</v>
      </c>
      <c r="S96" s="3" t="s">
        <v>241</v>
      </c>
      <c r="T96" s="3" t="s">
        <v>79</v>
      </c>
      <c r="U96" s="3" t="s">
        <v>79</v>
      </c>
      <c r="V96" s="3" t="s">
        <v>242</v>
      </c>
      <c r="W96" s="3" t="s">
        <v>1064</v>
      </c>
      <c r="X96" s="3" t="s">
        <v>1137</v>
      </c>
      <c r="Y96" s="3" t="s">
        <v>244</v>
      </c>
      <c r="Z96" s="3" t="s">
        <v>245</v>
      </c>
      <c r="AA96" s="3" t="s">
        <v>1138</v>
      </c>
      <c r="AB96" s="3" t="s">
        <v>247</v>
      </c>
      <c r="AC96" s="3" t="s">
        <v>247</v>
      </c>
      <c r="AD96" s="3" t="s">
        <v>247</v>
      </c>
      <c r="AE96" s="3" t="s">
        <v>51</v>
      </c>
      <c r="AF96" s="3" t="s">
        <v>13</v>
      </c>
      <c r="AG96" s="3" t="s">
        <v>1139</v>
      </c>
      <c r="AH96" s="3" t="s">
        <v>248</v>
      </c>
      <c r="AI96" s="3"/>
      <c r="AJ96" s="3" t="s">
        <v>1140</v>
      </c>
      <c r="AK96" s="3" t="s">
        <v>249</v>
      </c>
    </row>
    <row r="97" ht="34" spans="1:37">
      <c r="A97" s="3" t="s">
        <v>18</v>
      </c>
      <c r="B97" s="3" t="s">
        <v>105</v>
      </c>
      <c r="C97" s="3" t="s">
        <v>227</v>
      </c>
      <c r="D97" s="3" t="s">
        <v>1141</v>
      </c>
      <c r="E97" s="3" t="s">
        <v>334</v>
      </c>
      <c r="F97" s="3" t="s">
        <v>1142</v>
      </c>
      <c r="G97" s="4">
        <v>40</v>
      </c>
      <c r="H97" s="3" t="s">
        <v>1143</v>
      </c>
      <c r="I97" s="3" t="s">
        <v>1143</v>
      </c>
      <c r="J97" s="3" t="s">
        <v>285</v>
      </c>
      <c r="K97" s="3" t="s">
        <v>1144</v>
      </c>
      <c r="L97" s="3" t="s">
        <v>1145</v>
      </c>
      <c r="M97" s="3" t="s">
        <v>236</v>
      </c>
      <c r="N97" s="3" t="s">
        <v>286</v>
      </c>
      <c r="O97" s="3" t="s">
        <v>887</v>
      </c>
      <c r="P97" s="3" t="s">
        <v>1110</v>
      </c>
      <c r="Q97" s="3" t="s">
        <v>272</v>
      </c>
      <c r="R97" s="3" t="s">
        <v>240</v>
      </c>
      <c r="S97" s="3" t="s">
        <v>241</v>
      </c>
      <c r="T97" s="3" t="s">
        <v>79</v>
      </c>
      <c r="U97" s="3" t="s">
        <v>79</v>
      </c>
      <c r="V97" s="3" t="s">
        <v>242</v>
      </c>
      <c r="W97" s="3" t="s">
        <v>1064</v>
      </c>
      <c r="X97" s="3" t="s">
        <v>1146</v>
      </c>
      <c r="Y97" s="3" t="s">
        <v>244</v>
      </c>
      <c r="Z97" s="3" t="s">
        <v>245</v>
      </c>
      <c r="AA97" s="3" t="s">
        <v>1147</v>
      </c>
      <c r="AB97" s="3" t="s">
        <v>247</v>
      </c>
      <c r="AC97" s="3" t="s">
        <v>247</v>
      </c>
      <c r="AD97" s="3" t="s">
        <v>247</v>
      </c>
      <c r="AE97" s="3" t="s">
        <v>44</v>
      </c>
      <c r="AF97" s="3" t="s">
        <v>18</v>
      </c>
      <c r="AG97" s="3" t="s">
        <v>1148</v>
      </c>
      <c r="AH97" s="3" t="s">
        <v>248</v>
      </c>
      <c r="AI97" s="3"/>
      <c r="AJ97" s="3" t="s">
        <v>1149</v>
      </c>
      <c r="AK97" s="3" t="s">
        <v>249</v>
      </c>
    </row>
    <row r="98" ht="34" spans="1:37">
      <c r="A98" s="3" t="s">
        <v>21</v>
      </c>
      <c r="B98" s="3" t="s">
        <v>150</v>
      </c>
      <c r="C98" s="3" t="s">
        <v>251</v>
      </c>
      <c r="D98" s="3" t="s">
        <v>1150</v>
      </c>
      <c r="E98" s="3" t="s">
        <v>346</v>
      </c>
      <c r="F98" s="3" t="s">
        <v>1151</v>
      </c>
      <c r="G98" s="4">
        <v>38</v>
      </c>
      <c r="H98" s="3" t="s">
        <v>1152</v>
      </c>
      <c r="I98" s="3" t="s">
        <v>1152</v>
      </c>
      <c r="J98" s="3" t="s">
        <v>233</v>
      </c>
      <c r="K98" s="3" t="s">
        <v>1153</v>
      </c>
      <c r="L98" s="3" t="s">
        <v>1154</v>
      </c>
      <c r="M98" s="3" t="s">
        <v>236</v>
      </c>
      <c r="N98" s="3" t="s">
        <v>286</v>
      </c>
      <c r="O98" s="3" t="s">
        <v>887</v>
      </c>
      <c r="P98" s="3" t="s">
        <v>1110</v>
      </c>
      <c r="Q98" s="3" t="s">
        <v>272</v>
      </c>
      <c r="R98" s="3" t="s">
        <v>240</v>
      </c>
      <c r="S98" s="3" t="s">
        <v>289</v>
      </c>
      <c r="T98" s="3" t="s">
        <v>79</v>
      </c>
      <c r="U98" s="3" t="s">
        <v>79</v>
      </c>
      <c r="V98" s="3" t="s">
        <v>242</v>
      </c>
      <c r="W98" s="3" t="s">
        <v>1064</v>
      </c>
      <c r="X98" s="3" t="s">
        <v>1155</v>
      </c>
      <c r="Y98" s="3" t="s">
        <v>244</v>
      </c>
      <c r="Z98" s="3" t="s">
        <v>245</v>
      </c>
      <c r="AA98" s="3" t="s">
        <v>1156</v>
      </c>
      <c r="AB98" s="3" t="s">
        <v>247</v>
      </c>
      <c r="AC98" s="3" t="s">
        <v>247</v>
      </c>
      <c r="AD98" s="3" t="s">
        <v>247</v>
      </c>
      <c r="AE98" s="3"/>
      <c r="AF98" s="3" t="s">
        <v>21</v>
      </c>
      <c r="AG98" s="3" t="s">
        <v>1157</v>
      </c>
      <c r="AH98" s="3" t="s">
        <v>248</v>
      </c>
      <c r="AI98" s="3"/>
      <c r="AJ98" s="3" t="s">
        <v>1158</v>
      </c>
      <c r="AK98" s="3" t="s">
        <v>249</v>
      </c>
    </row>
    <row r="99" ht="34" spans="1:37">
      <c r="A99" s="3" t="s">
        <v>18</v>
      </c>
      <c r="B99" s="3" t="s">
        <v>36</v>
      </c>
      <c r="C99" s="3" t="s">
        <v>227</v>
      </c>
      <c r="D99" s="3" t="s">
        <v>1159</v>
      </c>
      <c r="E99" s="3" t="s">
        <v>384</v>
      </c>
      <c r="F99" s="3" t="s">
        <v>1160</v>
      </c>
      <c r="G99" s="4">
        <v>38</v>
      </c>
      <c r="H99" s="3" t="s">
        <v>1161</v>
      </c>
      <c r="I99" s="3" t="s">
        <v>1161</v>
      </c>
      <c r="J99" s="3" t="s">
        <v>285</v>
      </c>
      <c r="K99" s="3" t="s">
        <v>1162</v>
      </c>
      <c r="L99" s="3" t="s">
        <v>1163</v>
      </c>
      <c r="M99" s="3" t="s">
        <v>236</v>
      </c>
      <c r="N99" s="3" t="s">
        <v>286</v>
      </c>
      <c r="O99" s="3" t="s">
        <v>482</v>
      </c>
      <c r="P99" s="3" t="s">
        <v>1063</v>
      </c>
      <c r="Q99" s="3" t="s">
        <v>272</v>
      </c>
      <c r="R99" s="3" t="s">
        <v>240</v>
      </c>
      <c r="S99" s="3" t="s">
        <v>241</v>
      </c>
      <c r="T99" s="3" t="s">
        <v>79</v>
      </c>
      <c r="U99" s="3" t="s">
        <v>79</v>
      </c>
      <c r="V99" s="3" t="s">
        <v>242</v>
      </c>
      <c r="W99" s="3" t="s">
        <v>1064</v>
      </c>
      <c r="X99" s="3" t="s">
        <v>1164</v>
      </c>
      <c r="Y99" s="3" t="s">
        <v>244</v>
      </c>
      <c r="Z99" s="3" t="s">
        <v>245</v>
      </c>
      <c r="AA99" s="3"/>
      <c r="AB99" s="3" t="s">
        <v>248</v>
      </c>
      <c r="AC99" s="3" t="s">
        <v>247</v>
      </c>
      <c r="AD99" s="3" t="s">
        <v>248</v>
      </c>
      <c r="AE99" s="3" t="s">
        <v>44</v>
      </c>
      <c r="AF99" s="3" t="s">
        <v>18</v>
      </c>
      <c r="AG99" s="3" t="s">
        <v>1165</v>
      </c>
      <c r="AH99" s="3" t="s">
        <v>248</v>
      </c>
      <c r="AI99" s="3"/>
      <c r="AJ99" s="3" t="s">
        <v>1166</v>
      </c>
      <c r="AK99" s="3" t="s">
        <v>249</v>
      </c>
    </row>
    <row r="100" ht="34" spans="1:37">
      <c r="A100" s="3" t="s">
        <v>12</v>
      </c>
      <c r="B100" s="3" t="s">
        <v>1167</v>
      </c>
      <c r="C100" s="3" t="s">
        <v>227</v>
      </c>
      <c r="D100" s="3" t="s">
        <v>1168</v>
      </c>
      <c r="E100" s="3" t="s">
        <v>384</v>
      </c>
      <c r="F100" s="3" t="s">
        <v>1132</v>
      </c>
      <c r="G100" s="4">
        <v>38</v>
      </c>
      <c r="H100" s="3" t="s">
        <v>1169</v>
      </c>
      <c r="I100" s="3" t="s">
        <v>1169</v>
      </c>
      <c r="J100" s="3" t="s">
        <v>285</v>
      </c>
      <c r="K100" s="3" t="s">
        <v>349</v>
      </c>
      <c r="L100" s="3" t="s">
        <v>1170</v>
      </c>
      <c r="M100" s="3" t="s">
        <v>236</v>
      </c>
      <c r="N100" s="3" t="s">
        <v>352</v>
      </c>
      <c r="O100" s="3" t="s">
        <v>482</v>
      </c>
      <c r="P100" s="3" t="s">
        <v>1171</v>
      </c>
      <c r="Q100" s="3" t="s">
        <v>272</v>
      </c>
      <c r="R100" s="3" t="s">
        <v>240</v>
      </c>
      <c r="S100" s="3" t="s">
        <v>289</v>
      </c>
      <c r="T100" s="3" t="s">
        <v>79</v>
      </c>
      <c r="U100" s="3" t="s">
        <v>79</v>
      </c>
      <c r="V100" s="3" t="s">
        <v>242</v>
      </c>
      <c r="W100" s="3" t="s">
        <v>1064</v>
      </c>
      <c r="X100" s="3" t="s">
        <v>1172</v>
      </c>
      <c r="Y100" s="3" t="s">
        <v>244</v>
      </c>
      <c r="Z100" s="3" t="s">
        <v>245</v>
      </c>
      <c r="AA100" s="3" t="s">
        <v>1173</v>
      </c>
      <c r="AB100" s="3" t="s">
        <v>247</v>
      </c>
      <c r="AC100" s="3" t="s">
        <v>247</v>
      </c>
      <c r="AD100" s="3" t="s">
        <v>247</v>
      </c>
      <c r="AE100" s="3" t="s">
        <v>44</v>
      </c>
      <c r="AF100" s="3" t="s">
        <v>18</v>
      </c>
      <c r="AG100" s="3" t="s">
        <v>1174</v>
      </c>
      <c r="AH100" s="3" t="s">
        <v>248</v>
      </c>
      <c r="AI100" s="3"/>
      <c r="AJ100" s="3" t="s">
        <v>1175</v>
      </c>
      <c r="AK100" s="3" t="s">
        <v>249</v>
      </c>
    </row>
    <row r="101" ht="34" spans="1:37">
      <c r="A101" s="3" t="s">
        <v>13</v>
      </c>
      <c r="B101" s="3" t="s">
        <v>67</v>
      </c>
      <c r="C101" s="3" t="s">
        <v>251</v>
      </c>
      <c r="D101" s="3" t="s">
        <v>1176</v>
      </c>
      <c r="E101" s="3" t="s">
        <v>334</v>
      </c>
      <c r="F101" s="3" t="s">
        <v>1177</v>
      </c>
      <c r="G101" s="4">
        <v>38</v>
      </c>
      <c r="H101" s="3" t="s">
        <v>1178</v>
      </c>
      <c r="I101" s="3" t="s">
        <v>1178</v>
      </c>
      <c r="J101" s="3" t="s">
        <v>285</v>
      </c>
      <c r="K101" s="3" t="s">
        <v>1179</v>
      </c>
      <c r="L101" s="3" t="s">
        <v>1180</v>
      </c>
      <c r="M101" s="3" t="s">
        <v>236</v>
      </c>
      <c r="N101" s="3" t="s">
        <v>585</v>
      </c>
      <c r="O101" s="3" t="s">
        <v>1181</v>
      </c>
      <c r="P101" s="3" t="s">
        <v>1110</v>
      </c>
      <c r="Q101" s="3" t="s">
        <v>272</v>
      </c>
      <c r="R101" s="3" t="s">
        <v>240</v>
      </c>
      <c r="S101" s="3" t="s">
        <v>241</v>
      </c>
      <c r="T101" s="3" t="s">
        <v>79</v>
      </c>
      <c r="U101" s="3" t="s">
        <v>79</v>
      </c>
      <c r="V101" s="3" t="s">
        <v>242</v>
      </c>
      <c r="W101" s="3" t="s">
        <v>1064</v>
      </c>
      <c r="X101" s="3" t="s">
        <v>1102</v>
      </c>
      <c r="Y101" s="3" t="s">
        <v>244</v>
      </c>
      <c r="Z101" s="3" t="s">
        <v>245</v>
      </c>
      <c r="AA101" s="3" t="s">
        <v>1182</v>
      </c>
      <c r="AB101" s="3" t="s">
        <v>247</v>
      </c>
      <c r="AC101" s="3" t="s">
        <v>247</v>
      </c>
      <c r="AD101" s="3" t="s">
        <v>247</v>
      </c>
      <c r="AE101" s="3" t="s">
        <v>51</v>
      </c>
      <c r="AF101" s="3" t="s">
        <v>13</v>
      </c>
      <c r="AG101" s="3" t="s">
        <v>1183</v>
      </c>
      <c r="AH101" s="3" t="s">
        <v>248</v>
      </c>
      <c r="AI101" s="3"/>
      <c r="AJ101" s="3" t="s">
        <v>1184</v>
      </c>
      <c r="AK101" s="3" t="s">
        <v>249</v>
      </c>
    </row>
    <row r="102" ht="34" spans="1:37">
      <c r="A102" s="3" t="s">
        <v>10</v>
      </c>
      <c r="B102" s="3" t="s">
        <v>37</v>
      </c>
      <c r="C102" s="3" t="s">
        <v>227</v>
      </c>
      <c r="D102" s="3" t="s">
        <v>1185</v>
      </c>
      <c r="E102" s="3" t="s">
        <v>657</v>
      </c>
      <c r="F102" s="3" t="s">
        <v>1186</v>
      </c>
      <c r="G102" s="4">
        <v>41</v>
      </c>
      <c r="H102" s="3" t="s">
        <v>1187</v>
      </c>
      <c r="I102" s="3" t="s">
        <v>1187</v>
      </c>
      <c r="J102" s="3" t="s">
        <v>233</v>
      </c>
      <c r="K102" s="3" t="s">
        <v>1188</v>
      </c>
      <c r="L102" s="3" t="s">
        <v>1189</v>
      </c>
      <c r="M102" s="3" t="s">
        <v>236</v>
      </c>
      <c r="N102" s="3" t="s">
        <v>502</v>
      </c>
      <c r="O102" s="3" t="s">
        <v>1190</v>
      </c>
      <c r="P102" s="3" t="s">
        <v>1191</v>
      </c>
      <c r="Q102" s="3" t="s">
        <v>272</v>
      </c>
      <c r="R102" s="3" t="s">
        <v>240</v>
      </c>
      <c r="S102" s="3" t="s">
        <v>241</v>
      </c>
      <c r="T102" s="3" t="s">
        <v>79</v>
      </c>
      <c r="U102" s="3" t="s">
        <v>79</v>
      </c>
      <c r="V102" s="3" t="s">
        <v>242</v>
      </c>
      <c r="W102" s="3" t="s">
        <v>1192</v>
      </c>
      <c r="X102" s="3" t="s">
        <v>1102</v>
      </c>
      <c r="Y102" s="3" t="s">
        <v>244</v>
      </c>
      <c r="Z102" s="3" t="s">
        <v>245</v>
      </c>
      <c r="AA102" s="3" t="s">
        <v>1193</v>
      </c>
      <c r="AB102" s="3" t="s">
        <v>247</v>
      </c>
      <c r="AC102" s="3" t="s">
        <v>247</v>
      </c>
      <c r="AD102" s="3" t="s">
        <v>247</v>
      </c>
      <c r="AE102" s="3"/>
      <c r="AF102" s="3" t="s">
        <v>1194</v>
      </c>
      <c r="AG102" s="3" t="s">
        <v>1195</v>
      </c>
      <c r="AH102" s="3" t="s">
        <v>248</v>
      </c>
      <c r="AI102" s="3"/>
      <c r="AJ102" s="3" t="s">
        <v>1196</v>
      </c>
      <c r="AK102" s="3" t="s">
        <v>249</v>
      </c>
    </row>
    <row r="103" ht="34" spans="1:37">
      <c r="A103" s="3" t="s">
        <v>9</v>
      </c>
      <c r="B103" s="3" t="s">
        <v>35</v>
      </c>
      <c r="C103" s="3" t="s">
        <v>227</v>
      </c>
      <c r="D103" s="3" t="s">
        <v>1197</v>
      </c>
      <c r="E103" s="3" t="s">
        <v>594</v>
      </c>
      <c r="F103" s="3" t="s">
        <v>993</v>
      </c>
      <c r="G103" s="4">
        <v>41</v>
      </c>
      <c r="H103" s="3" t="s">
        <v>1198</v>
      </c>
      <c r="I103" s="3" t="s">
        <v>1198</v>
      </c>
      <c r="J103" s="3" t="s">
        <v>285</v>
      </c>
      <c r="K103" s="3" t="s">
        <v>1199</v>
      </c>
      <c r="L103" s="3" t="s">
        <v>1200</v>
      </c>
      <c r="M103" s="3" t="s">
        <v>236</v>
      </c>
      <c r="N103" s="3"/>
      <c r="O103" s="3" t="s">
        <v>1036</v>
      </c>
      <c r="P103" s="3" t="s">
        <v>997</v>
      </c>
      <c r="Q103" s="3" t="s">
        <v>272</v>
      </c>
      <c r="R103" s="3" t="s">
        <v>240</v>
      </c>
      <c r="S103" s="3" t="s">
        <v>241</v>
      </c>
      <c r="T103" s="3" t="s">
        <v>79</v>
      </c>
      <c r="U103" s="3" t="s">
        <v>79</v>
      </c>
      <c r="V103" s="3" t="s">
        <v>242</v>
      </c>
      <c r="W103" s="3" t="s">
        <v>1192</v>
      </c>
      <c r="X103" s="3" t="s">
        <v>1201</v>
      </c>
      <c r="Y103" s="3" t="s">
        <v>244</v>
      </c>
      <c r="Z103" s="3" t="s">
        <v>245</v>
      </c>
      <c r="AA103" s="3" t="s">
        <v>1038</v>
      </c>
      <c r="AB103" s="3" t="s">
        <v>247</v>
      </c>
      <c r="AC103" s="3" t="s">
        <v>247</v>
      </c>
      <c r="AD103" s="3" t="s">
        <v>247</v>
      </c>
      <c r="AE103" s="3" t="s">
        <v>42</v>
      </c>
      <c r="AF103" s="3" t="s">
        <v>9</v>
      </c>
      <c r="AG103" s="3" t="s">
        <v>1202</v>
      </c>
      <c r="AH103" s="3" t="s">
        <v>248</v>
      </c>
      <c r="AI103" s="3"/>
      <c r="AJ103" s="3" t="s">
        <v>1203</v>
      </c>
      <c r="AK103" s="3" t="s">
        <v>249</v>
      </c>
    </row>
    <row r="104" ht="34" spans="1:37">
      <c r="A104" s="3" t="s">
        <v>22</v>
      </c>
      <c r="B104" s="3" t="s">
        <v>156</v>
      </c>
      <c r="C104" s="3" t="s">
        <v>251</v>
      </c>
      <c r="D104" s="3" t="s">
        <v>1204</v>
      </c>
      <c r="E104" s="3" t="s">
        <v>346</v>
      </c>
      <c r="F104" s="3" t="s">
        <v>1205</v>
      </c>
      <c r="G104" s="4">
        <v>36</v>
      </c>
      <c r="H104" s="3" t="s">
        <v>1206</v>
      </c>
      <c r="I104" s="3" t="s">
        <v>1187</v>
      </c>
      <c r="J104" s="3" t="s">
        <v>233</v>
      </c>
      <c r="K104" s="3" t="s">
        <v>1207</v>
      </c>
      <c r="L104" s="3" t="s">
        <v>1208</v>
      </c>
      <c r="M104" s="3" t="s">
        <v>236</v>
      </c>
      <c r="N104" s="3" t="s">
        <v>286</v>
      </c>
      <c r="O104" s="3" t="s">
        <v>1209</v>
      </c>
      <c r="P104" s="3" t="s">
        <v>1187</v>
      </c>
      <c r="Q104" s="3"/>
      <c r="R104" s="3" t="s">
        <v>240</v>
      </c>
      <c r="S104" s="3" t="s">
        <v>241</v>
      </c>
      <c r="T104" s="3" t="s">
        <v>79</v>
      </c>
      <c r="U104" s="3" t="s">
        <v>79</v>
      </c>
      <c r="V104" s="3" t="s">
        <v>242</v>
      </c>
      <c r="W104" s="3" t="s">
        <v>1192</v>
      </c>
      <c r="X104" s="3" t="s">
        <v>1210</v>
      </c>
      <c r="Y104" s="3" t="s">
        <v>244</v>
      </c>
      <c r="Z104" s="3" t="s">
        <v>245</v>
      </c>
      <c r="AA104" s="3" t="s">
        <v>1211</v>
      </c>
      <c r="AB104" s="3" t="s">
        <v>247</v>
      </c>
      <c r="AC104" s="3" t="s">
        <v>247</v>
      </c>
      <c r="AD104" s="3" t="s">
        <v>247</v>
      </c>
      <c r="AE104" s="3"/>
      <c r="AF104" s="3" t="s">
        <v>22</v>
      </c>
      <c r="AG104" s="3" t="s">
        <v>1212</v>
      </c>
      <c r="AH104" s="3" t="s">
        <v>248</v>
      </c>
      <c r="AI104" s="3"/>
      <c r="AJ104" s="3" t="s">
        <v>1213</v>
      </c>
      <c r="AK104" s="3" t="s">
        <v>249</v>
      </c>
    </row>
    <row r="105" ht="34" spans="1:37">
      <c r="A105" s="3" t="s">
        <v>15</v>
      </c>
      <c r="B105" s="3" t="s">
        <v>83</v>
      </c>
      <c r="C105" s="3" t="s">
        <v>227</v>
      </c>
      <c r="D105" s="3" t="s">
        <v>1214</v>
      </c>
      <c r="E105" s="3" t="s">
        <v>384</v>
      </c>
      <c r="F105" s="3" t="s">
        <v>1215</v>
      </c>
      <c r="G105" s="4">
        <v>36</v>
      </c>
      <c r="H105" s="3" t="s">
        <v>1216</v>
      </c>
      <c r="I105" s="3" t="s">
        <v>1187</v>
      </c>
      <c r="J105" s="3" t="s">
        <v>285</v>
      </c>
      <c r="K105" s="3" t="s">
        <v>623</v>
      </c>
      <c r="L105" s="3" t="s">
        <v>1217</v>
      </c>
      <c r="M105" s="3" t="s">
        <v>236</v>
      </c>
      <c r="N105" s="3" t="s">
        <v>286</v>
      </c>
      <c r="O105" s="3" t="s">
        <v>1209</v>
      </c>
      <c r="P105" s="3" t="s">
        <v>1187</v>
      </c>
      <c r="Q105" s="3" t="s">
        <v>272</v>
      </c>
      <c r="R105" s="3" t="s">
        <v>240</v>
      </c>
      <c r="S105" s="3" t="s">
        <v>241</v>
      </c>
      <c r="T105" s="3" t="s">
        <v>79</v>
      </c>
      <c r="U105" s="3" t="s">
        <v>79</v>
      </c>
      <c r="V105" s="3" t="s">
        <v>242</v>
      </c>
      <c r="W105" s="3" t="s">
        <v>1192</v>
      </c>
      <c r="X105" s="3" t="s">
        <v>1218</v>
      </c>
      <c r="Y105" s="3" t="s">
        <v>244</v>
      </c>
      <c r="Z105" s="3" t="s">
        <v>245</v>
      </c>
      <c r="AA105" s="3" t="s">
        <v>1219</v>
      </c>
      <c r="AB105" s="3" t="s">
        <v>247</v>
      </c>
      <c r="AC105" s="3" t="s">
        <v>247</v>
      </c>
      <c r="AD105" s="3" t="s">
        <v>247</v>
      </c>
      <c r="AE105" s="3" t="s">
        <v>48</v>
      </c>
      <c r="AF105" s="3" t="s">
        <v>15</v>
      </c>
      <c r="AG105" s="3" t="s">
        <v>1220</v>
      </c>
      <c r="AH105" s="3" t="s">
        <v>248</v>
      </c>
      <c r="AI105" s="3"/>
      <c r="AJ105" s="3" t="s">
        <v>1221</v>
      </c>
      <c r="AK105" s="3" t="s">
        <v>249</v>
      </c>
    </row>
    <row r="106" ht="34" spans="1:37">
      <c r="A106" s="3" t="s">
        <v>23</v>
      </c>
      <c r="B106" s="3" t="s">
        <v>1222</v>
      </c>
      <c r="C106" s="3" t="s">
        <v>227</v>
      </c>
      <c r="D106" s="3" t="s">
        <v>1223</v>
      </c>
      <c r="E106" s="3" t="s">
        <v>683</v>
      </c>
      <c r="F106" s="3" t="s">
        <v>903</v>
      </c>
      <c r="G106" s="4">
        <v>44</v>
      </c>
      <c r="H106" s="3" t="s">
        <v>1187</v>
      </c>
      <c r="I106" s="3" t="s">
        <v>1187</v>
      </c>
      <c r="J106" s="3" t="s">
        <v>266</v>
      </c>
      <c r="K106" s="3" t="s">
        <v>316</v>
      </c>
      <c r="L106" s="3" t="s">
        <v>1224</v>
      </c>
      <c r="M106" s="3" t="s">
        <v>473</v>
      </c>
      <c r="N106" s="3" t="s">
        <v>512</v>
      </c>
      <c r="O106" s="3"/>
      <c r="P106" s="3" t="s">
        <v>825</v>
      </c>
      <c r="Q106" s="3" t="s">
        <v>272</v>
      </c>
      <c r="R106" s="3" t="s">
        <v>273</v>
      </c>
      <c r="S106" s="3" t="s">
        <v>241</v>
      </c>
      <c r="T106" s="3" t="s">
        <v>79</v>
      </c>
      <c r="U106" s="3" t="s">
        <v>79</v>
      </c>
      <c r="V106" s="3" t="s">
        <v>242</v>
      </c>
      <c r="W106" s="3" t="s">
        <v>1192</v>
      </c>
      <c r="X106" s="3" t="s">
        <v>1225</v>
      </c>
      <c r="Y106" s="3" t="s">
        <v>244</v>
      </c>
      <c r="Z106" s="3" t="s">
        <v>245</v>
      </c>
      <c r="AA106" s="3" t="s">
        <v>319</v>
      </c>
      <c r="AB106" s="3" t="s">
        <v>247</v>
      </c>
      <c r="AC106" s="3" t="s">
        <v>247</v>
      </c>
      <c r="AD106" s="3" t="s">
        <v>247</v>
      </c>
      <c r="AE106" s="3"/>
      <c r="AF106" s="3" t="s">
        <v>277</v>
      </c>
      <c r="AG106" s="3" t="s">
        <v>1226</v>
      </c>
      <c r="AH106" s="3" t="s">
        <v>248</v>
      </c>
      <c r="AI106" s="3"/>
      <c r="AJ106" s="3" t="s">
        <v>1227</v>
      </c>
      <c r="AK106" s="3" t="s">
        <v>249</v>
      </c>
    </row>
    <row r="107" ht="34" spans="1:37">
      <c r="A107" s="3" t="s">
        <v>18</v>
      </c>
      <c r="B107" s="3" t="s">
        <v>106</v>
      </c>
      <c r="C107" s="3" t="s">
        <v>227</v>
      </c>
      <c r="D107" s="3" t="s">
        <v>1228</v>
      </c>
      <c r="E107" s="3" t="s">
        <v>384</v>
      </c>
      <c r="F107" s="3" t="s">
        <v>1229</v>
      </c>
      <c r="G107" s="4">
        <v>35</v>
      </c>
      <c r="H107" s="3" t="s">
        <v>1230</v>
      </c>
      <c r="I107" s="3" t="s">
        <v>1187</v>
      </c>
      <c r="J107" s="3" t="s">
        <v>285</v>
      </c>
      <c r="K107" s="3" t="s">
        <v>1231</v>
      </c>
      <c r="L107" s="3" t="s">
        <v>1232</v>
      </c>
      <c r="M107" s="3" t="s">
        <v>236</v>
      </c>
      <c r="N107" s="3" t="s">
        <v>286</v>
      </c>
      <c r="O107" s="3" t="s">
        <v>887</v>
      </c>
      <c r="P107" s="3" t="s">
        <v>1233</v>
      </c>
      <c r="Q107" s="3" t="s">
        <v>272</v>
      </c>
      <c r="R107" s="3" t="s">
        <v>240</v>
      </c>
      <c r="S107" s="3" t="s">
        <v>241</v>
      </c>
      <c r="T107" s="3" t="s">
        <v>79</v>
      </c>
      <c r="U107" s="3" t="s">
        <v>79</v>
      </c>
      <c r="V107" s="3" t="s">
        <v>242</v>
      </c>
      <c r="W107" s="3" t="s">
        <v>1192</v>
      </c>
      <c r="X107" s="3" t="s">
        <v>1234</v>
      </c>
      <c r="Y107" s="3" t="s">
        <v>244</v>
      </c>
      <c r="Z107" s="3" t="s">
        <v>245</v>
      </c>
      <c r="AA107" s="3" t="s">
        <v>1235</v>
      </c>
      <c r="AB107" s="3" t="s">
        <v>247</v>
      </c>
      <c r="AC107" s="3" t="s">
        <v>247</v>
      </c>
      <c r="AD107" s="3" t="s">
        <v>247</v>
      </c>
      <c r="AE107" s="3" t="s">
        <v>44</v>
      </c>
      <c r="AF107" s="3" t="s">
        <v>18</v>
      </c>
      <c r="AG107" s="3" t="s">
        <v>1236</v>
      </c>
      <c r="AH107" s="3" t="s">
        <v>248</v>
      </c>
      <c r="AI107" s="3"/>
      <c r="AJ107" s="3" t="s">
        <v>1237</v>
      </c>
      <c r="AK107" s="3" t="s">
        <v>249</v>
      </c>
    </row>
    <row r="108" ht="51" spans="1:37">
      <c r="A108" s="3" t="s">
        <v>18</v>
      </c>
      <c r="B108" s="3" t="s">
        <v>113</v>
      </c>
      <c r="C108" s="3" t="s">
        <v>251</v>
      </c>
      <c r="D108" s="3" t="s">
        <v>1238</v>
      </c>
      <c r="E108" s="3" t="s">
        <v>346</v>
      </c>
      <c r="F108" s="3" t="s">
        <v>1097</v>
      </c>
      <c r="G108" s="4">
        <v>36</v>
      </c>
      <c r="H108" s="3" t="s">
        <v>1239</v>
      </c>
      <c r="I108" s="3" t="s">
        <v>1239</v>
      </c>
      <c r="J108" s="3" t="s">
        <v>233</v>
      </c>
      <c r="K108" s="3" t="s">
        <v>1240</v>
      </c>
      <c r="L108" s="3" t="s">
        <v>1241</v>
      </c>
      <c r="M108" s="3" t="s">
        <v>236</v>
      </c>
      <c r="N108" s="3" t="s">
        <v>794</v>
      </c>
      <c r="O108" s="3" t="s">
        <v>1242</v>
      </c>
      <c r="P108" s="3" t="s">
        <v>1239</v>
      </c>
      <c r="Q108" s="3" t="s">
        <v>272</v>
      </c>
      <c r="R108" s="3" t="s">
        <v>240</v>
      </c>
      <c r="S108" s="3" t="s">
        <v>241</v>
      </c>
      <c r="T108" s="3" t="s">
        <v>79</v>
      </c>
      <c r="U108" s="3" t="s">
        <v>79</v>
      </c>
      <c r="V108" s="3" t="s">
        <v>242</v>
      </c>
      <c r="W108" s="3" t="s">
        <v>1192</v>
      </c>
      <c r="X108" s="3" t="s">
        <v>1243</v>
      </c>
      <c r="Y108" s="3" t="s">
        <v>244</v>
      </c>
      <c r="Z108" s="3" t="s">
        <v>245</v>
      </c>
      <c r="AA108" s="3" t="s">
        <v>1244</v>
      </c>
      <c r="AB108" s="3" t="s">
        <v>247</v>
      </c>
      <c r="AC108" s="3" t="s">
        <v>247</v>
      </c>
      <c r="AD108" s="3" t="s">
        <v>247</v>
      </c>
      <c r="AE108" s="3"/>
      <c r="AF108" s="3" t="s">
        <v>18</v>
      </c>
      <c r="AG108" s="3" t="s">
        <v>1245</v>
      </c>
      <c r="AH108" s="3" t="s">
        <v>248</v>
      </c>
      <c r="AI108" s="3"/>
      <c r="AJ108" s="3" t="s">
        <v>1246</v>
      </c>
      <c r="AK108" s="3" t="s">
        <v>249</v>
      </c>
    </row>
    <row r="109" ht="34" spans="1:37">
      <c r="A109" s="3" t="s">
        <v>22</v>
      </c>
      <c r="B109" s="3" t="s">
        <v>158</v>
      </c>
      <c r="C109" s="3" t="s">
        <v>227</v>
      </c>
      <c r="D109" s="3" t="s">
        <v>1247</v>
      </c>
      <c r="E109" s="3" t="s">
        <v>384</v>
      </c>
      <c r="F109" s="3" t="s">
        <v>1248</v>
      </c>
      <c r="G109" s="4">
        <v>36</v>
      </c>
      <c r="H109" s="3" t="s">
        <v>1249</v>
      </c>
      <c r="I109" s="3" t="s">
        <v>1249</v>
      </c>
      <c r="J109" s="3" t="s">
        <v>285</v>
      </c>
      <c r="K109" s="3" t="s">
        <v>766</v>
      </c>
      <c r="L109" s="3" t="s">
        <v>1250</v>
      </c>
      <c r="M109" s="3" t="s">
        <v>236</v>
      </c>
      <c r="N109" s="3" t="s">
        <v>365</v>
      </c>
      <c r="O109" s="3" t="s">
        <v>1251</v>
      </c>
      <c r="P109" s="3" t="s">
        <v>1239</v>
      </c>
      <c r="Q109" s="3" t="s">
        <v>272</v>
      </c>
      <c r="R109" s="3" t="s">
        <v>240</v>
      </c>
      <c r="S109" s="3" t="s">
        <v>241</v>
      </c>
      <c r="T109" s="3" t="s">
        <v>79</v>
      </c>
      <c r="U109" s="3" t="s">
        <v>79</v>
      </c>
      <c r="V109" s="3" t="s">
        <v>242</v>
      </c>
      <c r="W109" s="3" t="s">
        <v>1192</v>
      </c>
      <c r="X109" s="3" t="s">
        <v>1252</v>
      </c>
      <c r="Y109" s="3" t="s">
        <v>244</v>
      </c>
      <c r="Z109" s="3" t="s">
        <v>245</v>
      </c>
      <c r="AA109" s="3" t="s">
        <v>1253</v>
      </c>
      <c r="AB109" s="3" t="s">
        <v>247</v>
      </c>
      <c r="AC109" s="3" t="s">
        <v>247</v>
      </c>
      <c r="AD109" s="3" t="s">
        <v>248</v>
      </c>
      <c r="AE109" s="3" t="s">
        <v>46</v>
      </c>
      <c r="AF109" s="3" t="s">
        <v>22</v>
      </c>
      <c r="AG109" s="3" t="s">
        <v>1254</v>
      </c>
      <c r="AH109" s="3" t="s">
        <v>248</v>
      </c>
      <c r="AI109" s="3"/>
      <c r="AJ109" s="3" t="s">
        <v>1255</v>
      </c>
      <c r="AK109" s="3" t="s">
        <v>249</v>
      </c>
    </row>
    <row r="110" ht="34" spans="1:37">
      <c r="A110" s="3" t="s">
        <v>10</v>
      </c>
      <c r="B110" s="3" t="s">
        <v>1256</v>
      </c>
      <c r="C110" s="3" t="s">
        <v>227</v>
      </c>
      <c r="D110" s="3" t="s">
        <v>1257</v>
      </c>
      <c r="E110" s="3" t="s">
        <v>632</v>
      </c>
      <c r="F110" s="3" t="s">
        <v>1258</v>
      </c>
      <c r="G110" s="4">
        <v>59</v>
      </c>
      <c r="H110" s="3" t="s">
        <v>1259</v>
      </c>
      <c r="I110" s="3" t="s">
        <v>1259</v>
      </c>
      <c r="J110" s="3" t="s">
        <v>266</v>
      </c>
      <c r="K110" s="3"/>
      <c r="L110" s="3" t="s">
        <v>1260</v>
      </c>
      <c r="M110" s="3" t="s">
        <v>298</v>
      </c>
      <c r="N110" s="3" t="s">
        <v>270</v>
      </c>
      <c r="O110" s="3"/>
      <c r="P110" s="3" t="s">
        <v>309</v>
      </c>
      <c r="Q110" s="3" t="s">
        <v>272</v>
      </c>
      <c r="R110" s="3" t="s">
        <v>273</v>
      </c>
      <c r="S110" s="3"/>
      <c r="T110" s="3" t="s">
        <v>79</v>
      </c>
      <c r="U110" s="3" t="s">
        <v>79</v>
      </c>
      <c r="V110" s="3" t="s">
        <v>242</v>
      </c>
      <c r="W110" s="3" t="s">
        <v>1261</v>
      </c>
      <c r="X110" s="3" t="s">
        <v>1102</v>
      </c>
      <c r="Y110" s="3" t="s">
        <v>244</v>
      </c>
      <c r="Z110" s="3" t="s">
        <v>245</v>
      </c>
      <c r="AA110" s="3"/>
      <c r="AB110" s="3" t="s">
        <v>248</v>
      </c>
      <c r="AC110" s="3" t="s">
        <v>247</v>
      </c>
      <c r="AD110" s="3" t="s">
        <v>248</v>
      </c>
      <c r="AE110" s="3"/>
      <c r="AF110" s="3" t="s">
        <v>16</v>
      </c>
      <c r="AG110" s="3" t="s">
        <v>1262</v>
      </c>
      <c r="AH110" s="3" t="s">
        <v>248</v>
      </c>
      <c r="AI110" s="3"/>
      <c r="AJ110" s="3" t="s">
        <v>1263</v>
      </c>
      <c r="AK110" s="3" t="s">
        <v>249</v>
      </c>
    </row>
    <row r="111" ht="34" spans="1:37">
      <c r="A111" s="3" t="s">
        <v>22</v>
      </c>
      <c r="B111" s="3" t="s">
        <v>164</v>
      </c>
      <c r="C111" s="3" t="s">
        <v>251</v>
      </c>
      <c r="D111" s="3" t="s">
        <v>1264</v>
      </c>
      <c r="E111" s="3" t="s">
        <v>229</v>
      </c>
      <c r="F111" s="3" t="s">
        <v>1265</v>
      </c>
      <c r="G111" s="4">
        <v>38</v>
      </c>
      <c r="H111" s="3" t="s">
        <v>1266</v>
      </c>
      <c r="I111" s="3" t="s">
        <v>1266</v>
      </c>
      <c r="J111" s="3" t="s">
        <v>233</v>
      </c>
      <c r="K111" s="3"/>
      <c r="L111" s="3" t="s">
        <v>1267</v>
      </c>
      <c r="M111" s="3" t="s">
        <v>236</v>
      </c>
      <c r="N111" s="3" t="s">
        <v>365</v>
      </c>
      <c r="O111" s="3" t="s">
        <v>1209</v>
      </c>
      <c r="P111" s="3" t="s">
        <v>1063</v>
      </c>
      <c r="Q111" s="3" t="s">
        <v>272</v>
      </c>
      <c r="R111" s="3" t="s">
        <v>240</v>
      </c>
      <c r="S111" s="3" t="s">
        <v>241</v>
      </c>
      <c r="T111" s="3" t="s">
        <v>79</v>
      </c>
      <c r="U111" s="3" t="s">
        <v>79</v>
      </c>
      <c r="V111" s="3" t="s">
        <v>242</v>
      </c>
      <c r="W111" s="3" t="s">
        <v>1261</v>
      </c>
      <c r="X111" s="3" t="s">
        <v>1268</v>
      </c>
      <c r="Y111" s="3" t="s">
        <v>244</v>
      </c>
      <c r="Z111" s="3" t="s">
        <v>245</v>
      </c>
      <c r="AA111" s="3"/>
      <c r="AB111" s="3" t="s">
        <v>248</v>
      </c>
      <c r="AC111" s="3" t="s">
        <v>247</v>
      </c>
      <c r="AD111" s="3" t="s">
        <v>248</v>
      </c>
      <c r="AE111" s="3"/>
      <c r="AF111" s="3" t="s">
        <v>22</v>
      </c>
      <c r="AG111" s="3" t="s">
        <v>1269</v>
      </c>
      <c r="AH111" s="3" t="s">
        <v>248</v>
      </c>
      <c r="AI111" s="3"/>
      <c r="AJ111" s="3" t="s">
        <v>1270</v>
      </c>
      <c r="AK111" s="3" t="s">
        <v>249</v>
      </c>
    </row>
    <row r="112" ht="34" spans="1:37">
      <c r="A112" s="3" t="s">
        <v>15</v>
      </c>
      <c r="B112" s="3" t="s">
        <v>88</v>
      </c>
      <c r="C112" s="3" t="s">
        <v>227</v>
      </c>
      <c r="D112" s="3" t="s">
        <v>1271</v>
      </c>
      <c r="E112" s="3" t="s">
        <v>384</v>
      </c>
      <c r="F112" s="3" t="s">
        <v>1272</v>
      </c>
      <c r="G112" s="4">
        <v>36</v>
      </c>
      <c r="H112" s="3" t="s">
        <v>1273</v>
      </c>
      <c r="I112" s="3" t="s">
        <v>1187</v>
      </c>
      <c r="J112" s="3" t="s">
        <v>285</v>
      </c>
      <c r="K112" s="3" t="s">
        <v>1274</v>
      </c>
      <c r="L112" s="3" t="s">
        <v>1275</v>
      </c>
      <c r="M112" s="3" t="s">
        <v>236</v>
      </c>
      <c r="N112" s="3" t="s">
        <v>1025</v>
      </c>
      <c r="O112" s="3" t="s">
        <v>1209</v>
      </c>
      <c r="P112" s="3" t="s">
        <v>1276</v>
      </c>
      <c r="Q112" s="3" t="s">
        <v>272</v>
      </c>
      <c r="R112" s="3" t="s">
        <v>240</v>
      </c>
      <c r="S112" s="3" t="s">
        <v>289</v>
      </c>
      <c r="T112" s="3" t="s">
        <v>79</v>
      </c>
      <c r="U112" s="3" t="s">
        <v>79</v>
      </c>
      <c r="V112" s="3" t="s">
        <v>242</v>
      </c>
      <c r="W112" s="3" t="s">
        <v>1261</v>
      </c>
      <c r="X112" s="3" t="s">
        <v>1277</v>
      </c>
      <c r="Y112" s="3" t="s">
        <v>244</v>
      </c>
      <c r="Z112" s="3" t="s">
        <v>245</v>
      </c>
      <c r="AA112" s="3" t="s">
        <v>1278</v>
      </c>
      <c r="AB112" s="3" t="s">
        <v>247</v>
      </c>
      <c r="AC112" s="3" t="s">
        <v>247</v>
      </c>
      <c r="AD112" s="3" t="s">
        <v>247</v>
      </c>
      <c r="AE112" s="3" t="s">
        <v>48</v>
      </c>
      <c r="AF112" s="3" t="s">
        <v>15</v>
      </c>
      <c r="AG112" s="3" t="s">
        <v>1279</v>
      </c>
      <c r="AH112" s="3" t="s">
        <v>248</v>
      </c>
      <c r="AI112" s="3"/>
      <c r="AJ112" s="3" t="s">
        <v>1280</v>
      </c>
      <c r="AK112" s="3" t="s">
        <v>249</v>
      </c>
    </row>
    <row r="113" ht="34" spans="1:37">
      <c r="A113" s="3" t="s">
        <v>16</v>
      </c>
      <c r="B113" s="3" t="s">
        <v>96</v>
      </c>
      <c r="C113" s="3" t="s">
        <v>251</v>
      </c>
      <c r="D113" s="3" t="s">
        <v>1281</v>
      </c>
      <c r="E113" s="3" t="s">
        <v>384</v>
      </c>
      <c r="F113" s="3" t="s">
        <v>1282</v>
      </c>
      <c r="G113" s="4">
        <v>39</v>
      </c>
      <c r="H113" s="3" t="s">
        <v>1283</v>
      </c>
      <c r="I113" s="3" t="s">
        <v>1284</v>
      </c>
      <c r="J113" s="3" t="s">
        <v>285</v>
      </c>
      <c r="K113" s="3" t="s">
        <v>766</v>
      </c>
      <c r="L113" s="3" t="s">
        <v>1285</v>
      </c>
      <c r="M113" s="3" t="s">
        <v>236</v>
      </c>
      <c r="N113" s="3" t="s">
        <v>352</v>
      </c>
      <c r="O113" s="3"/>
      <c r="P113" s="3" t="s">
        <v>1171</v>
      </c>
      <c r="Q113" s="3" t="s">
        <v>272</v>
      </c>
      <c r="R113" s="3" t="s">
        <v>240</v>
      </c>
      <c r="S113" s="3"/>
      <c r="T113" s="3" t="s">
        <v>79</v>
      </c>
      <c r="U113" s="3" t="s">
        <v>79</v>
      </c>
      <c r="V113" s="3" t="s">
        <v>242</v>
      </c>
      <c r="W113" s="3" t="s">
        <v>1261</v>
      </c>
      <c r="X113" s="3" t="s">
        <v>1286</v>
      </c>
      <c r="Y113" s="3" t="s">
        <v>244</v>
      </c>
      <c r="Z113" s="3" t="s">
        <v>245</v>
      </c>
      <c r="AA113" s="3" t="s">
        <v>1287</v>
      </c>
      <c r="AB113" s="3" t="s">
        <v>247</v>
      </c>
      <c r="AC113" s="3" t="s">
        <v>247</v>
      </c>
      <c r="AD113" s="3" t="s">
        <v>247</v>
      </c>
      <c r="AE113" s="3" t="s">
        <v>43</v>
      </c>
      <c r="AF113" s="3" t="s">
        <v>16</v>
      </c>
      <c r="AG113" s="3" t="s">
        <v>1288</v>
      </c>
      <c r="AH113" s="3" t="s">
        <v>248</v>
      </c>
      <c r="AI113" s="3"/>
      <c r="AJ113" s="3" t="s">
        <v>1289</v>
      </c>
      <c r="AK113" s="3" t="s">
        <v>249</v>
      </c>
    </row>
    <row r="114" ht="34" spans="1:37">
      <c r="A114" s="3" t="s">
        <v>22</v>
      </c>
      <c r="B114" s="3" t="s">
        <v>166</v>
      </c>
      <c r="C114" s="3" t="s">
        <v>251</v>
      </c>
      <c r="D114" s="3" t="s">
        <v>1290</v>
      </c>
      <c r="E114" s="3" t="s">
        <v>346</v>
      </c>
      <c r="F114" s="3" t="s">
        <v>1291</v>
      </c>
      <c r="G114" s="4">
        <v>40</v>
      </c>
      <c r="H114" s="3" t="s">
        <v>1292</v>
      </c>
      <c r="I114" s="3" t="s">
        <v>1292</v>
      </c>
      <c r="J114" s="3" t="s">
        <v>233</v>
      </c>
      <c r="K114" s="3"/>
      <c r="L114" s="3" t="s">
        <v>1293</v>
      </c>
      <c r="M114" s="3" t="s">
        <v>236</v>
      </c>
      <c r="N114" s="3" t="s">
        <v>365</v>
      </c>
      <c r="O114" s="3" t="s">
        <v>930</v>
      </c>
      <c r="P114" s="3" t="s">
        <v>1027</v>
      </c>
      <c r="Q114" s="3" t="s">
        <v>272</v>
      </c>
      <c r="R114" s="3" t="s">
        <v>240</v>
      </c>
      <c r="S114" s="3" t="s">
        <v>241</v>
      </c>
      <c r="T114" s="3" t="s">
        <v>79</v>
      </c>
      <c r="U114" s="3" t="s">
        <v>79</v>
      </c>
      <c r="V114" s="3" t="s">
        <v>242</v>
      </c>
      <c r="W114" s="3" t="s">
        <v>1261</v>
      </c>
      <c r="X114" s="3" t="s">
        <v>1294</v>
      </c>
      <c r="Y114" s="3" t="s">
        <v>244</v>
      </c>
      <c r="Z114" s="3" t="s">
        <v>245</v>
      </c>
      <c r="AA114" s="3"/>
      <c r="AB114" s="3" t="s">
        <v>248</v>
      </c>
      <c r="AC114" s="3" t="s">
        <v>247</v>
      </c>
      <c r="AD114" s="3" t="s">
        <v>248</v>
      </c>
      <c r="AE114" s="3"/>
      <c r="AF114" s="3" t="s">
        <v>22</v>
      </c>
      <c r="AG114" s="3" t="s">
        <v>1295</v>
      </c>
      <c r="AH114" s="3" t="s">
        <v>248</v>
      </c>
      <c r="AI114" s="3"/>
      <c r="AJ114" s="3" t="s">
        <v>1296</v>
      </c>
      <c r="AK114" s="3" t="s">
        <v>249</v>
      </c>
    </row>
    <row r="115" ht="34" spans="1:37">
      <c r="A115" s="3" t="s">
        <v>16</v>
      </c>
      <c r="B115" s="3" t="s">
        <v>92</v>
      </c>
      <c r="C115" s="3" t="s">
        <v>251</v>
      </c>
      <c r="D115" s="3" t="s">
        <v>1297</v>
      </c>
      <c r="E115" s="3" t="s">
        <v>346</v>
      </c>
      <c r="F115" s="3" t="s">
        <v>1298</v>
      </c>
      <c r="G115" s="4">
        <v>34</v>
      </c>
      <c r="H115" s="3" t="s">
        <v>1299</v>
      </c>
      <c r="I115" s="3" t="s">
        <v>1299</v>
      </c>
      <c r="J115" s="3" t="s">
        <v>233</v>
      </c>
      <c r="K115" s="3" t="s">
        <v>267</v>
      </c>
      <c r="L115" s="3" t="s">
        <v>1300</v>
      </c>
      <c r="M115" s="3" t="s">
        <v>351</v>
      </c>
      <c r="N115" s="3" t="s">
        <v>237</v>
      </c>
      <c r="O115" s="3" t="s">
        <v>950</v>
      </c>
      <c r="P115" s="3" t="s">
        <v>1301</v>
      </c>
      <c r="Q115" s="3" t="s">
        <v>272</v>
      </c>
      <c r="R115" s="3" t="s">
        <v>240</v>
      </c>
      <c r="S115" s="3" t="s">
        <v>1007</v>
      </c>
      <c r="T115" s="3" t="s">
        <v>79</v>
      </c>
      <c r="U115" s="3" t="s">
        <v>79</v>
      </c>
      <c r="V115" s="3" t="s">
        <v>242</v>
      </c>
      <c r="W115" s="3" t="s">
        <v>1261</v>
      </c>
      <c r="X115" s="3" t="s">
        <v>1302</v>
      </c>
      <c r="Y115" s="3" t="s">
        <v>244</v>
      </c>
      <c r="Z115" s="3" t="s">
        <v>245</v>
      </c>
      <c r="AA115" s="3" t="s">
        <v>1303</v>
      </c>
      <c r="AB115" s="3" t="s">
        <v>247</v>
      </c>
      <c r="AC115" s="3" t="s">
        <v>247</v>
      </c>
      <c r="AD115" s="3" t="s">
        <v>247</v>
      </c>
      <c r="AE115" s="3"/>
      <c r="AF115" s="3" t="s">
        <v>16</v>
      </c>
      <c r="AG115" s="3" t="s">
        <v>1304</v>
      </c>
      <c r="AH115" s="3" t="s">
        <v>248</v>
      </c>
      <c r="AI115" s="3"/>
      <c r="AJ115" s="3" t="s">
        <v>1305</v>
      </c>
      <c r="AK115" s="3" t="s">
        <v>249</v>
      </c>
    </row>
    <row r="116" ht="34" spans="1:37">
      <c r="A116" s="3" t="s">
        <v>11</v>
      </c>
      <c r="B116" s="3" t="s">
        <v>45</v>
      </c>
      <c r="C116" s="3" t="s">
        <v>227</v>
      </c>
      <c r="D116" s="3" t="s">
        <v>1306</v>
      </c>
      <c r="E116" s="3" t="s">
        <v>396</v>
      </c>
      <c r="F116" s="3" t="s">
        <v>1160</v>
      </c>
      <c r="G116" s="4">
        <v>38</v>
      </c>
      <c r="H116" s="3" t="s">
        <v>1301</v>
      </c>
      <c r="I116" s="3" t="s">
        <v>1301</v>
      </c>
      <c r="J116" s="3" t="s">
        <v>285</v>
      </c>
      <c r="K116" s="3" t="s">
        <v>1307</v>
      </c>
      <c r="L116" s="3" t="s">
        <v>1308</v>
      </c>
      <c r="M116" s="3" t="s">
        <v>1127</v>
      </c>
      <c r="N116" s="3" t="s">
        <v>1309</v>
      </c>
      <c r="O116" s="3" t="s">
        <v>1209</v>
      </c>
      <c r="P116" s="3" t="s">
        <v>259</v>
      </c>
      <c r="Q116" s="3" t="s">
        <v>272</v>
      </c>
      <c r="R116" s="3" t="s">
        <v>240</v>
      </c>
      <c r="S116" s="3"/>
      <c r="T116" s="3" t="s">
        <v>79</v>
      </c>
      <c r="U116" s="3" t="s">
        <v>79</v>
      </c>
      <c r="V116" s="3" t="s">
        <v>242</v>
      </c>
      <c r="W116" s="3" t="s">
        <v>1261</v>
      </c>
      <c r="X116" s="3" t="s">
        <v>1310</v>
      </c>
      <c r="Y116" s="3" t="s">
        <v>244</v>
      </c>
      <c r="Z116" s="3" t="s">
        <v>245</v>
      </c>
      <c r="AA116" s="3"/>
      <c r="AB116" s="3" t="s">
        <v>248</v>
      </c>
      <c r="AC116" s="3" t="s">
        <v>247</v>
      </c>
      <c r="AD116" s="3" t="s">
        <v>248</v>
      </c>
      <c r="AE116" s="3"/>
      <c r="AF116" s="3" t="s">
        <v>11</v>
      </c>
      <c r="AG116" s="3" t="s">
        <v>1311</v>
      </c>
      <c r="AH116" s="3" t="s">
        <v>248</v>
      </c>
      <c r="AI116" s="3"/>
      <c r="AJ116" s="3" t="s">
        <v>1312</v>
      </c>
      <c r="AK116" s="3" t="s">
        <v>249</v>
      </c>
    </row>
    <row r="117" ht="34" spans="1:37">
      <c r="A117" s="3" t="s">
        <v>21</v>
      </c>
      <c r="B117" s="3" t="s">
        <v>151</v>
      </c>
      <c r="C117" s="3" t="s">
        <v>251</v>
      </c>
      <c r="D117" s="3" t="s">
        <v>1313</v>
      </c>
      <c r="E117" s="3" t="s">
        <v>384</v>
      </c>
      <c r="F117" s="3" t="s">
        <v>1314</v>
      </c>
      <c r="G117" s="4">
        <v>37</v>
      </c>
      <c r="H117" s="3" t="s">
        <v>1315</v>
      </c>
      <c r="I117" s="3" t="s">
        <v>1315</v>
      </c>
      <c r="J117" s="3" t="s">
        <v>285</v>
      </c>
      <c r="K117" s="3"/>
      <c r="L117" s="3" t="s">
        <v>1316</v>
      </c>
      <c r="M117" s="3" t="s">
        <v>236</v>
      </c>
      <c r="N117" s="3" t="s">
        <v>585</v>
      </c>
      <c r="O117" s="3" t="s">
        <v>930</v>
      </c>
      <c r="P117" s="3" t="s">
        <v>1317</v>
      </c>
      <c r="Q117" s="3" t="s">
        <v>272</v>
      </c>
      <c r="R117" s="3" t="s">
        <v>240</v>
      </c>
      <c r="S117" s="3"/>
      <c r="T117" s="3" t="s">
        <v>79</v>
      </c>
      <c r="U117" s="3" t="s">
        <v>79</v>
      </c>
      <c r="V117" s="3" t="s">
        <v>242</v>
      </c>
      <c r="W117" s="3" t="s">
        <v>1261</v>
      </c>
      <c r="X117" s="3" t="s">
        <v>1294</v>
      </c>
      <c r="Y117" s="3" t="s">
        <v>244</v>
      </c>
      <c r="Z117" s="3" t="s">
        <v>245</v>
      </c>
      <c r="AA117" s="3" t="s">
        <v>1318</v>
      </c>
      <c r="AB117" s="3" t="s">
        <v>247</v>
      </c>
      <c r="AC117" s="3" t="s">
        <v>247</v>
      </c>
      <c r="AD117" s="3" t="s">
        <v>247</v>
      </c>
      <c r="AE117" s="3" t="s">
        <v>49</v>
      </c>
      <c r="AF117" s="3" t="s">
        <v>679</v>
      </c>
      <c r="AG117" s="3" t="s">
        <v>1319</v>
      </c>
      <c r="AH117" s="3" t="s">
        <v>248</v>
      </c>
      <c r="AI117" s="3"/>
      <c r="AJ117" s="3" t="s">
        <v>1320</v>
      </c>
      <c r="AK117" s="3" t="s">
        <v>249</v>
      </c>
    </row>
    <row r="118" ht="34" spans="1:37">
      <c r="A118" s="3" t="s">
        <v>22</v>
      </c>
      <c r="B118" s="3" t="s">
        <v>171</v>
      </c>
      <c r="C118" s="3" t="s">
        <v>251</v>
      </c>
      <c r="D118" s="3" t="s">
        <v>1321</v>
      </c>
      <c r="E118" s="3" t="s">
        <v>657</v>
      </c>
      <c r="F118" s="3" t="s">
        <v>1322</v>
      </c>
      <c r="G118" s="4">
        <v>35</v>
      </c>
      <c r="H118" s="3" t="s">
        <v>1323</v>
      </c>
      <c r="I118" s="3" t="s">
        <v>1324</v>
      </c>
      <c r="J118" s="3" t="s">
        <v>233</v>
      </c>
      <c r="K118" s="3"/>
      <c r="L118" s="3" t="s">
        <v>1325</v>
      </c>
      <c r="M118" s="3" t="s">
        <v>236</v>
      </c>
      <c r="N118" s="3" t="s">
        <v>365</v>
      </c>
      <c r="O118" s="3" t="s">
        <v>482</v>
      </c>
      <c r="P118" s="3" t="s">
        <v>1326</v>
      </c>
      <c r="Q118" s="3" t="s">
        <v>272</v>
      </c>
      <c r="R118" s="3"/>
      <c r="S118" s="3"/>
      <c r="T118" s="3" t="s">
        <v>79</v>
      </c>
      <c r="U118" s="3" t="s">
        <v>79</v>
      </c>
      <c r="V118" s="3" t="s">
        <v>242</v>
      </c>
      <c r="W118" s="3" t="s">
        <v>1327</v>
      </c>
      <c r="X118" s="3" t="s">
        <v>1328</v>
      </c>
      <c r="Y118" s="3" t="s">
        <v>244</v>
      </c>
      <c r="Z118" s="3" t="s">
        <v>245</v>
      </c>
      <c r="AA118" s="3" t="s">
        <v>1329</v>
      </c>
      <c r="AB118" s="3" t="s">
        <v>247</v>
      </c>
      <c r="AC118" s="3" t="s">
        <v>247</v>
      </c>
      <c r="AD118" s="3" t="s">
        <v>248</v>
      </c>
      <c r="AE118" s="3"/>
      <c r="AF118" s="3" t="s">
        <v>22</v>
      </c>
      <c r="AG118" s="3" t="s">
        <v>1330</v>
      </c>
      <c r="AH118" s="3" t="s">
        <v>248</v>
      </c>
      <c r="AI118" s="3"/>
      <c r="AJ118" s="3" t="s">
        <v>1331</v>
      </c>
      <c r="AK118" s="3" t="s">
        <v>249</v>
      </c>
    </row>
    <row r="119" ht="34" spans="1:37">
      <c r="A119" s="3" t="s">
        <v>22</v>
      </c>
      <c r="B119" s="3" t="s">
        <v>178</v>
      </c>
      <c r="C119" s="3" t="s">
        <v>227</v>
      </c>
      <c r="D119" s="3" t="s">
        <v>1332</v>
      </c>
      <c r="E119" s="3" t="s">
        <v>657</v>
      </c>
      <c r="F119" s="3" t="s">
        <v>1333</v>
      </c>
      <c r="G119" s="4">
        <v>33</v>
      </c>
      <c r="H119" s="3" t="s">
        <v>1334</v>
      </c>
      <c r="I119" s="3" t="s">
        <v>1334</v>
      </c>
      <c r="J119" s="3" t="s">
        <v>233</v>
      </c>
      <c r="K119" s="3" t="s">
        <v>1335</v>
      </c>
      <c r="L119" s="3" t="s">
        <v>1336</v>
      </c>
      <c r="M119" s="3" t="s">
        <v>236</v>
      </c>
      <c r="N119" s="3"/>
      <c r="O119" s="3" t="s">
        <v>930</v>
      </c>
      <c r="P119" s="3" t="s">
        <v>1337</v>
      </c>
      <c r="Q119" s="3" t="s">
        <v>272</v>
      </c>
      <c r="R119" s="3" t="s">
        <v>240</v>
      </c>
      <c r="S119" s="3"/>
      <c r="T119" s="3" t="s">
        <v>79</v>
      </c>
      <c r="U119" s="3" t="s">
        <v>79</v>
      </c>
      <c r="V119" s="3" t="s">
        <v>242</v>
      </c>
      <c r="W119" s="3" t="s">
        <v>1327</v>
      </c>
      <c r="X119" s="3" t="s">
        <v>1338</v>
      </c>
      <c r="Y119" s="3" t="s">
        <v>244</v>
      </c>
      <c r="Z119" s="3" t="s">
        <v>245</v>
      </c>
      <c r="AA119" s="3" t="s">
        <v>1339</v>
      </c>
      <c r="AB119" s="3" t="s">
        <v>247</v>
      </c>
      <c r="AC119" s="3" t="s">
        <v>247</v>
      </c>
      <c r="AD119" s="3" t="s">
        <v>248</v>
      </c>
      <c r="AE119" s="3"/>
      <c r="AF119" s="3" t="s">
        <v>22</v>
      </c>
      <c r="AG119" s="3" t="s">
        <v>1340</v>
      </c>
      <c r="AH119" s="3" t="s">
        <v>248</v>
      </c>
      <c r="AI119" s="3"/>
      <c r="AJ119" s="3" t="s">
        <v>1341</v>
      </c>
      <c r="AK119" s="3" t="s">
        <v>249</v>
      </c>
    </row>
    <row r="120" ht="34" spans="1:37">
      <c r="A120" s="3" t="s">
        <v>15</v>
      </c>
      <c r="B120" s="3" t="s">
        <v>87</v>
      </c>
      <c r="C120" s="3" t="s">
        <v>251</v>
      </c>
      <c r="D120" s="3" t="s">
        <v>1342</v>
      </c>
      <c r="E120" s="3" t="s">
        <v>384</v>
      </c>
      <c r="F120" s="3" t="s">
        <v>1322</v>
      </c>
      <c r="G120" s="4">
        <v>35</v>
      </c>
      <c r="H120" s="3" t="s">
        <v>1299</v>
      </c>
      <c r="I120" s="3" t="s">
        <v>1299</v>
      </c>
      <c r="J120" s="3" t="s">
        <v>285</v>
      </c>
      <c r="K120" s="3" t="s">
        <v>1343</v>
      </c>
      <c r="L120" s="3" t="s">
        <v>1344</v>
      </c>
      <c r="M120" s="3" t="s">
        <v>236</v>
      </c>
      <c r="N120" s="3" t="s">
        <v>286</v>
      </c>
      <c r="O120" s="3" t="s">
        <v>1209</v>
      </c>
      <c r="P120" s="3" t="s">
        <v>1301</v>
      </c>
      <c r="Q120" s="3" t="s">
        <v>272</v>
      </c>
      <c r="R120" s="3" t="s">
        <v>240</v>
      </c>
      <c r="S120" s="3" t="s">
        <v>289</v>
      </c>
      <c r="T120" s="3" t="s">
        <v>79</v>
      </c>
      <c r="U120" s="3" t="s">
        <v>79</v>
      </c>
      <c r="V120" s="3" t="s">
        <v>242</v>
      </c>
      <c r="W120" s="3" t="s">
        <v>1327</v>
      </c>
      <c r="X120" s="3" t="s">
        <v>1345</v>
      </c>
      <c r="Y120" s="3" t="s">
        <v>244</v>
      </c>
      <c r="Z120" s="3" t="s">
        <v>245</v>
      </c>
      <c r="AA120" s="3" t="s">
        <v>1346</v>
      </c>
      <c r="AB120" s="3" t="s">
        <v>247</v>
      </c>
      <c r="AC120" s="3" t="s">
        <v>247</v>
      </c>
      <c r="AD120" s="3" t="s">
        <v>247</v>
      </c>
      <c r="AE120" s="3" t="s">
        <v>48</v>
      </c>
      <c r="AF120" s="3" t="s">
        <v>15</v>
      </c>
      <c r="AG120" s="3" t="s">
        <v>1347</v>
      </c>
      <c r="AH120" s="3" t="s">
        <v>248</v>
      </c>
      <c r="AI120" s="3"/>
      <c r="AJ120" s="3" t="s">
        <v>1348</v>
      </c>
      <c r="AK120" s="3" t="s">
        <v>249</v>
      </c>
    </row>
    <row r="121" ht="34" spans="1:37">
      <c r="A121" s="3" t="s">
        <v>19</v>
      </c>
      <c r="B121" s="3" t="s">
        <v>1349</v>
      </c>
      <c r="C121" s="3" t="s">
        <v>251</v>
      </c>
      <c r="D121" s="3" t="s">
        <v>1350</v>
      </c>
      <c r="E121" s="3" t="s">
        <v>360</v>
      </c>
      <c r="F121" s="3" t="s">
        <v>1351</v>
      </c>
      <c r="G121" s="4">
        <v>31</v>
      </c>
      <c r="H121" s="3" t="s">
        <v>1334</v>
      </c>
      <c r="I121" s="3" t="s">
        <v>1334</v>
      </c>
      <c r="J121" s="3" t="s">
        <v>233</v>
      </c>
      <c r="K121" s="3"/>
      <c r="L121" s="3" t="s">
        <v>1352</v>
      </c>
      <c r="M121" s="3" t="s">
        <v>351</v>
      </c>
      <c r="N121" s="3" t="s">
        <v>502</v>
      </c>
      <c r="O121" s="3" t="s">
        <v>1353</v>
      </c>
      <c r="P121" s="3" t="s">
        <v>1337</v>
      </c>
      <c r="Q121" s="3" t="s">
        <v>272</v>
      </c>
      <c r="R121" s="3" t="s">
        <v>240</v>
      </c>
      <c r="S121" s="3"/>
      <c r="T121" s="3" t="s">
        <v>79</v>
      </c>
      <c r="U121" s="3" t="s">
        <v>79</v>
      </c>
      <c r="V121" s="3" t="s">
        <v>242</v>
      </c>
      <c r="W121" s="3" t="s">
        <v>1327</v>
      </c>
      <c r="X121" s="3" t="s">
        <v>1354</v>
      </c>
      <c r="Y121" s="3" t="s">
        <v>244</v>
      </c>
      <c r="Z121" s="3" t="s">
        <v>245</v>
      </c>
      <c r="AA121" s="3" t="s">
        <v>1355</v>
      </c>
      <c r="AB121" s="3" t="s">
        <v>247</v>
      </c>
      <c r="AC121" s="3" t="s">
        <v>247</v>
      </c>
      <c r="AD121" s="3" t="s">
        <v>247</v>
      </c>
      <c r="AE121" s="3"/>
      <c r="AF121" s="3" t="s">
        <v>19</v>
      </c>
      <c r="AG121" s="3" t="s">
        <v>1356</v>
      </c>
      <c r="AH121" s="3" t="s">
        <v>248</v>
      </c>
      <c r="AI121" s="3"/>
      <c r="AJ121" s="3" t="s">
        <v>1357</v>
      </c>
      <c r="AK121" s="3" t="s">
        <v>249</v>
      </c>
    </row>
    <row r="122" ht="34" spans="1:37">
      <c r="A122" s="3" t="s">
        <v>23</v>
      </c>
      <c r="B122" s="3" t="s">
        <v>1358</v>
      </c>
      <c r="C122" s="3" t="s">
        <v>227</v>
      </c>
      <c r="D122" s="3" t="s">
        <v>1359</v>
      </c>
      <c r="E122" s="3" t="s">
        <v>683</v>
      </c>
      <c r="F122" s="3" t="s">
        <v>1360</v>
      </c>
      <c r="G122" s="4">
        <v>32</v>
      </c>
      <c r="H122" s="3" t="s">
        <v>1361</v>
      </c>
      <c r="I122" s="3" t="s">
        <v>1361</v>
      </c>
      <c r="J122" s="3" t="s">
        <v>266</v>
      </c>
      <c r="K122" s="3"/>
      <c r="L122" s="3"/>
      <c r="M122" s="3" t="s">
        <v>351</v>
      </c>
      <c r="N122" s="3" t="s">
        <v>1362</v>
      </c>
      <c r="O122" s="3"/>
      <c r="P122" s="3" t="s">
        <v>1363</v>
      </c>
      <c r="Q122" s="3" t="s">
        <v>272</v>
      </c>
      <c r="R122" s="3" t="s">
        <v>273</v>
      </c>
      <c r="S122" s="3"/>
      <c r="T122" s="3" t="s">
        <v>79</v>
      </c>
      <c r="U122" s="3" t="s">
        <v>79</v>
      </c>
      <c r="V122" s="3" t="s">
        <v>242</v>
      </c>
      <c r="W122" s="3" t="s">
        <v>1327</v>
      </c>
      <c r="X122" s="3" t="s">
        <v>1364</v>
      </c>
      <c r="Y122" s="3" t="s">
        <v>244</v>
      </c>
      <c r="Z122" s="3" t="s">
        <v>245</v>
      </c>
      <c r="AA122" s="3"/>
      <c r="AB122" s="3" t="s">
        <v>248</v>
      </c>
      <c r="AC122" s="3" t="s">
        <v>247</v>
      </c>
      <c r="AD122" s="3" t="s">
        <v>247</v>
      </c>
      <c r="AE122" s="3"/>
      <c r="AF122" s="3" t="s">
        <v>277</v>
      </c>
      <c r="AG122" s="3" t="s">
        <v>1365</v>
      </c>
      <c r="AH122" s="3" t="s">
        <v>248</v>
      </c>
      <c r="AI122" s="3"/>
      <c r="AJ122" s="3" t="s">
        <v>1366</v>
      </c>
      <c r="AK122" s="3" t="s">
        <v>249</v>
      </c>
    </row>
    <row r="123" ht="34" spans="1:37">
      <c r="A123" s="3" t="s">
        <v>20</v>
      </c>
      <c r="B123" s="3" t="s">
        <v>1367</v>
      </c>
      <c r="C123" s="3" t="s">
        <v>227</v>
      </c>
      <c r="D123" s="3" t="s">
        <v>1368</v>
      </c>
      <c r="E123" s="3" t="s">
        <v>384</v>
      </c>
      <c r="F123" s="3" t="s">
        <v>1369</v>
      </c>
      <c r="G123" s="4">
        <v>58</v>
      </c>
      <c r="H123" s="3" t="s">
        <v>1370</v>
      </c>
      <c r="I123" s="3" t="s">
        <v>1371</v>
      </c>
      <c r="J123" s="3" t="s">
        <v>285</v>
      </c>
      <c r="K123" s="3" t="s">
        <v>766</v>
      </c>
      <c r="L123" s="3" t="s">
        <v>1372</v>
      </c>
      <c r="M123" s="3" t="s">
        <v>351</v>
      </c>
      <c r="N123" s="3" t="s">
        <v>352</v>
      </c>
      <c r="O123" s="3"/>
      <c r="P123" s="3"/>
      <c r="Q123" s="3" t="s">
        <v>272</v>
      </c>
      <c r="R123" s="3" t="s">
        <v>240</v>
      </c>
      <c r="S123" s="3"/>
      <c r="T123" s="3" t="s">
        <v>79</v>
      </c>
      <c r="U123" s="3" t="s">
        <v>79</v>
      </c>
      <c r="V123" s="3" t="s">
        <v>242</v>
      </c>
      <c r="W123" s="3" t="s">
        <v>1327</v>
      </c>
      <c r="X123" s="3" t="s">
        <v>1364</v>
      </c>
      <c r="Y123" s="3" t="s">
        <v>244</v>
      </c>
      <c r="Z123" s="3" t="s">
        <v>245</v>
      </c>
      <c r="AA123" s="3" t="s">
        <v>1373</v>
      </c>
      <c r="AB123" s="3" t="s">
        <v>247</v>
      </c>
      <c r="AC123" s="3" t="s">
        <v>247</v>
      </c>
      <c r="AD123" s="3" t="s">
        <v>247</v>
      </c>
      <c r="AE123" s="3" t="s">
        <v>51</v>
      </c>
      <c r="AF123" s="3" t="s">
        <v>13</v>
      </c>
      <c r="AG123" s="3" t="s">
        <v>1374</v>
      </c>
      <c r="AH123" s="3" t="s">
        <v>248</v>
      </c>
      <c r="AI123" s="3"/>
      <c r="AJ123" s="3" t="s">
        <v>1375</v>
      </c>
      <c r="AK123" s="3" t="s">
        <v>249</v>
      </c>
    </row>
    <row r="124" ht="34" spans="1:37">
      <c r="A124" s="3" t="s">
        <v>10</v>
      </c>
      <c r="B124" s="3" t="s">
        <v>1376</v>
      </c>
      <c r="C124" s="3" t="s">
        <v>227</v>
      </c>
      <c r="D124" s="3" t="s">
        <v>1377</v>
      </c>
      <c r="E124" s="3" t="s">
        <v>346</v>
      </c>
      <c r="F124" s="3" t="s">
        <v>1116</v>
      </c>
      <c r="G124" s="4">
        <v>37</v>
      </c>
      <c r="H124" s="3" t="s">
        <v>1301</v>
      </c>
      <c r="I124" s="3" t="s">
        <v>1301</v>
      </c>
      <c r="J124" s="3" t="s">
        <v>233</v>
      </c>
      <c r="K124" s="3"/>
      <c r="L124" s="3" t="s">
        <v>1378</v>
      </c>
      <c r="M124" s="3" t="s">
        <v>351</v>
      </c>
      <c r="N124" s="3" t="s">
        <v>352</v>
      </c>
      <c r="O124" s="3" t="s">
        <v>1379</v>
      </c>
      <c r="P124" s="3" t="s">
        <v>1380</v>
      </c>
      <c r="Q124" s="3"/>
      <c r="R124" s="3" t="s">
        <v>240</v>
      </c>
      <c r="S124" s="3" t="s">
        <v>289</v>
      </c>
      <c r="T124" s="3" t="s">
        <v>79</v>
      </c>
      <c r="U124" s="3" t="s">
        <v>79</v>
      </c>
      <c r="V124" s="3" t="s">
        <v>242</v>
      </c>
      <c r="W124" s="3" t="s">
        <v>1327</v>
      </c>
      <c r="X124" s="3" t="s">
        <v>1294</v>
      </c>
      <c r="Y124" s="3" t="s">
        <v>244</v>
      </c>
      <c r="Z124" s="3" t="s">
        <v>245</v>
      </c>
      <c r="AA124" s="3"/>
      <c r="AB124" s="3" t="s">
        <v>248</v>
      </c>
      <c r="AC124" s="3" t="s">
        <v>247</v>
      </c>
      <c r="AD124" s="3" t="s">
        <v>248</v>
      </c>
      <c r="AE124" s="3"/>
      <c r="AF124" s="3" t="s">
        <v>10</v>
      </c>
      <c r="AG124" s="3" t="s">
        <v>1381</v>
      </c>
      <c r="AH124" s="3" t="s">
        <v>248</v>
      </c>
      <c r="AI124" s="3"/>
      <c r="AJ124" s="3" t="s">
        <v>1382</v>
      </c>
      <c r="AK124" s="3" t="s">
        <v>249</v>
      </c>
    </row>
    <row r="125" ht="34" spans="1:37">
      <c r="A125" s="3" t="s">
        <v>14</v>
      </c>
      <c r="B125" s="3" t="s">
        <v>69</v>
      </c>
      <c r="C125" s="3" t="s">
        <v>227</v>
      </c>
      <c r="D125" s="3" t="s">
        <v>1383</v>
      </c>
      <c r="E125" s="3" t="s">
        <v>334</v>
      </c>
      <c r="F125" s="3" t="s">
        <v>1116</v>
      </c>
      <c r="G125" s="4">
        <v>37</v>
      </c>
      <c r="H125" s="3" t="s">
        <v>1334</v>
      </c>
      <c r="I125" s="3" t="s">
        <v>1334</v>
      </c>
      <c r="J125" s="3" t="s">
        <v>285</v>
      </c>
      <c r="K125" s="3"/>
      <c r="L125" s="3" t="s">
        <v>1384</v>
      </c>
      <c r="M125" s="3" t="s">
        <v>1127</v>
      </c>
      <c r="N125" s="3" t="s">
        <v>286</v>
      </c>
      <c r="O125" s="3" t="s">
        <v>1385</v>
      </c>
      <c r="P125" s="3" t="s">
        <v>1337</v>
      </c>
      <c r="Q125" s="3" t="s">
        <v>272</v>
      </c>
      <c r="R125" s="3" t="s">
        <v>240</v>
      </c>
      <c r="S125" s="3"/>
      <c r="T125" s="3" t="s">
        <v>79</v>
      </c>
      <c r="U125" s="3" t="s">
        <v>79</v>
      </c>
      <c r="V125" s="3" t="s">
        <v>242</v>
      </c>
      <c r="W125" s="3" t="s">
        <v>1327</v>
      </c>
      <c r="X125" s="3" t="s">
        <v>1294</v>
      </c>
      <c r="Y125" s="3" t="s">
        <v>244</v>
      </c>
      <c r="Z125" s="3" t="s">
        <v>245</v>
      </c>
      <c r="AA125" s="3" t="s">
        <v>1386</v>
      </c>
      <c r="AB125" s="3" t="s">
        <v>247</v>
      </c>
      <c r="AC125" s="3" t="s">
        <v>247</v>
      </c>
      <c r="AD125" s="3" t="s">
        <v>247</v>
      </c>
      <c r="AE125" s="3" t="s">
        <v>589</v>
      </c>
      <c r="AF125" s="3" t="s">
        <v>590</v>
      </c>
      <c r="AG125" s="3" t="s">
        <v>1387</v>
      </c>
      <c r="AH125" s="3" t="s">
        <v>248</v>
      </c>
      <c r="AI125" s="3"/>
      <c r="AJ125" s="3" t="s">
        <v>1388</v>
      </c>
      <c r="AK125" s="3" t="s">
        <v>249</v>
      </c>
    </row>
    <row r="126" ht="34" spans="1:37">
      <c r="A126" s="3" t="s">
        <v>20</v>
      </c>
      <c r="B126" s="3" t="s">
        <v>136</v>
      </c>
      <c r="C126" s="3" t="s">
        <v>251</v>
      </c>
      <c r="D126" s="3" t="s">
        <v>1389</v>
      </c>
      <c r="E126" s="3" t="s">
        <v>414</v>
      </c>
      <c r="F126" s="3" t="s">
        <v>1390</v>
      </c>
      <c r="G126" s="4">
        <v>45</v>
      </c>
      <c r="H126" s="3" t="s">
        <v>1391</v>
      </c>
      <c r="I126" s="3" t="s">
        <v>1392</v>
      </c>
      <c r="J126" s="3" t="s">
        <v>233</v>
      </c>
      <c r="K126" s="3"/>
      <c r="L126" s="3" t="s">
        <v>1393</v>
      </c>
      <c r="M126" s="3" t="s">
        <v>236</v>
      </c>
      <c r="N126" s="3" t="s">
        <v>352</v>
      </c>
      <c r="O126" s="3"/>
      <c r="P126" s="3" t="s">
        <v>1394</v>
      </c>
      <c r="Q126" s="3" t="s">
        <v>272</v>
      </c>
      <c r="R126" s="3" t="s">
        <v>240</v>
      </c>
      <c r="S126" s="3"/>
      <c r="T126" s="3" t="s">
        <v>79</v>
      </c>
      <c r="U126" s="3" t="s">
        <v>79</v>
      </c>
      <c r="V126" s="3" t="s">
        <v>242</v>
      </c>
      <c r="W126" s="3" t="s">
        <v>1327</v>
      </c>
      <c r="X126" s="3" t="s">
        <v>1294</v>
      </c>
      <c r="Y126" s="3" t="s">
        <v>244</v>
      </c>
      <c r="Z126" s="3" t="s">
        <v>245</v>
      </c>
      <c r="AA126" s="3" t="s">
        <v>1395</v>
      </c>
      <c r="AB126" s="3" t="s">
        <v>247</v>
      </c>
      <c r="AC126" s="3" t="s">
        <v>247</v>
      </c>
      <c r="AD126" s="3" t="s">
        <v>247</v>
      </c>
      <c r="AE126" s="3"/>
      <c r="AF126" s="3" t="s">
        <v>13</v>
      </c>
      <c r="AG126" s="3" t="s">
        <v>1396</v>
      </c>
      <c r="AH126" s="3" t="s">
        <v>248</v>
      </c>
      <c r="AI126" s="3"/>
      <c r="AJ126" s="3" t="s">
        <v>1397</v>
      </c>
      <c r="AK126" s="3" t="s">
        <v>249</v>
      </c>
    </row>
    <row r="127" ht="51" spans="1:37">
      <c r="A127" s="3" t="s">
        <v>18</v>
      </c>
      <c r="B127" s="3" t="s">
        <v>107</v>
      </c>
      <c r="C127" s="3" t="s">
        <v>227</v>
      </c>
      <c r="D127" s="3" t="s">
        <v>1398</v>
      </c>
      <c r="E127" s="3" t="s">
        <v>346</v>
      </c>
      <c r="F127" s="3" t="s">
        <v>1399</v>
      </c>
      <c r="G127" s="4">
        <v>30</v>
      </c>
      <c r="H127" s="3" t="s">
        <v>1400</v>
      </c>
      <c r="I127" s="3" t="s">
        <v>1400</v>
      </c>
      <c r="J127" s="3" t="s">
        <v>233</v>
      </c>
      <c r="K127" s="3" t="s">
        <v>1307</v>
      </c>
      <c r="L127" s="3" t="s">
        <v>1401</v>
      </c>
      <c r="M127" s="3" t="s">
        <v>236</v>
      </c>
      <c r="N127" s="3" t="s">
        <v>352</v>
      </c>
      <c r="O127" s="3" t="s">
        <v>1402</v>
      </c>
      <c r="P127" s="3" t="s">
        <v>1403</v>
      </c>
      <c r="Q127" s="3" t="s">
        <v>272</v>
      </c>
      <c r="R127" s="3" t="s">
        <v>240</v>
      </c>
      <c r="S127" s="3" t="s">
        <v>1007</v>
      </c>
      <c r="T127" s="3" t="s">
        <v>79</v>
      </c>
      <c r="U127" s="3" t="s">
        <v>79</v>
      </c>
      <c r="V127" s="3" t="s">
        <v>242</v>
      </c>
      <c r="W127" s="3" t="s">
        <v>1404</v>
      </c>
      <c r="X127" s="3" t="s">
        <v>1405</v>
      </c>
      <c r="Y127" s="3" t="s">
        <v>244</v>
      </c>
      <c r="Z127" s="3" t="s">
        <v>245</v>
      </c>
      <c r="AA127" s="3" t="s">
        <v>1406</v>
      </c>
      <c r="AB127" s="3" t="s">
        <v>247</v>
      </c>
      <c r="AC127" s="3" t="s">
        <v>247</v>
      </c>
      <c r="AD127" s="3" t="s">
        <v>247</v>
      </c>
      <c r="AE127" s="3"/>
      <c r="AF127" s="3" t="s">
        <v>18</v>
      </c>
      <c r="AG127" s="3" t="s">
        <v>1407</v>
      </c>
      <c r="AH127" s="3" t="s">
        <v>248</v>
      </c>
      <c r="AI127" s="3"/>
      <c r="AJ127" s="3" t="s">
        <v>1408</v>
      </c>
      <c r="AK127" s="3" t="s">
        <v>249</v>
      </c>
    </row>
    <row r="128" ht="34" spans="1:37">
      <c r="A128" s="3" t="s">
        <v>16</v>
      </c>
      <c r="B128" s="3" t="s">
        <v>97</v>
      </c>
      <c r="C128" s="3" t="s">
        <v>251</v>
      </c>
      <c r="D128" s="3" t="s">
        <v>1409</v>
      </c>
      <c r="E128" s="3" t="s">
        <v>1410</v>
      </c>
      <c r="F128" s="3" t="s">
        <v>1411</v>
      </c>
      <c r="G128" s="4">
        <v>32</v>
      </c>
      <c r="H128" s="3" t="s">
        <v>1412</v>
      </c>
      <c r="I128" s="3" t="s">
        <v>1413</v>
      </c>
      <c r="J128" s="3" t="s">
        <v>266</v>
      </c>
      <c r="K128" s="3"/>
      <c r="L128" s="3" t="s">
        <v>1414</v>
      </c>
      <c r="M128" s="3" t="s">
        <v>351</v>
      </c>
      <c r="N128" s="3" t="s">
        <v>237</v>
      </c>
      <c r="O128" s="3" t="s">
        <v>1415</v>
      </c>
      <c r="P128" s="3" t="s">
        <v>1416</v>
      </c>
      <c r="Q128" s="3"/>
      <c r="R128" s="3" t="s">
        <v>273</v>
      </c>
      <c r="S128" s="3"/>
      <c r="T128" s="3" t="s">
        <v>79</v>
      </c>
      <c r="U128" s="3" t="s">
        <v>79</v>
      </c>
      <c r="V128" s="3" t="s">
        <v>242</v>
      </c>
      <c r="W128" s="3" t="s">
        <v>1404</v>
      </c>
      <c r="X128" s="3" t="s">
        <v>1417</v>
      </c>
      <c r="Y128" s="3" t="s">
        <v>244</v>
      </c>
      <c r="Z128" s="3" t="s">
        <v>245</v>
      </c>
      <c r="AA128" s="3" t="s">
        <v>1418</v>
      </c>
      <c r="AB128" s="3" t="s">
        <v>247</v>
      </c>
      <c r="AC128" s="3" t="s">
        <v>247</v>
      </c>
      <c r="AD128" s="3" t="s">
        <v>247</v>
      </c>
      <c r="AE128" s="3"/>
      <c r="AF128" s="3" t="s">
        <v>16</v>
      </c>
      <c r="AG128" s="3" t="s">
        <v>1419</v>
      </c>
      <c r="AH128" s="3" t="s">
        <v>248</v>
      </c>
      <c r="AI128" s="3"/>
      <c r="AJ128" s="3" t="s">
        <v>1420</v>
      </c>
      <c r="AK128" s="3" t="s">
        <v>249</v>
      </c>
    </row>
    <row r="129" ht="34" spans="1:37">
      <c r="A129" s="3" t="s">
        <v>9</v>
      </c>
      <c r="B129" s="3" t="s">
        <v>1421</v>
      </c>
      <c r="C129" s="3" t="s">
        <v>251</v>
      </c>
      <c r="D129" s="3" t="s">
        <v>1422</v>
      </c>
      <c r="E129" s="3" t="s">
        <v>229</v>
      </c>
      <c r="F129" s="3" t="s">
        <v>1423</v>
      </c>
      <c r="G129" s="4">
        <v>31</v>
      </c>
      <c r="H129" s="3" t="s">
        <v>1424</v>
      </c>
      <c r="I129" s="3" t="s">
        <v>1424</v>
      </c>
      <c r="J129" s="3" t="s">
        <v>233</v>
      </c>
      <c r="K129" s="3" t="s">
        <v>1425</v>
      </c>
      <c r="L129" s="3" t="s">
        <v>1426</v>
      </c>
      <c r="M129" s="3" t="s">
        <v>236</v>
      </c>
      <c r="N129" s="3"/>
      <c r="O129" s="3" t="s">
        <v>1427</v>
      </c>
      <c r="P129" s="3" t="s">
        <v>1428</v>
      </c>
      <c r="Q129" s="3" t="s">
        <v>272</v>
      </c>
      <c r="R129" s="3" t="s">
        <v>240</v>
      </c>
      <c r="S129" s="3"/>
      <c r="T129" s="3" t="s">
        <v>79</v>
      </c>
      <c r="U129" s="3" t="s">
        <v>79</v>
      </c>
      <c r="V129" s="3" t="s">
        <v>242</v>
      </c>
      <c r="W129" s="3" t="s">
        <v>1404</v>
      </c>
      <c r="X129" s="3" t="s">
        <v>1429</v>
      </c>
      <c r="Y129" s="3" t="s">
        <v>244</v>
      </c>
      <c r="Z129" s="3" t="s">
        <v>245</v>
      </c>
      <c r="AA129" s="3" t="s">
        <v>1430</v>
      </c>
      <c r="AB129" s="3" t="s">
        <v>247</v>
      </c>
      <c r="AC129" s="3" t="s">
        <v>247</v>
      </c>
      <c r="AD129" s="3" t="s">
        <v>247</v>
      </c>
      <c r="AE129" s="3"/>
      <c r="AF129" s="3" t="s">
        <v>9</v>
      </c>
      <c r="AG129" s="3" t="s">
        <v>1431</v>
      </c>
      <c r="AH129" s="3" t="s">
        <v>248</v>
      </c>
      <c r="AI129" s="3"/>
      <c r="AJ129" s="3" t="s">
        <v>1432</v>
      </c>
      <c r="AK129" s="3" t="s">
        <v>249</v>
      </c>
    </row>
    <row r="130" ht="51" spans="1:37">
      <c r="A130" s="3" t="s">
        <v>23</v>
      </c>
      <c r="B130" s="3" t="s">
        <v>1433</v>
      </c>
      <c r="C130" s="3" t="s">
        <v>227</v>
      </c>
      <c r="D130" s="3" t="s">
        <v>1434</v>
      </c>
      <c r="E130" s="3" t="s">
        <v>683</v>
      </c>
      <c r="F130" s="3" t="s">
        <v>821</v>
      </c>
      <c r="G130" s="4">
        <v>48</v>
      </c>
      <c r="H130" s="3" t="s">
        <v>1435</v>
      </c>
      <c r="I130" s="3" t="s">
        <v>1436</v>
      </c>
      <c r="J130" s="3" t="s">
        <v>266</v>
      </c>
      <c r="K130" s="3" t="s">
        <v>766</v>
      </c>
      <c r="L130" s="3" t="s">
        <v>1437</v>
      </c>
      <c r="M130" s="3" t="s">
        <v>351</v>
      </c>
      <c r="N130" s="3" t="s">
        <v>512</v>
      </c>
      <c r="O130" s="3"/>
      <c r="P130" s="3"/>
      <c r="Q130" s="3" t="s">
        <v>272</v>
      </c>
      <c r="R130" s="3" t="s">
        <v>273</v>
      </c>
      <c r="S130" s="3"/>
      <c r="T130" s="3" t="s">
        <v>79</v>
      </c>
      <c r="U130" s="3" t="s">
        <v>79</v>
      </c>
      <c r="V130" s="3" t="s">
        <v>242</v>
      </c>
      <c r="W130" s="3" t="s">
        <v>1438</v>
      </c>
      <c r="X130" s="3" t="s">
        <v>1439</v>
      </c>
      <c r="Y130" s="3" t="s">
        <v>244</v>
      </c>
      <c r="Z130" s="3" t="s">
        <v>245</v>
      </c>
      <c r="AA130" s="3" t="s">
        <v>276</v>
      </c>
      <c r="AB130" s="3" t="s">
        <v>247</v>
      </c>
      <c r="AC130" s="3" t="s">
        <v>247</v>
      </c>
      <c r="AD130" s="3" t="s">
        <v>247</v>
      </c>
      <c r="AE130" s="3"/>
      <c r="AF130" s="3" t="s">
        <v>277</v>
      </c>
      <c r="AG130" s="3" t="s">
        <v>1440</v>
      </c>
      <c r="AH130" s="3" t="s">
        <v>248</v>
      </c>
      <c r="AI130" s="3"/>
      <c r="AJ130" s="3" t="s">
        <v>1441</v>
      </c>
      <c r="AK130" s="3" t="s">
        <v>249</v>
      </c>
    </row>
    <row r="131" ht="34" spans="1:37">
      <c r="A131" s="3" t="s">
        <v>16</v>
      </c>
      <c r="B131" s="3" t="s">
        <v>93</v>
      </c>
      <c r="C131" s="3" t="s">
        <v>251</v>
      </c>
      <c r="D131" s="3" t="s">
        <v>1442</v>
      </c>
      <c r="E131" s="3" t="s">
        <v>360</v>
      </c>
      <c r="F131" s="3" t="s">
        <v>1423</v>
      </c>
      <c r="G131" s="4">
        <v>31</v>
      </c>
      <c r="H131" s="3" t="s">
        <v>1371</v>
      </c>
      <c r="I131" s="3" t="s">
        <v>1443</v>
      </c>
      <c r="J131" s="3" t="s">
        <v>233</v>
      </c>
      <c r="K131" s="3" t="s">
        <v>1444</v>
      </c>
      <c r="L131" s="3" t="s">
        <v>1445</v>
      </c>
      <c r="M131" s="3" t="s">
        <v>351</v>
      </c>
      <c r="N131" s="3" t="s">
        <v>237</v>
      </c>
      <c r="O131" s="3"/>
      <c r="P131" s="3"/>
      <c r="Q131" s="3"/>
      <c r="R131" s="3" t="s">
        <v>240</v>
      </c>
      <c r="S131" s="3" t="s">
        <v>1007</v>
      </c>
      <c r="T131" s="3" t="s">
        <v>79</v>
      </c>
      <c r="U131" s="3" t="s">
        <v>79</v>
      </c>
      <c r="V131" s="3" t="s">
        <v>242</v>
      </c>
      <c r="W131" s="3" t="s">
        <v>1438</v>
      </c>
      <c r="X131" s="3" t="s">
        <v>1446</v>
      </c>
      <c r="Y131" s="3" t="s">
        <v>244</v>
      </c>
      <c r="Z131" s="3" t="s">
        <v>245</v>
      </c>
      <c r="AA131" s="3" t="s">
        <v>1447</v>
      </c>
      <c r="AB131" s="3" t="s">
        <v>247</v>
      </c>
      <c r="AC131" s="3" t="s">
        <v>247</v>
      </c>
      <c r="AD131" s="3" t="s">
        <v>247</v>
      </c>
      <c r="AE131" s="3"/>
      <c r="AF131" s="3" t="s">
        <v>16</v>
      </c>
      <c r="AG131" s="3" t="s">
        <v>1448</v>
      </c>
      <c r="AH131" s="3" t="s">
        <v>248</v>
      </c>
      <c r="AI131" s="3"/>
      <c r="AJ131" s="3" t="s">
        <v>1449</v>
      </c>
      <c r="AK131" s="3" t="s">
        <v>249</v>
      </c>
    </row>
    <row r="132" ht="34" spans="1:37">
      <c r="A132" s="3" t="s">
        <v>23</v>
      </c>
      <c r="B132" s="3" t="s">
        <v>1450</v>
      </c>
      <c r="C132" s="3" t="s">
        <v>227</v>
      </c>
      <c r="D132" s="3" t="s">
        <v>1451</v>
      </c>
      <c r="E132" s="3" t="s">
        <v>683</v>
      </c>
      <c r="F132" s="3" t="s">
        <v>230</v>
      </c>
      <c r="G132" s="4">
        <v>28</v>
      </c>
      <c r="H132" s="3"/>
      <c r="I132" s="3" t="s">
        <v>1452</v>
      </c>
      <c r="J132" s="3" t="s">
        <v>266</v>
      </c>
      <c r="K132" s="3" t="s">
        <v>766</v>
      </c>
      <c r="L132" s="3" t="s">
        <v>1453</v>
      </c>
      <c r="M132" s="3" t="s">
        <v>364</v>
      </c>
      <c r="N132" s="3" t="s">
        <v>512</v>
      </c>
      <c r="O132" s="3"/>
      <c r="P132" s="3" t="s">
        <v>1454</v>
      </c>
      <c r="Q132" s="3"/>
      <c r="R132" s="3" t="s">
        <v>273</v>
      </c>
      <c r="S132" s="3"/>
      <c r="T132" s="3" t="s">
        <v>79</v>
      </c>
      <c r="U132" s="3" t="s">
        <v>79</v>
      </c>
      <c r="V132" s="3" t="s">
        <v>242</v>
      </c>
      <c r="W132" s="3" t="s">
        <v>1438</v>
      </c>
      <c r="X132" s="3" t="s">
        <v>1439</v>
      </c>
      <c r="Y132" s="3" t="s">
        <v>244</v>
      </c>
      <c r="Z132" s="3" t="s">
        <v>245</v>
      </c>
      <c r="AA132" s="3" t="s">
        <v>1455</v>
      </c>
      <c r="AB132" s="3" t="s">
        <v>247</v>
      </c>
      <c r="AC132" s="3" t="s">
        <v>247</v>
      </c>
      <c r="AD132" s="3" t="s">
        <v>247</v>
      </c>
      <c r="AE132" s="3"/>
      <c r="AF132" s="3" t="s">
        <v>277</v>
      </c>
      <c r="AG132" s="3" t="s">
        <v>1456</v>
      </c>
      <c r="AH132" s="3" t="s">
        <v>248</v>
      </c>
      <c r="AI132" s="3"/>
      <c r="AJ132" s="3" t="s">
        <v>1457</v>
      </c>
      <c r="AK132" s="3" t="s">
        <v>249</v>
      </c>
    </row>
    <row r="133" ht="34" spans="1:37">
      <c r="A133" s="3" t="s">
        <v>12</v>
      </c>
      <c r="B133" s="3" t="s">
        <v>61</v>
      </c>
      <c r="C133" s="3" t="s">
        <v>251</v>
      </c>
      <c r="D133" s="3" t="s">
        <v>1458</v>
      </c>
      <c r="E133" s="3" t="s">
        <v>346</v>
      </c>
      <c r="F133" s="3" t="s">
        <v>1459</v>
      </c>
      <c r="G133" s="4">
        <v>38</v>
      </c>
      <c r="H133" s="3"/>
      <c r="I133" s="3" t="s">
        <v>1460</v>
      </c>
      <c r="J133" s="3" t="s">
        <v>233</v>
      </c>
      <c r="K133" s="3" t="s">
        <v>1461</v>
      </c>
      <c r="L133" s="3" t="s">
        <v>1462</v>
      </c>
      <c r="M133" s="3" t="s">
        <v>236</v>
      </c>
      <c r="N133" s="3" t="s">
        <v>794</v>
      </c>
      <c r="O133" s="3" t="s">
        <v>1463</v>
      </c>
      <c r="P133" s="3" t="s">
        <v>1464</v>
      </c>
      <c r="Q133" s="3" t="s">
        <v>272</v>
      </c>
      <c r="R133" s="3" t="s">
        <v>240</v>
      </c>
      <c r="S133" s="3"/>
      <c r="T133" s="3" t="s">
        <v>79</v>
      </c>
      <c r="U133" s="3" t="s">
        <v>79</v>
      </c>
      <c r="V133" s="3" t="s">
        <v>242</v>
      </c>
      <c r="W133" s="3" t="s">
        <v>1438</v>
      </c>
      <c r="X133" s="3" t="s">
        <v>1465</v>
      </c>
      <c r="Y133" s="3" t="s">
        <v>244</v>
      </c>
      <c r="Z133" s="3" t="s">
        <v>245</v>
      </c>
      <c r="AA133" s="3" t="s">
        <v>618</v>
      </c>
      <c r="AB133" s="3" t="s">
        <v>247</v>
      </c>
      <c r="AC133" s="3" t="s">
        <v>247</v>
      </c>
      <c r="AD133" s="3" t="s">
        <v>247</v>
      </c>
      <c r="AE133" s="3"/>
      <c r="AF133" s="3" t="s">
        <v>12</v>
      </c>
      <c r="AG133" s="3" t="s">
        <v>1466</v>
      </c>
      <c r="AH133" s="3" t="s">
        <v>248</v>
      </c>
      <c r="AI133" s="3"/>
      <c r="AJ133" s="3" t="s">
        <v>1467</v>
      </c>
      <c r="AK133" s="3" t="s">
        <v>249</v>
      </c>
    </row>
    <row r="134" ht="34" spans="1:37">
      <c r="A134" s="3" t="s">
        <v>22</v>
      </c>
      <c r="B134" s="3" t="s">
        <v>168</v>
      </c>
      <c r="C134" s="3" t="s">
        <v>227</v>
      </c>
      <c r="D134" s="3" t="s">
        <v>1468</v>
      </c>
      <c r="E134" s="3" t="s">
        <v>229</v>
      </c>
      <c r="F134" s="3" t="s">
        <v>1469</v>
      </c>
      <c r="G134" s="4">
        <v>32</v>
      </c>
      <c r="H134" s="3" t="s">
        <v>1400</v>
      </c>
      <c r="I134" s="3" t="s">
        <v>1400</v>
      </c>
      <c r="J134" s="3" t="s">
        <v>233</v>
      </c>
      <c r="K134" s="3" t="s">
        <v>1470</v>
      </c>
      <c r="L134" s="3" t="s">
        <v>1471</v>
      </c>
      <c r="M134" s="3" t="s">
        <v>236</v>
      </c>
      <c r="N134" s="3" t="s">
        <v>365</v>
      </c>
      <c r="O134" s="3" t="s">
        <v>1472</v>
      </c>
      <c r="P134" s="3" t="s">
        <v>1403</v>
      </c>
      <c r="Q134" s="3" t="s">
        <v>272</v>
      </c>
      <c r="R134" s="3" t="s">
        <v>240</v>
      </c>
      <c r="S134" s="3" t="s">
        <v>289</v>
      </c>
      <c r="T134" s="3" t="s">
        <v>79</v>
      </c>
      <c r="U134" s="3" t="s">
        <v>79</v>
      </c>
      <c r="V134" s="3" t="s">
        <v>242</v>
      </c>
      <c r="W134" s="3" t="s">
        <v>1438</v>
      </c>
      <c r="X134" s="3" t="s">
        <v>1465</v>
      </c>
      <c r="Y134" s="3" t="s">
        <v>244</v>
      </c>
      <c r="Z134" s="3" t="s">
        <v>245</v>
      </c>
      <c r="AA134" s="3" t="s">
        <v>1473</v>
      </c>
      <c r="AB134" s="3" t="s">
        <v>247</v>
      </c>
      <c r="AC134" s="3" t="s">
        <v>247</v>
      </c>
      <c r="AD134" s="3" t="s">
        <v>247</v>
      </c>
      <c r="AE134" s="3"/>
      <c r="AF134" s="3" t="s">
        <v>22</v>
      </c>
      <c r="AG134" s="3" t="s">
        <v>1474</v>
      </c>
      <c r="AH134" s="3" t="s">
        <v>248</v>
      </c>
      <c r="AI134" s="3"/>
      <c r="AJ134" s="3" t="s">
        <v>1475</v>
      </c>
      <c r="AK134" s="3" t="s">
        <v>249</v>
      </c>
    </row>
    <row r="135" ht="34" spans="1:37">
      <c r="A135" s="3" t="s">
        <v>22</v>
      </c>
      <c r="B135" s="3" t="s">
        <v>157</v>
      </c>
      <c r="C135" s="3" t="s">
        <v>227</v>
      </c>
      <c r="D135" s="3" t="s">
        <v>1476</v>
      </c>
      <c r="E135" s="3" t="s">
        <v>346</v>
      </c>
      <c r="F135" s="3" t="s">
        <v>1411</v>
      </c>
      <c r="G135" s="4">
        <v>32</v>
      </c>
      <c r="H135" s="3" t="s">
        <v>1400</v>
      </c>
      <c r="I135" s="3" t="s">
        <v>1400</v>
      </c>
      <c r="J135" s="3" t="s">
        <v>233</v>
      </c>
      <c r="K135" s="3" t="s">
        <v>1477</v>
      </c>
      <c r="L135" s="3" t="s">
        <v>1478</v>
      </c>
      <c r="M135" s="3" t="s">
        <v>236</v>
      </c>
      <c r="N135" s="3" t="s">
        <v>365</v>
      </c>
      <c r="O135" s="3" t="s">
        <v>1479</v>
      </c>
      <c r="P135" s="3" t="s">
        <v>1403</v>
      </c>
      <c r="Q135" s="3"/>
      <c r="R135" s="3" t="s">
        <v>240</v>
      </c>
      <c r="S135" s="3" t="s">
        <v>1007</v>
      </c>
      <c r="T135" s="3" t="s">
        <v>79</v>
      </c>
      <c r="U135" s="3" t="s">
        <v>79</v>
      </c>
      <c r="V135" s="3" t="s">
        <v>242</v>
      </c>
      <c r="W135" s="3" t="s">
        <v>1438</v>
      </c>
      <c r="X135" s="3" t="s">
        <v>1480</v>
      </c>
      <c r="Y135" s="3" t="s">
        <v>244</v>
      </c>
      <c r="Z135" s="3" t="s">
        <v>245</v>
      </c>
      <c r="AA135" s="3" t="s">
        <v>1481</v>
      </c>
      <c r="AB135" s="3" t="s">
        <v>247</v>
      </c>
      <c r="AC135" s="3" t="s">
        <v>247</v>
      </c>
      <c r="AD135" s="3" t="s">
        <v>248</v>
      </c>
      <c r="AE135" s="3"/>
      <c r="AF135" s="3" t="s">
        <v>22</v>
      </c>
      <c r="AG135" s="3" t="s">
        <v>1482</v>
      </c>
      <c r="AH135" s="3" t="s">
        <v>248</v>
      </c>
      <c r="AI135" s="3"/>
      <c r="AJ135" s="3" t="s">
        <v>1483</v>
      </c>
      <c r="AK135" s="3" t="s">
        <v>249</v>
      </c>
    </row>
    <row r="136" ht="34" spans="1:37">
      <c r="A136" s="3" t="s">
        <v>14</v>
      </c>
      <c r="B136" s="3" t="s">
        <v>73</v>
      </c>
      <c r="C136" s="3" t="s">
        <v>227</v>
      </c>
      <c r="D136" s="3" t="s">
        <v>1484</v>
      </c>
      <c r="E136" s="3" t="s">
        <v>384</v>
      </c>
      <c r="F136" s="3" t="s">
        <v>1423</v>
      </c>
      <c r="G136" s="4">
        <v>31</v>
      </c>
      <c r="H136" s="3" t="s">
        <v>1400</v>
      </c>
      <c r="I136" s="3" t="s">
        <v>1400</v>
      </c>
      <c r="J136" s="3" t="s">
        <v>233</v>
      </c>
      <c r="K136" s="3" t="s">
        <v>1477</v>
      </c>
      <c r="L136" s="3" t="s">
        <v>1485</v>
      </c>
      <c r="M136" s="3" t="s">
        <v>236</v>
      </c>
      <c r="N136" s="3" t="s">
        <v>1025</v>
      </c>
      <c r="O136" s="3" t="s">
        <v>1120</v>
      </c>
      <c r="P136" s="3" t="s">
        <v>1403</v>
      </c>
      <c r="Q136" s="3"/>
      <c r="R136" s="3" t="s">
        <v>240</v>
      </c>
      <c r="S136" s="3"/>
      <c r="T136" s="3" t="s">
        <v>79</v>
      </c>
      <c r="U136" s="3" t="s">
        <v>79</v>
      </c>
      <c r="V136" s="3" t="s">
        <v>242</v>
      </c>
      <c r="W136" s="3" t="s">
        <v>1438</v>
      </c>
      <c r="X136" s="3" t="s">
        <v>1486</v>
      </c>
      <c r="Y136" s="3" t="s">
        <v>244</v>
      </c>
      <c r="Z136" s="3" t="s">
        <v>245</v>
      </c>
      <c r="AA136" s="3" t="s">
        <v>1487</v>
      </c>
      <c r="AB136" s="3" t="s">
        <v>247</v>
      </c>
      <c r="AC136" s="3" t="s">
        <v>247</v>
      </c>
      <c r="AD136" s="3" t="s">
        <v>247</v>
      </c>
      <c r="AE136" s="3"/>
      <c r="AF136" s="3" t="s">
        <v>14</v>
      </c>
      <c r="AG136" s="3" t="s">
        <v>1488</v>
      </c>
      <c r="AH136" s="3" t="s">
        <v>248</v>
      </c>
      <c r="AI136" s="3"/>
      <c r="AJ136" s="3" t="s">
        <v>1489</v>
      </c>
      <c r="AK136" s="3" t="s">
        <v>249</v>
      </c>
    </row>
    <row r="137" ht="34" spans="1:37">
      <c r="A137" s="3" t="s">
        <v>15</v>
      </c>
      <c r="B137" s="3" t="s">
        <v>1490</v>
      </c>
      <c r="C137" s="3" t="s">
        <v>227</v>
      </c>
      <c r="D137" s="3" t="s">
        <v>1491</v>
      </c>
      <c r="E137" s="3" t="s">
        <v>346</v>
      </c>
      <c r="F137" s="3" t="s">
        <v>1492</v>
      </c>
      <c r="G137" s="4">
        <v>30</v>
      </c>
      <c r="H137" s="3" t="s">
        <v>1400</v>
      </c>
      <c r="I137" s="3" t="s">
        <v>1400</v>
      </c>
      <c r="J137" s="3" t="s">
        <v>233</v>
      </c>
      <c r="K137" s="3" t="s">
        <v>1493</v>
      </c>
      <c r="L137" s="3" t="s">
        <v>1494</v>
      </c>
      <c r="M137" s="3" t="s">
        <v>236</v>
      </c>
      <c r="N137" s="3" t="s">
        <v>1025</v>
      </c>
      <c r="O137" s="3" t="s">
        <v>1120</v>
      </c>
      <c r="P137" s="3" t="s">
        <v>1403</v>
      </c>
      <c r="Q137" s="3" t="s">
        <v>272</v>
      </c>
      <c r="R137" s="3" t="s">
        <v>240</v>
      </c>
      <c r="S137" s="3" t="s">
        <v>1007</v>
      </c>
      <c r="T137" s="3" t="s">
        <v>79</v>
      </c>
      <c r="U137" s="3" t="s">
        <v>79</v>
      </c>
      <c r="V137" s="3" t="s">
        <v>242</v>
      </c>
      <c r="W137" s="3" t="s">
        <v>1438</v>
      </c>
      <c r="X137" s="3" t="s">
        <v>1486</v>
      </c>
      <c r="Y137" s="3" t="s">
        <v>244</v>
      </c>
      <c r="Z137" s="3" t="s">
        <v>245</v>
      </c>
      <c r="AA137" s="3" t="s">
        <v>1495</v>
      </c>
      <c r="AB137" s="3" t="s">
        <v>247</v>
      </c>
      <c r="AC137" s="3" t="s">
        <v>247</v>
      </c>
      <c r="AD137" s="3" t="s">
        <v>247</v>
      </c>
      <c r="AE137" s="3"/>
      <c r="AF137" s="3" t="s">
        <v>15</v>
      </c>
      <c r="AG137" s="3" t="s">
        <v>1496</v>
      </c>
      <c r="AH137" s="3" t="s">
        <v>248</v>
      </c>
      <c r="AI137" s="3"/>
      <c r="AJ137" s="3" t="s">
        <v>1497</v>
      </c>
      <c r="AK137" s="3" t="s">
        <v>249</v>
      </c>
    </row>
    <row r="138" ht="51" spans="1:37">
      <c r="A138" s="3" t="s">
        <v>23</v>
      </c>
      <c r="B138" s="3" t="s">
        <v>189</v>
      </c>
      <c r="C138" s="3" t="s">
        <v>251</v>
      </c>
      <c r="D138" s="3" t="s">
        <v>1498</v>
      </c>
      <c r="E138" s="3" t="s">
        <v>360</v>
      </c>
      <c r="F138" s="3" t="s">
        <v>1215</v>
      </c>
      <c r="G138" s="4">
        <v>36</v>
      </c>
      <c r="H138" s="3" t="s">
        <v>1301</v>
      </c>
      <c r="I138" s="3" t="s">
        <v>1499</v>
      </c>
      <c r="J138" s="3" t="s">
        <v>233</v>
      </c>
      <c r="K138" s="3" t="s">
        <v>1500</v>
      </c>
      <c r="L138" s="3" t="s">
        <v>1501</v>
      </c>
      <c r="M138" s="3" t="s">
        <v>236</v>
      </c>
      <c r="N138" s="3" t="s">
        <v>237</v>
      </c>
      <c r="O138" s="3" t="s">
        <v>1502</v>
      </c>
      <c r="P138" s="3" t="s">
        <v>1301</v>
      </c>
      <c r="Q138" s="3" t="s">
        <v>272</v>
      </c>
      <c r="R138" s="3" t="s">
        <v>240</v>
      </c>
      <c r="S138" s="3"/>
      <c r="T138" s="3" t="s">
        <v>79</v>
      </c>
      <c r="U138" s="3" t="s">
        <v>79</v>
      </c>
      <c r="V138" s="3" t="s">
        <v>242</v>
      </c>
      <c r="W138" s="3" t="s">
        <v>1503</v>
      </c>
      <c r="X138" s="3" t="s">
        <v>1486</v>
      </c>
      <c r="Y138" s="3" t="s">
        <v>244</v>
      </c>
      <c r="Z138" s="3" t="s">
        <v>245</v>
      </c>
      <c r="AA138" s="3" t="s">
        <v>276</v>
      </c>
      <c r="AB138" s="3" t="s">
        <v>247</v>
      </c>
      <c r="AC138" s="3" t="s">
        <v>247</v>
      </c>
      <c r="AD138" s="3" t="s">
        <v>247</v>
      </c>
      <c r="AE138" s="3"/>
      <c r="AF138" s="3" t="s">
        <v>277</v>
      </c>
      <c r="AG138" s="3" t="s">
        <v>1504</v>
      </c>
      <c r="AH138" s="3" t="s">
        <v>248</v>
      </c>
      <c r="AI138" s="3"/>
      <c r="AJ138" s="3" t="s">
        <v>1505</v>
      </c>
      <c r="AK138" s="3" t="s">
        <v>249</v>
      </c>
    </row>
    <row r="139" ht="34" spans="1:37">
      <c r="A139" s="3" t="s">
        <v>16</v>
      </c>
      <c r="B139" s="3" t="s">
        <v>94</v>
      </c>
      <c r="C139" s="3" t="s">
        <v>251</v>
      </c>
      <c r="D139" s="3" t="s">
        <v>1506</v>
      </c>
      <c r="E139" s="3" t="s">
        <v>346</v>
      </c>
      <c r="F139" s="3" t="s">
        <v>1507</v>
      </c>
      <c r="G139" s="4">
        <v>40</v>
      </c>
      <c r="H139" s="3" t="s">
        <v>997</v>
      </c>
      <c r="I139" s="3" t="s">
        <v>1508</v>
      </c>
      <c r="J139" s="3" t="s">
        <v>233</v>
      </c>
      <c r="K139" s="3" t="s">
        <v>1509</v>
      </c>
      <c r="L139" s="3" t="s">
        <v>1510</v>
      </c>
      <c r="M139" s="3" t="s">
        <v>351</v>
      </c>
      <c r="N139" s="3" t="s">
        <v>237</v>
      </c>
      <c r="O139" s="3" t="s">
        <v>1511</v>
      </c>
      <c r="P139" s="3" t="s">
        <v>1054</v>
      </c>
      <c r="Q139" s="3" t="s">
        <v>272</v>
      </c>
      <c r="R139" s="3" t="s">
        <v>240</v>
      </c>
      <c r="S139" s="3"/>
      <c r="T139" s="3" t="s">
        <v>79</v>
      </c>
      <c r="U139" s="3" t="s">
        <v>79</v>
      </c>
      <c r="V139" s="3" t="s">
        <v>242</v>
      </c>
      <c r="W139" s="3" t="s">
        <v>1503</v>
      </c>
      <c r="X139" s="3" t="s">
        <v>1512</v>
      </c>
      <c r="Y139" s="3" t="s">
        <v>244</v>
      </c>
      <c r="Z139" s="3" t="s">
        <v>245</v>
      </c>
      <c r="AA139" s="3" t="s">
        <v>1513</v>
      </c>
      <c r="AB139" s="3" t="s">
        <v>247</v>
      </c>
      <c r="AC139" s="3" t="s">
        <v>247</v>
      </c>
      <c r="AD139" s="3" t="s">
        <v>247</v>
      </c>
      <c r="AE139" s="3"/>
      <c r="AF139" s="3" t="s">
        <v>16</v>
      </c>
      <c r="AG139" s="3" t="s">
        <v>1514</v>
      </c>
      <c r="AH139" s="3" t="s">
        <v>248</v>
      </c>
      <c r="AI139" s="3"/>
      <c r="AJ139" s="3" t="s">
        <v>1515</v>
      </c>
      <c r="AK139" s="3" t="s">
        <v>249</v>
      </c>
    </row>
    <row r="140" ht="34" spans="1:37">
      <c r="A140" s="3" t="s">
        <v>18</v>
      </c>
      <c r="B140" s="3" t="s">
        <v>101</v>
      </c>
      <c r="C140" s="3" t="s">
        <v>227</v>
      </c>
      <c r="D140" s="3" t="s">
        <v>1516</v>
      </c>
      <c r="E140" s="3" t="s">
        <v>346</v>
      </c>
      <c r="F140" s="3" t="s">
        <v>1517</v>
      </c>
      <c r="G140" s="4">
        <v>30</v>
      </c>
      <c r="H140" s="3"/>
      <c r="I140" s="3" t="s">
        <v>1518</v>
      </c>
      <c r="J140" s="3" t="s">
        <v>233</v>
      </c>
      <c r="K140" s="3" t="s">
        <v>766</v>
      </c>
      <c r="L140" s="3" t="s">
        <v>1519</v>
      </c>
      <c r="M140" s="3" t="s">
        <v>236</v>
      </c>
      <c r="N140" s="3" t="s">
        <v>352</v>
      </c>
      <c r="O140" s="3" t="s">
        <v>1520</v>
      </c>
      <c r="P140" s="3" t="s">
        <v>1521</v>
      </c>
      <c r="Q140" s="3" t="s">
        <v>272</v>
      </c>
      <c r="R140" s="3" t="s">
        <v>240</v>
      </c>
      <c r="S140" s="3"/>
      <c r="T140" s="3" t="s">
        <v>79</v>
      </c>
      <c r="U140" s="3" t="s">
        <v>79</v>
      </c>
      <c r="V140" s="3" t="s">
        <v>242</v>
      </c>
      <c r="W140" s="3" t="s">
        <v>1503</v>
      </c>
      <c r="X140" s="3" t="s">
        <v>1522</v>
      </c>
      <c r="Y140" s="3" t="s">
        <v>244</v>
      </c>
      <c r="Z140" s="3" t="s">
        <v>245</v>
      </c>
      <c r="AA140" s="3" t="s">
        <v>1523</v>
      </c>
      <c r="AB140" s="3" t="s">
        <v>247</v>
      </c>
      <c r="AC140" s="3" t="s">
        <v>247</v>
      </c>
      <c r="AD140" s="3" t="s">
        <v>247</v>
      </c>
      <c r="AE140" s="3"/>
      <c r="AF140" s="3" t="s">
        <v>18</v>
      </c>
      <c r="AG140" s="3" t="s">
        <v>1524</v>
      </c>
      <c r="AH140" s="3" t="s">
        <v>248</v>
      </c>
      <c r="AI140" s="3"/>
      <c r="AJ140" s="3" t="s">
        <v>1525</v>
      </c>
      <c r="AK140" s="3" t="s">
        <v>249</v>
      </c>
    </row>
    <row r="141" ht="34" spans="1:37">
      <c r="A141" s="3" t="s">
        <v>10</v>
      </c>
      <c r="B141" s="3" t="s">
        <v>1526</v>
      </c>
      <c r="C141" s="3" t="s">
        <v>251</v>
      </c>
      <c r="D141" s="3" t="s">
        <v>1527</v>
      </c>
      <c r="E141" s="3" t="s">
        <v>1410</v>
      </c>
      <c r="F141" s="3" t="s">
        <v>1528</v>
      </c>
      <c r="G141" s="4">
        <v>36</v>
      </c>
      <c r="H141" s="3" t="s">
        <v>1529</v>
      </c>
      <c r="I141" s="3" t="s">
        <v>1499</v>
      </c>
      <c r="J141" s="3" t="s">
        <v>266</v>
      </c>
      <c r="K141" s="3" t="s">
        <v>766</v>
      </c>
      <c r="L141" s="3" t="s">
        <v>1530</v>
      </c>
      <c r="M141" s="3" t="s">
        <v>351</v>
      </c>
      <c r="N141" s="3" t="s">
        <v>237</v>
      </c>
      <c r="O141" s="3" t="s">
        <v>389</v>
      </c>
      <c r="P141" s="3" t="s">
        <v>1531</v>
      </c>
      <c r="Q141" s="3"/>
      <c r="R141" s="3" t="s">
        <v>240</v>
      </c>
      <c r="S141" s="3" t="s">
        <v>1007</v>
      </c>
      <c r="T141" s="3" t="s">
        <v>79</v>
      </c>
      <c r="U141" s="3" t="s">
        <v>79</v>
      </c>
      <c r="V141" s="3" t="s">
        <v>242</v>
      </c>
      <c r="W141" s="3" t="s">
        <v>1503</v>
      </c>
      <c r="X141" s="3" t="s">
        <v>1532</v>
      </c>
      <c r="Y141" s="3" t="s">
        <v>244</v>
      </c>
      <c r="Z141" s="3" t="s">
        <v>245</v>
      </c>
      <c r="AA141" s="3"/>
      <c r="AB141" s="3" t="s">
        <v>248</v>
      </c>
      <c r="AC141" s="3" t="s">
        <v>247</v>
      </c>
      <c r="AD141" s="3" t="s">
        <v>248</v>
      </c>
      <c r="AE141" s="3"/>
      <c r="AF141" s="3" t="s">
        <v>16</v>
      </c>
      <c r="AG141" s="3" t="s">
        <v>1533</v>
      </c>
      <c r="AH141" s="3" t="s">
        <v>248</v>
      </c>
      <c r="AI141" s="3"/>
      <c r="AJ141" s="3" t="s">
        <v>1534</v>
      </c>
      <c r="AK141" s="3" t="s">
        <v>249</v>
      </c>
    </row>
    <row r="142" ht="34" spans="1:37">
      <c r="A142" s="3" t="s">
        <v>21</v>
      </c>
      <c r="B142" s="3" t="s">
        <v>148</v>
      </c>
      <c r="C142" s="3" t="s">
        <v>251</v>
      </c>
      <c r="D142" s="3" t="s">
        <v>1535</v>
      </c>
      <c r="E142" s="3" t="s">
        <v>657</v>
      </c>
      <c r="F142" s="3" t="s">
        <v>1536</v>
      </c>
      <c r="G142" s="4">
        <v>33</v>
      </c>
      <c r="H142" s="3" t="s">
        <v>1537</v>
      </c>
      <c r="I142" s="3" t="s">
        <v>1538</v>
      </c>
      <c r="J142" s="3" t="s">
        <v>233</v>
      </c>
      <c r="K142" s="3" t="s">
        <v>766</v>
      </c>
      <c r="L142" s="3" t="s">
        <v>1539</v>
      </c>
      <c r="M142" s="3" t="s">
        <v>236</v>
      </c>
      <c r="N142" s="3" t="s">
        <v>237</v>
      </c>
      <c r="O142" s="3" t="s">
        <v>1540</v>
      </c>
      <c r="P142" s="3" t="s">
        <v>1541</v>
      </c>
      <c r="Q142" s="3" t="s">
        <v>272</v>
      </c>
      <c r="R142" s="3" t="s">
        <v>240</v>
      </c>
      <c r="S142" s="3" t="s">
        <v>1007</v>
      </c>
      <c r="T142" s="3" t="s">
        <v>79</v>
      </c>
      <c r="U142" s="3" t="s">
        <v>79</v>
      </c>
      <c r="V142" s="3" t="s">
        <v>242</v>
      </c>
      <c r="W142" s="3" t="s">
        <v>1503</v>
      </c>
      <c r="X142" s="3" t="s">
        <v>1542</v>
      </c>
      <c r="Y142" s="3" t="s">
        <v>244</v>
      </c>
      <c r="Z142" s="3" t="s">
        <v>245</v>
      </c>
      <c r="AA142" s="3" t="s">
        <v>1543</v>
      </c>
      <c r="AB142" s="3" t="s">
        <v>247</v>
      </c>
      <c r="AC142" s="3" t="s">
        <v>247</v>
      </c>
      <c r="AD142" s="3" t="s">
        <v>247</v>
      </c>
      <c r="AE142" s="3"/>
      <c r="AF142" s="3" t="s">
        <v>21</v>
      </c>
      <c r="AG142" s="3" t="s">
        <v>1544</v>
      </c>
      <c r="AH142" s="3" t="s">
        <v>248</v>
      </c>
      <c r="AI142" s="3"/>
      <c r="AJ142" s="3" t="s">
        <v>1545</v>
      </c>
      <c r="AK142" s="3" t="s">
        <v>249</v>
      </c>
    </row>
    <row r="143" ht="34" spans="1:37">
      <c r="A143" s="3" t="s">
        <v>19</v>
      </c>
      <c r="B143" s="3" t="s">
        <v>118</v>
      </c>
      <c r="C143" s="3" t="s">
        <v>251</v>
      </c>
      <c r="D143" s="3" t="s">
        <v>1546</v>
      </c>
      <c r="E143" s="3" t="s">
        <v>346</v>
      </c>
      <c r="F143" s="3" t="s">
        <v>1059</v>
      </c>
      <c r="G143" s="4">
        <v>37</v>
      </c>
      <c r="H143" s="3" t="s">
        <v>1529</v>
      </c>
      <c r="I143" s="3" t="s">
        <v>1547</v>
      </c>
      <c r="J143" s="3" t="s">
        <v>233</v>
      </c>
      <c r="K143" s="3" t="s">
        <v>1548</v>
      </c>
      <c r="L143" s="3" t="s">
        <v>1549</v>
      </c>
      <c r="M143" s="3" t="s">
        <v>236</v>
      </c>
      <c r="N143" s="3" t="s">
        <v>502</v>
      </c>
      <c r="O143" s="3" t="s">
        <v>1550</v>
      </c>
      <c r="P143" s="3" t="s">
        <v>1239</v>
      </c>
      <c r="Q143" s="3" t="s">
        <v>272</v>
      </c>
      <c r="R143" s="3" t="s">
        <v>240</v>
      </c>
      <c r="S143" s="3"/>
      <c r="T143" s="3" t="s">
        <v>79</v>
      </c>
      <c r="U143" s="3" t="s">
        <v>79</v>
      </c>
      <c r="V143" s="3" t="s">
        <v>242</v>
      </c>
      <c r="W143" s="3" t="s">
        <v>1551</v>
      </c>
      <c r="X143" s="3" t="s">
        <v>1552</v>
      </c>
      <c r="Y143" s="3" t="s">
        <v>244</v>
      </c>
      <c r="Z143" s="3" t="s">
        <v>245</v>
      </c>
      <c r="AA143" s="3" t="s">
        <v>1553</v>
      </c>
      <c r="AB143" s="3" t="s">
        <v>247</v>
      </c>
      <c r="AC143" s="3" t="s">
        <v>247</v>
      </c>
      <c r="AD143" s="3" t="s">
        <v>247</v>
      </c>
      <c r="AE143" s="3"/>
      <c r="AF143" s="3" t="s">
        <v>19</v>
      </c>
      <c r="AG143" s="3" t="s">
        <v>1554</v>
      </c>
      <c r="AH143" s="3" t="s">
        <v>248</v>
      </c>
      <c r="AI143" s="3"/>
      <c r="AJ143" s="3" t="s">
        <v>1555</v>
      </c>
      <c r="AK143" s="3" t="s">
        <v>249</v>
      </c>
    </row>
    <row r="144" ht="34" spans="1:37">
      <c r="A144" s="3" t="s">
        <v>10</v>
      </c>
      <c r="B144" s="3" t="s">
        <v>41</v>
      </c>
      <c r="C144" s="3" t="s">
        <v>227</v>
      </c>
      <c r="D144" s="3" t="s">
        <v>1556</v>
      </c>
      <c r="E144" s="3" t="s">
        <v>229</v>
      </c>
      <c r="F144" s="3" t="s">
        <v>1557</v>
      </c>
      <c r="G144" s="4">
        <v>38</v>
      </c>
      <c r="H144" s="3"/>
      <c r="I144" s="3" t="s">
        <v>1558</v>
      </c>
      <c r="J144" s="3" t="s">
        <v>233</v>
      </c>
      <c r="K144" s="3" t="s">
        <v>1559</v>
      </c>
      <c r="L144" s="3" t="s">
        <v>1560</v>
      </c>
      <c r="M144" s="3" t="s">
        <v>351</v>
      </c>
      <c r="N144" s="3" t="s">
        <v>327</v>
      </c>
      <c r="O144" s="3" t="s">
        <v>1479</v>
      </c>
      <c r="P144" s="3" t="s">
        <v>1561</v>
      </c>
      <c r="Q144" s="3" t="s">
        <v>272</v>
      </c>
      <c r="R144" s="3" t="s">
        <v>240</v>
      </c>
      <c r="S144" s="3"/>
      <c r="T144" s="3" t="s">
        <v>79</v>
      </c>
      <c r="U144" s="3" t="s">
        <v>79</v>
      </c>
      <c r="V144" s="3" t="s">
        <v>242</v>
      </c>
      <c r="W144" s="3" t="s">
        <v>1551</v>
      </c>
      <c r="X144" s="3" t="s">
        <v>1486</v>
      </c>
      <c r="Y144" s="3" t="s">
        <v>244</v>
      </c>
      <c r="Z144" s="3" t="s">
        <v>245</v>
      </c>
      <c r="AA144" s="3" t="s">
        <v>1562</v>
      </c>
      <c r="AB144" s="3" t="s">
        <v>247</v>
      </c>
      <c r="AC144" s="3" t="s">
        <v>247</v>
      </c>
      <c r="AD144" s="3" t="s">
        <v>247</v>
      </c>
      <c r="AE144" s="3"/>
      <c r="AF144" s="3" t="s">
        <v>16</v>
      </c>
      <c r="AG144" s="3" t="s">
        <v>1563</v>
      </c>
      <c r="AH144" s="3" t="s">
        <v>248</v>
      </c>
      <c r="AI144" s="3"/>
      <c r="AJ144" s="3" t="s">
        <v>1564</v>
      </c>
      <c r="AK144" s="3" t="s">
        <v>249</v>
      </c>
    </row>
    <row r="145" ht="34" spans="1:37">
      <c r="A145" s="3" t="s">
        <v>15</v>
      </c>
      <c r="B145" s="3" t="s">
        <v>91</v>
      </c>
      <c r="C145" s="3" t="s">
        <v>227</v>
      </c>
      <c r="D145" s="3" t="s">
        <v>1565</v>
      </c>
      <c r="E145" s="3" t="s">
        <v>229</v>
      </c>
      <c r="F145" s="3" t="s">
        <v>1566</v>
      </c>
      <c r="G145" s="4">
        <v>28</v>
      </c>
      <c r="H145" s="3" t="s">
        <v>1567</v>
      </c>
      <c r="I145" s="3" t="s">
        <v>1567</v>
      </c>
      <c r="J145" s="3" t="s">
        <v>233</v>
      </c>
      <c r="K145" s="3" t="s">
        <v>1568</v>
      </c>
      <c r="L145" s="3" t="s">
        <v>1569</v>
      </c>
      <c r="M145" s="3" t="s">
        <v>236</v>
      </c>
      <c r="N145" s="3" t="s">
        <v>502</v>
      </c>
      <c r="O145" s="3" t="s">
        <v>1570</v>
      </c>
      <c r="P145" s="3" t="s">
        <v>1571</v>
      </c>
      <c r="Q145" s="3"/>
      <c r="R145" s="3" t="s">
        <v>240</v>
      </c>
      <c r="S145" s="3" t="s">
        <v>1007</v>
      </c>
      <c r="T145" s="3" t="s">
        <v>79</v>
      </c>
      <c r="U145" s="3" t="s">
        <v>79</v>
      </c>
      <c r="V145" s="3" t="s">
        <v>242</v>
      </c>
      <c r="W145" s="3" t="s">
        <v>1551</v>
      </c>
      <c r="X145" s="3" t="s">
        <v>1572</v>
      </c>
      <c r="Y145" s="3" t="s">
        <v>244</v>
      </c>
      <c r="Z145" s="3" t="s">
        <v>245</v>
      </c>
      <c r="AA145" s="3" t="s">
        <v>1573</v>
      </c>
      <c r="AB145" s="3" t="s">
        <v>247</v>
      </c>
      <c r="AC145" s="3" t="s">
        <v>247</v>
      </c>
      <c r="AD145" s="3" t="s">
        <v>247</v>
      </c>
      <c r="AE145" s="3"/>
      <c r="AF145" s="3" t="s">
        <v>1574</v>
      </c>
      <c r="AG145" s="3" t="s">
        <v>1575</v>
      </c>
      <c r="AH145" s="3" t="s">
        <v>248</v>
      </c>
      <c r="AI145" s="3"/>
      <c r="AJ145" s="3" t="s">
        <v>1576</v>
      </c>
      <c r="AK145" s="3" t="s">
        <v>249</v>
      </c>
    </row>
    <row r="146" ht="34" spans="1:37">
      <c r="A146" s="3" t="s">
        <v>22</v>
      </c>
      <c r="B146" s="3" t="s">
        <v>167</v>
      </c>
      <c r="C146" s="3" t="s">
        <v>251</v>
      </c>
      <c r="D146" s="3" t="s">
        <v>1577</v>
      </c>
      <c r="E146" s="3" t="s">
        <v>657</v>
      </c>
      <c r="F146" s="3" t="s">
        <v>1578</v>
      </c>
      <c r="G146" s="4">
        <v>34</v>
      </c>
      <c r="H146" s="3" t="s">
        <v>1579</v>
      </c>
      <c r="I146" s="3" t="s">
        <v>1579</v>
      </c>
      <c r="J146" s="3" t="s">
        <v>233</v>
      </c>
      <c r="K146" s="3" t="s">
        <v>766</v>
      </c>
      <c r="L146" s="3" t="s">
        <v>1580</v>
      </c>
      <c r="M146" s="3" t="s">
        <v>351</v>
      </c>
      <c r="N146" s="3" t="s">
        <v>365</v>
      </c>
      <c r="O146" s="3" t="s">
        <v>1581</v>
      </c>
      <c r="P146" s="3" t="s">
        <v>259</v>
      </c>
      <c r="Q146" s="3" t="s">
        <v>272</v>
      </c>
      <c r="R146" s="3" t="s">
        <v>273</v>
      </c>
      <c r="S146" s="3"/>
      <c r="T146" s="3" t="s">
        <v>79</v>
      </c>
      <c r="U146" s="3" t="s">
        <v>79</v>
      </c>
      <c r="V146" s="3" t="s">
        <v>242</v>
      </c>
      <c r="W146" s="3" t="s">
        <v>1551</v>
      </c>
      <c r="X146" s="3" t="s">
        <v>1582</v>
      </c>
      <c r="Y146" s="3" t="s">
        <v>244</v>
      </c>
      <c r="Z146" s="3" t="s">
        <v>245</v>
      </c>
      <c r="AA146" s="3"/>
      <c r="AB146" s="3" t="s">
        <v>248</v>
      </c>
      <c r="AC146" s="3" t="s">
        <v>247</v>
      </c>
      <c r="AD146" s="3" t="s">
        <v>248</v>
      </c>
      <c r="AE146" s="3"/>
      <c r="AF146" s="3" t="s">
        <v>22</v>
      </c>
      <c r="AG146" s="3" t="s">
        <v>1583</v>
      </c>
      <c r="AH146" s="3" t="s">
        <v>248</v>
      </c>
      <c r="AI146" s="3"/>
      <c r="AJ146" s="3" t="s">
        <v>1584</v>
      </c>
      <c r="AK146" s="3" t="s">
        <v>249</v>
      </c>
    </row>
    <row r="147" ht="34" spans="1:37">
      <c r="A147" s="3" t="s">
        <v>23</v>
      </c>
      <c r="B147" s="3" t="s">
        <v>1585</v>
      </c>
      <c r="C147" s="3" t="s">
        <v>227</v>
      </c>
      <c r="D147" s="3" t="s">
        <v>1586</v>
      </c>
      <c r="E147" s="3" t="s">
        <v>1587</v>
      </c>
      <c r="F147" s="3" t="s">
        <v>1588</v>
      </c>
      <c r="G147" s="4">
        <v>52</v>
      </c>
      <c r="H147" s="3"/>
      <c r="I147" s="3" t="s">
        <v>1579</v>
      </c>
      <c r="J147" s="3" t="s">
        <v>266</v>
      </c>
      <c r="K147" s="3" t="s">
        <v>756</v>
      </c>
      <c r="L147" s="3" t="s">
        <v>1589</v>
      </c>
      <c r="M147" s="3" t="s">
        <v>298</v>
      </c>
      <c r="N147" s="3" t="s">
        <v>512</v>
      </c>
      <c r="O147" s="3"/>
      <c r="P147" s="3" t="s">
        <v>1590</v>
      </c>
      <c r="Q147" s="3" t="s">
        <v>272</v>
      </c>
      <c r="R147" s="3" t="s">
        <v>273</v>
      </c>
      <c r="S147" s="3"/>
      <c r="T147" s="3" t="s">
        <v>79</v>
      </c>
      <c r="U147" s="3" t="s">
        <v>79</v>
      </c>
      <c r="V147" s="3" t="s">
        <v>242</v>
      </c>
      <c r="W147" s="3" t="s">
        <v>1551</v>
      </c>
      <c r="X147" s="3" t="s">
        <v>1591</v>
      </c>
      <c r="Y147" s="3" t="s">
        <v>244</v>
      </c>
      <c r="Z147" s="3" t="s">
        <v>245</v>
      </c>
      <c r="AA147" s="3"/>
      <c r="AB147" s="3" t="s">
        <v>248</v>
      </c>
      <c r="AC147" s="3" t="s">
        <v>247</v>
      </c>
      <c r="AD147" s="3" t="s">
        <v>247</v>
      </c>
      <c r="AE147" s="3"/>
      <c r="AF147" s="3" t="s">
        <v>18</v>
      </c>
      <c r="AG147" s="3" t="s">
        <v>1592</v>
      </c>
      <c r="AH147" s="3" t="s">
        <v>248</v>
      </c>
      <c r="AI147" s="3"/>
      <c r="AJ147" s="3" t="s">
        <v>1593</v>
      </c>
      <c r="AK147" s="3" t="s">
        <v>249</v>
      </c>
    </row>
    <row r="148" ht="34" spans="1:37">
      <c r="A148" s="3" t="s">
        <v>23</v>
      </c>
      <c r="B148" s="3" t="s">
        <v>184</v>
      </c>
      <c r="C148" s="3" t="s">
        <v>227</v>
      </c>
      <c r="D148" s="3" t="s">
        <v>1594</v>
      </c>
      <c r="E148" s="3" t="s">
        <v>346</v>
      </c>
      <c r="F148" s="3" t="s">
        <v>1595</v>
      </c>
      <c r="G148" s="4">
        <v>29</v>
      </c>
      <c r="H148" s="3" t="s">
        <v>1518</v>
      </c>
      <c r="I148" s="3" t="s">
        <v>1518</v>
      </c>
      <c r="J148" s="3" t="s">
        <v>233</v>
      </c>
      <c r="K148" s="3" t="s">
        <v>766</v>
      </c>
      <c r="L148" s="3" t="s">
        <v>1596</v>
      </c>
      <c r="M148" s="3" t="s">
        <v>236</v>
      </c>
      <c r="N148" s="3" t="s">
        <v>237</v>
      </c>
      <c r="O148" s="3" t="s">
        <v>1597</v>
      </c>
      <c r="P148" s="3" t="s">
        <v>1521</v>
      </c>
      <c r="Q148" s="3" t="s">
        <v>272</v>
      </c>
      <c r="R148" s="3" t="s">
        <v>240</v>
      </c>
      <c r="S148" s="3" t="s">
        <v>1007</v>
      </c>
      <c r="T148" s="3" t="s">
        <v>79</v>
      </c>
      <c r="U148" s="3" t="s">
        <v>79</v>
      </c>
      <c r="V148" s="3" t="s">
        <v>242</v>
      </c>
      <c r="W148" s="3" t="s">
        <v>1551</v>
      </c>
      <c r="X148" s="3" t="s">
        <v>1598</v>
      </c>
      <c r="Y148" s="3" t="s">
        <v>244</v>
      </c>
      <c r="Z148" s="3" t="s">
        <v>245</v>
      </c>
      <c r="AA148" s="3" t="s">
        <v>1599</v>
      </c>
      <c r="AB148" s="3" t="s">
        <v>247</v>
      </c>
      <c r="AC148" s="3" t="s">
        <v>247</v>
      </c>
      <c r="AD148" s="3" t="s">
        <v>247</v>
      </c>
      <c r="AE148" s="3"/>
      <c r="AF148" s="3" t="s">
        <v>277</v>
      </c>
      <c r="AG148" s="3" t="s">
        <v>1600</v>
      </c>
      <c r="AH148" s="3" t="s">
        <v>248</v>
      </c>
      <c r="AI148" s="3"/>
      <c r="AJ148" s="3" t="s">
        <v>1601</v>
      </c>
      <c r="AK148" s="3" t="s">
        <v>249</v>
      </c>
    </row>
    <row r="149" ht="34" spans="1:37">
      <c r="A149" s="3" t="s">
        <v>12</v>
      </c>
      <c r="B149" s="3" t="s">
        <v>56</v>
      </c>
      <c r="C149" s="3" t="s">
        <v>251</v>
      </c>
      <c r="D149" s="3" t="s">
        <v>1602</v>
      </c>
      <c r="E149" s="3" t="s">
        <v>346</v>
      </c>
      <c r="F149" s="3" t="s">
        <v>1160</v>
      </c>
      <c r="G149" s="4">
        <v>38</v>
      </c>
      <c r="H149" s="3" t="s">
        <v>1603</v>
      </c>
      <c r="I149" s="3" t="s">
        <v>1604</v>
      </c>
      <c r="J149" s="3" t="s">
        <v>233</v>
      </c>
      <c r="K149" s="3" t="s">
        <v>1605</v>
      </c>
      <c r="L149" s="3" t="s">
        <v>1606</v>
      </c>
      <c r="M149" s="3" t="s">
        <v>236</v>
      </c>
      <c r="N149" s="3" t="s">
        <v>794</v>
      </c>
      <c r="O149" s="3" t="s">
        <v>1607</v>
      </c>
      <c r="P149" s="3" t="s">
        <v>1110</v>
      </c>
      <c r="Q149" s="3" t="s">
        <v>272</v>
      </c>
      <c r="R149" s="3" t="s">
        <v>240</v>
      </c>
      <c r="S149" s="3"/>
      <c r="T149" s="3" t="s">
        <v>79</v>
      </c>
      <c r="U149" s="3" t="s">
        <v>79</v>
      </c>
      <c r="V149" s="3" t="s">
        <v>242</v>
      </c>
      <c r="W149" s="3" t="s">
        <v>1551</v>
      </c>
      <c r="X149" s="3" t="s">
        <v>1608</v>
      </c>
      <c r="Y149" s="3" t="s">
        <v>244</v>
      </c>
      <c r="Z149" s="3" t="s">
        <v>245</v>
      </c>
      <c r="AA149" s="3" t="s">
        <v>1609</v>
      </c>
      <c r="AB149" s="3" t="s">
        <v>247</v>
      </c>
      <c r="AC149" s="3" t="s">
        <v>247</v>
      </c>
      <c r="AD149" s="3" t="s">
        <v>247</v>
      </c>
      <c r="AE149" s="3"/>
      <c r="AF149" s="3" t="s">
        <v>12</v>
      </c>
      <c r="AG149" s="3" t="s">
        <v>1610</v>
      </c>
      <c r="AH149" s="3" t="s">
        <v>248</v>
      </c>
      <c r="AI149" s="3"/>
      <c r="AJ149" s="3" t="s">
        <v>1611</v>
      </c>
      <c r="AK149" s="3" t="s">
        <v>249</v>
      </c>
    </row>
    <row r="150" ht="34" spans="1:37">
      <c r="A150" s="3" t="s">
        <v>23</v>
      </c>
      <c r="B150" s="3" t="s">
        <v>183</v>
      </c>
      <c r="C150" s="3" t="s">
        <v>251</v>
      </c>
      <c r="D150" s="3" t="s">
        <v>1612</v>
      </c>
      <c r="E150" s="3" t="s">
        <v>360</v>
      </c>
      <c r="F150" s="3" t="s">
        <v>1613</v>
      </c>
      <c r="G150" s="4">
        <v>28</v>
      </c>
      <c r="H150" s="3" t="s">
        <v>1567</v>
      </c>
      <c r="I150" s="3" t="s">
        <v>1567</v>
      </c>
      <c r="J150" s="3" t="s">
        <v>233</v>
      </c>
      <c r="K150" s="3" t="s">
        <v>1614</v>
      </c>
      <c r="L150" s="3" t="s">
        <v>1615</v>
      </c>
      <c r="M150" s="3" t="s">
        <v>236</v>
      </c>
      <c r="N150" s="3" t="s">
        <v>237</v>
      </c>
      <c r="O150" s="3" t="s">
        <v>1616</v>
      </c>
      <c r="P150" s="3" t="s">
        <v>1571</v>
      </c>
      <c r="Q150" s="3"/>
      <c r="R150" s="3" t="s">
        <v>240</v>
      </c>
      <c r="S150" s="3" t="s">
        <v>1007</v>
      </c>
      <c r="T150" s="3" t="s">
        <v>79</v>
      </c>
      <c r="U150" s="3" t="s">
        <v>79</v>
      </c>
      <c r="V150" s="3" t="s">
        <v>242</v>
      </c>
      <c r="W150" s="3" t="s">
        <v>1551</v>
      </c>
      <c r="X150" s="3" t="s">
        <v>1617</v>
      </c>
      <c r="Y150" s="3" t="s">
        <v>244</v>
      </c>
      <c r="Z150" s="3" t="s">
        <v>245</v>
      </c>
      <c r="AA150" s="3" t="s">
        <v>1618</v>
      </c>
      <c r="AB150" s="3" t="s">
        <v>247</v>
      </c>
      <c r="AC150" s="3" t="s">
        <v>247</v>
      </c>
      <c r="AD150" s="3" t="s">
        <v>247</v>
      </c>
      <c r="AE150" s="3"/>
      <c r="AF150" s="3" t="s">
        <v>277</v>
      </c>
      <c r="AG150" s="3" t="s">
        <v>1619</v>
      </c>
      <c r="AH150" s="3" t="s">
        <v>248</v>
      </c>
      <c r="AI150" s="3"/>
      <c r="AJ150" s="3" t="s">
        <v>1620</v>
      </c>
      <c r="AK150" s="3" t="s">
        <v>249</v>
      </c>
    </row>
    <row r="151" ht="34" spans="1:37">
      <c r="A151" s="3" t="s">
        <v>18</v>
      </c>
      <c r="B151" s="3" t="s">
        <v>1621</v>
      </c>
      <c r="C151" s="3" t="s">
        <v>251</v>
      </c>
      <c r="D151" s="3" t="s">
        <v>1622</v>
      </c>
      <c r="E151" s="3" t="s">
        <v>346</v>
      </c>
      <c r="F151" s="3" t="s">
        <v>1623</v>
      </c>
      <c r="G151" s="4">
        <v>29</v>
      </c>
      <c r="H151" s="3" t="s">
        <v>1424</v>
      </c>
      <c r="I151" s="3" t="s">
        <v>1624</v>
      </c>
      <c r="J151" s="3" t="s">
        <v>233</v>
      </c>
      <c r="K151" s="3" t="s">
        <v>1625</v>
      </c>
      <c r="L151" s="3" t="s">
        <v>1626</v>
      </c>
      <c r="M151" s="3" t="s">
        <v>236</v>
      </c>
      <c r="N151" s="3" t="s">
        <v>1627</v>
      </c>
      <c r="O151" s="3" t="s">
        <v>1209</v>
      </c>
      <c r="P151" s="3" t="s">
        <v>1403</v>
      </c>
      <c r="Q151" s="3"/>
      <c r="R151" s="3" t="s">
        <v>240</v>
      </c>
      <c r="S151" s="3" t="s">
        <v>289</v>
      </c>
      <c r="T151" s="3" t="s">
        <v>79</v>
      </c>
      <c r="U151" s="3" t="s">
        <v>79</v>
      </c>
      <c r="V151" s="3" t="s">
        <v>242</v>
      </c>
      <c r="W151" s="3" t="s">
        <v>1628</v>
      </c>
      <c r="X151" s="3" t="s">
        <v>1629</v>
      </c>
      <c r="Y151" s="3" t="s">
        <v>244</v>
      </c>
      <c r="Z151" s="3" t="s">
        <v>245</v>
      </c>
      <c r="AA151" s="3" t="s">
        <v>1630</v>
      </c>
      <c r="AB151" s="3" t="s">
        <v>247</v>
      </c>
      <c r="AC151" s="3" t="s">
        <v>247</v>
      </c>
      <c r="AD151" s="3" t="s">
        <v>247</v>
      </c>
      <c r="AE151" s="3"/>
      <c r="AF151" s="3" t="s">
        <v>18</v>
      </c>
      <c r="AG151" s="3" t="s">
        <v>1631</v>
      </c>
      <c r="AH151" s="3" t="s">
        <v>248</v>
      </c>
      <c r="AI151" s="3"/>
      <c r="AJ151" s="3" t="s">
        <v>1632</v>
      </c>
      <c r="AK151" s="3" t="s">
        <v>249</v>
      </c>
    </row>
    <row r="152" ht="34" spans="1:37">
      <c r="A152" s="3" t="s">
        <v>14</v>
      </c>
      <c r="B152" s="3" t="s">
        <v>74</v>
      </c>
      <c r="C152" s="3" t="s">
        <v>227</v>
      </c>
      <c r="D152" s="3" t="s">
        <v>1633</v>
      </c>
      <c r="E152" s="3" t="s">
        <v>229</v>
      </c>
      <c r="F152" s="3" t="s">
        <v>1634</v>
      </c>
      <c r="G152" s="4">
        <v>28</v>
      </c>
      <c r="H152" s="3" t="s">
        <v>1567</v>
      </c>
      <c r="I152" s="3" t="s">
        <v>1567</v>
      </c>
      <c r="J152" s="3" t="s">
        <v>233</v>
      </c>
      <c r="K152" s="3" t="s">
        <v>766</v>
      </c>
      <c r="L152" s="3" t="s">
        <v>1635</v>
      </c>
      <c r="M152" s="3" t="s">
        <v>236</v>
      </c>
      <c r="N152" s="3" t="s">
        <v>585</v>
      </c>
      <c r="O152" s="3" t="s">
        <v>1636</v>
      </c>
      <c r="P152" s="3" t="s">
        <v>239</v>
      </c>
      <c r="Q152" s="3"/>
      <c r="R152" s="3" t="s">
        <v>240</v>
      </c>
      <c r="S152" s="3" t="s">
        <v>1007</v>
      </c>
      <c r="T152" s="3" t="s">
        <v>79</v>
      </c>
      <c r="U152" s="3" t="s">
        <v>79</v>
      </c>
      <c r="V152" s="3" t="s">
        <v>242</v>
      </c>
      <c r="W152" s="3" t="s">
        <v>1628</v>
      </c>
      <c r="X152" s="3" t="s">
        <v>1637</v>
      </c>
      <c r="Y152" s="3" t="s">
        <v>244</v>
      </c>
      <c r="Z152" s="3" t="s">
        <v>245</v>
      </c>
      <c r="AA152" s="3" t="s">
        <v>1638</v>
      </c>
      <c r="AB152" s="3" t="s">
        <v>247</v>
      </c>
      <c r="AC152" s="3" t="s">
        <v>247</v>
      </c>
      <c r="AD152" s="3" t="s">
        <v>247</v>
      </c>
      <c r="AE152" s="3"/>
      <c r="AF152" s="3" t="s">
        <v>14</v>
      </c>
      <c r="AG152" s="3" t="s">
        <v>1639</v>
      </c>
      <c r="AH152" s="3" t="s">
        <v>248</v>
      </c>
      <c r="AI152" s="3"/>
      <c r="AJ152" s="3" t="s">
        <v>1640</v>
      </c>
      <c r="AK152" s="3" t="s">
        <v>249</v>
      </c>
    </row>
    <row r="153" ht="34" spans="1:37">
      <c r="A153" s="3" t="s">
        <v>23</v>
      </c>
      <c r="B153" s="3" t="s">
        <v>190</v>
      </c>
      <c r="C153" s="3" t="s">
        <v>251</v>
      </c>
      <c r="D153" s="3" t="s">
        <v>1641</v>
      </c>
      <c r="E153" s="3" t="s">
        <v>414</v>
      </c>
      <c r="F153" s="3" t="s">
        <v>1351</v>
      </c>
      <c r="G153" s="4">
        <v>31</v>
      </c>
      <c r="H153" s="3" t="s">
        <v>1642</v>
      </c>
      <c r="I153" s="3" t="s">
        <v>1624</v>
      </c>
      <c r="J153" s="3" t="s">
        <v>233</v>
      </c>
      <c r="K153" s="3" t="s">
        <v>766</v>
      </c>
      <c r="L153" s="3" t="s">
        <v>1643</v>
      </c>
      <c r="M153" s="3" t="s">
        <v>236</v>
      </c>
      <c r="N153" s="3" t="s">
        <v>237</v>
      </c>
      <c r="O153" s="3" t="s">
        <v>1644</v>
      </c>
      <c r="P153" s="3" t="s">
        <v>1428</v>
      </c>
      <c r="Q153" s="3"/>
      <c r="R153" s="3" t="s">
        <v>240</v>
      </c>
      <c r="S153" s="3" t="s">
        <v>289</v>
      </c>
      <c r="T153" s="3" t="s">
        <v>79</v>
      </c>
      <c r="U153" s="3" t="s">
        <v>79</v>
      </c>
      <c r="V153" s="3" t="s">
        <v>242</v>
      </c>
      <c r="W153" s="3" t="s">
        <v>1628</v>
      </c>
      <c r="X153" s="3" t="s">
        <v>1645</v>
      </c>
      <c r="Y153" s="3" t="s">
        <v>244</v>
      </c>
      <c r="Z153" s="3" t="s">
        <v>245</v>
      </c>
      <c r="AA153" s="3" t="s">
        <v>1646</v>
      </c>
      <c r="AB153" s="3" t="s">
        <v>247</v>
      </c>
      <c r="AC153" s="3" t="s">
        <v>247</v>
      </c>
      <c r="AD153" s="3" t="s">
        <v>247</v>
      </c>
      <c r="AE153" s="3"/>
      <c r="AF153" s="3" t="s">
        <v>645</v>
      </c>
      <c r="AG153" s="3" t="s">
        <v>1647</v>
      </c>
      <c r="AH153" s="3" t="s">
        <v>248</v>
      </c>
      <c r="AI153" s="3"/>
      <c r="AJ153" s="3" t="s">
        <v>1648</v>
      </c>
      <c r="AK153" s="3" t="s">
        <v>249</v>
      </c>
    </row>
    <row r="154" ht="34" spans="1:37">
      <c r="A154" s="3" t="s">
        <v>20</v>
      </c>
      <c r="B154" s="3" t="s">
        <v>145</v>
      </c>
      <c r="C154" s="3" t="s">
        <v>227</v>
      </c>
      <c r="D154" s="3" t="s">
        <v>1649</v>
      </c>
      <c r="E154" s="3" t="s">
        <v>229</v>
      </c>
      <c r="F154" s="3" t="s">
        <v>1650</v>
      </c>
      <c r="G154" s="4">
        <v>28</v>
      </c>
      <c r="H154" s="3" t="s">
        <v>1567</v>
      </c>
      <c r="I154" s="3" t="s">
        <v>1567</v>
      </c>
      <c r="J154" s="3" t="s">
        <v>233</v>
      </c>
      <c r="K154" s="3" t="s">
        <v>1444</v>
      </c>
      <c r="L154" s="3" t="s">
        <v>1651</v>
      </c>
      <c r="M154" s="3" t="s">
        <v>236</v>
      </c>
      <c r="N154" s="3" t="s">
        <v>1309</v>
      </c>
      <c r="O154" s="3" t="s">
        <v>1652</v>
      </c>
      <c r="P154" s="3" t="s">
        <v>239</v>
      </c>
      <c r="Q154" s="3"/>
      <c r="R154" s="3" t="s">
        <v>240</v>
      </c>
      <c r="S154" s="3" t="s">
        <v>1007</v>
      </c>
      <c r="T154" s="3" t="s">
        <v>79</v>
      </c>
      <c r="U154" s="3" t="s">
        <v>79</v>
      </c>
      <c r="V154" s="3" t="s">
        <v>242</v>
      </c>
      <c r="W154" s="3" t="s">
        <v>1628</v>
      </c>
      <c r="X154" s="3" t="s">
        <v>1486</v>
      </c>
      <c r="Y154" s="3" t="s">
        <v>244</v>
      </c>
      <c r="Z154" s="3" t="s">
        <v>245</v>
      </c>
      <c r="AA154" s="3" t="s">
        <v>1653</v>
      </c>
      <c r="AB154" s="3" t="s">
        <v>247</v>
      </c>
      <c r="AC154" s="3" t="s">
        <v>247</v>
      </c>
      <c r="AD154" s="3" t="s">
        <v>247</v>
      </c>
      <c r="AE154" s="3"/>
      <c r="AF154" s="3" t="s">
        <v>13</v>
      </c>
      <c r="AG154" s="3" t="s">
        <v>1654</v>
      </c>
      <c r="AH154" s="3" t="s">
        <v>248</v>
      </c>
      <c r="AI154" s="3"/>
      <c r="AJ154" s="3" t="s">
        <v>1655</v>
      </c>
      <c r="AK154" s="3" t="s">
        <v>249</v>
      </c>
    </row>
    <row r="155" ht="34" spans="1:37">
      <c r="A155" s="3" t="s">
        <v>21</v>
      </c>
      <c r="B155" s="3" t="s">
        <v>153</v>
      </c>
      <c r="C155" s="3" t="s">
        <v>227</v>
      </c>
      <c r="D155" s="3" t="s">
        <v>1656</v>
      </c>
      <c r="E155" s="3" t="s">
        <v>360</v>
      </c>
      <c r="F155" s="3" t="s">
        <v>1657</v>
      </c>
      <c r="G155" s="4">
        <v>29</v>
      </c>
      <c r="H155" s="3" t="s">
        <v>1567</v>
      </c>
      <c r="I155" s="3" t="s">
        <v>1567</v>
      </c>
      <c r="J155" s="3" t="s">
        <v>233</v>
      </c>
      <c r="K155" s="3" t="s">
        <v>766</v>
      </c>
      <c r="L155" s="3" t="s">
        <v>1658</v>
      </c>
      <c r="M155" s="3" t="s">
        <v>236</v>
      </c>
      <c r="N155" s="3" t="s">
        <v>237</v>
      </c>
      <c r="O155" s="3" t="s">
        <v>1659</v>
      </c>
      <c r="P155" s="3" t="s">
        <v>239</v>
      </c>
      <c r="Q155" s="3"/>
      <c r="R155" s="3" t="s">
        <v>240</v>
      </c>
      <c r="S155" s="3"/>
      <c r="T155" s="3" t="s">
        <v>79</v>
      </c>
      <c r="U155" s="3" t="s">
        <v>79</v>
      </c>
      <c r="V155" s="3" t="s">
        <v>242</v>
      </c>
      <c r="W155" s="3" t="s">
        <v>1628</v>
      </c>
      <c r="X155" s="3" t="s">
        <v>1660</v>
      </c>
      <c r="Y155" s="3" t="s">
        <v>244</v>
      </c>
      <c r="Z155" s="3" t="s">
        <v>245</v>
      </c>
      <c r="AA155" s="3" t="s">
        <v>1661</v>
      </c>
      <c r="AB155" s="3" t="s">
        <v>247</v>
      </c>
      <c r="AC155" s="3" t="s">
        <v>247</v>
      </c>
      <c r="AD155" s="3" t="s">
        <v>247</v>
      </c>
      <c r="AE155" s="3"/>
      <c r="AF155" s="3" t="s">
        <v>21</v>
      </c>
      <c r="AG155" s="3" t="s">
        <v>1662</v>
      </c>
      <c r="AH155" s="3" t="s">
        <v>248</v>
      </c>
      <c r="AI155" s="3"/>
      <c r="AJ155" s="3" t="s">
        <v>1663</v>
      </c>
      <c r="AK155" s="3" t="s">
        <v>249</v>
      </c>
    </row>
    <row r="156" ht="34" spans="1:37">
      <c r="A156" s="3" t="s">
        <v>20</v>
      </c>
      <c r="B156" s="3" t="s">
        <v>134</v>
      </c>
      <c r="C156" s="3" t="s">
        <v>227</v>
      </c>
      <c r="D156" s="3" t="s">
        <v>1664</v>
      </c>
      <c r="E156" s="3" t="s">
        <v>229</v>
      </c>
      <c r="F156" s="3" t="s">
        <v>1665</v>
      </c>
      <c r="G156" s="4">
        <v>30</v>
      </c>
      <c r="H156" s="3" t="s">
        <v>1567</v>
      </c>
      <c r="I156" s="3" t="s">
        <v>1567</v>
      </c>
      <c r="J156" s="3" t="s">
        <v>233</v>
      </c>
      <c r="K156" s="3" t="s">
        <v>1666</v>
      </c>
      <c r="L156" s="3" t="s">
        <v>1667</v>
      </c>
      <c r="M156" s="3" t="s">
        <v>236</v>
      </c>
      <c r="N156" s="3" t="s">
        <v>352</v>
      </c>
      <c r="O156" s="3" t="s">
        <v>1668</v>
      </c>
      <c r="P156" s="3" t="s">
        <v>239</v>
      </c>
      <c r="Q156" s="3"/>
      <c r="R156" s="3" t="s">
        <v>240</v>
      </c>
      <c r="S156" s="3" t="s">
        <v>289</v>
      </c>
      <c r="T156" s="3" t="s">
        <v>79</v>
      </c>
      <c r="U156" s="3" t="s">
        <v>79</v>
      </c>
      <c r="V156" s="3" t="s">
        <v>242</v>
      </c>
      <c r="W156" s="3" t="s">
        <v>1628</v>
      </c>
      <c r="X156" s="3" t="s">
        <v>1669</v>
      </c>
      <c r="Y156" s="3" t="s">
        <v>244</v>
      </c>
      <c r="Z156" s="3" t="s">
        <v>245</v>
      </c>
      <c r="AA156" s="3" t="s">
        <v>1670</v>
      </c>
      <c r="AB156" s="3" t="s">
        <v>247</v>
      </c>
      <c r="AC156" s="3" t="s">
        <v>247</v>
      </c>
      <c r="AD156" s="3" t="s">
        <v>247</v>
      </c>
      <c r="AE156" s="3"/>
      <c r="AF156" s="3" t="s">
        <v>13</v>
      </c>
      <c r="AG156" s="3" t="s">
        <v>1671</v>
      </c>
      <c r="AH156" s="3" t="s">
        <v>248</v>
      </c>
      <c r="AI156" s="3"/>
      <c r="AJ156" s="3" t="s">
        <v>1672</v>
      </c>
      <c r="AK156" s="3" t="s">
        <v>249</v>
      </c>
    </row>
    <row r="157" ht="34" spans="1:37">
      <c r="A157" s="3" t="s">
        <v>15</v>
      </c>
      <c r="B157" s="3" t="s">
        <v>1673</v>
      </c>
      <c r="C157" s="3" t="s">
        <v>227</v>
      </c>
      <c r="D157" s="3" t="s">
        <v>1674</v>
      </c>
      <c r="E157" s="3" t="s">
        <v>229</v>
      </c>
      <c r="F157" s="3" t="s">
        <v>1675</v>
      </c>
      <c r="G157" s="4">
        <v>27</v>
      </c>
      <c r="H157" s="3" t="s">
        <v>1676</v>
      </c>
      <c r="I157" s="3" t="s">
        <v>1676</v>
      </c>
      <c r="J157" s="3" t="s">
        <v>233</v>
      </c>
      <c r="K157" s="3" t="s">
        <v>766</v>
      </c>
      <c r="L157" s="3" t="s">
        <v>1677</v>
      </c>
      <c r="M157" s="3" t="s">
        <v>236</v>
      </c>
      <c r="N157" s="3" t="s">
        <v>286</v>
      </c>
      <c r="O157" s="3" t="s">
        <v>930</v>
      </c>
      <c r="P157" s="3" t="s">
        <v>1678</v>
      </c>
      <c r="Q157" s="3"/>
      <c r="R157" s="3" t="s">
        <v>240</v>
      </c>
      <c r="S157" s="3" t="s">
        <v>1007</v>
      </c>
      <c r="T157" s="3" t="s">
        <v>79</v>
      </c>
      <c r="U157" s="3" t="s">
        <v>79</v>
      </c>
      <c r="V157" s="3" t="s">
        <v>242</v>
      </c>
      <c r="W157" s="3" t="s">
        <v>1679</v>
      </c>
      <c r="X157" s="3" t="s">
        <v>1680</v>
      </c>
      <c r="Y157" s="3" t="s">
        <v>244</v>
      </c>
      <c r="Z157" s="3" t="s">
        <v>245</v>
      </c>
      <c r="AA157" s="3" t="s">
        <v>1681</v>
      </c>
      <c r="AB157" s="3" t="s">
        <v>247</v>
      </c>
      <c r="AC157" s="3" t="s">
        <v>247</v>
      </c>
      <c r="AD157" s="3" t="s">
        <v>247</v>
      </c>
      <c r="AE157" s="3"/>
      <c r="AF157" s="3" t="s">
        <v>15</v>
      </c>
      <c r="AG157" s="3" t="s">
        <v>1682</v>
      </c>
      <c r="AH157" s="3" t="s">
        <v>248</v>
      </c>
      <c r="AI157" s="3"/>
      <c r="AJ157" s="3" t="s">
        <v>1683</v>
      </c>
      <c r="AK157" s="3" t="s">
        <v>249</v>
      </c>
    </row>
    <row r="158" ht="34" spans="1:37">
      <c r="A158" s="3" t="s">
        <v>15</v>
      </c>
      <c r="B158" s="3" t="s">
        <v>89</v>
      </c>
      <c r="C158" s="3" t="s">
        <v>227</v>
      </c>
      <c r="D158" s="3" t="s">
        <v>1684</v>
      </c>
      <c r="E158" s="3" t="s">
        <v>229</v>
      </c>
      <c r="F158" s="3" t="s">
        <v>1685</v>
      </c>
      <c r="G158" s="4">
        <v>29</v>
      </c>
      <c r="H158" s="3" t="s">
        <v>1676</v>
      </c>
      <c r="I158" s="3" t="s">
        <v>1676</v>
      </c>
      <c r="J158" s="3" t="s">
        <v>233</v>
      </c>
      <c r="K158" s="3" t="s">
        <v>1477</v>
      </c>
      <c r="L158" s="3" t="s">
        <v>1686</v>
      </c>
      <c r="M158" s="3" t="s">
        <v>236</v>
      </c>
      <c r="N158" s="3" t="s">
        <v>237</v>
      </c>
      <c r="O158" s="3" t="s">
        <v>1209</v>
      </c>
      <c r="P158" s="3" t="s">
        <v>1687</v>
      </c>
      <c r="Q158" s="3"/>
      <c r="R158" s="3" t="s">
        <v>240</v>
      </c>
      <c r="S158" s="3" t="s">
        <v>1007</v>
      </c>
      <c r="T158" s="3" t="s">
        <v>79</v>
      </c>
      <c r="U158" s="3" t="s">
        <v>79</v>
      </c>
      <c r="V158" s="3" t="s">
        <v>242</v>
      </c>
      <c r="W158" s="3" t="s">
        <v>1679</v>
      </c>
      <c r="X158" s="3" t="s">
        <v>1688</v>
      </c>
      <c r="Y158" s="3" t="s">
        <v>244</v>
      </c>
      <c r="Z158" s="3" t="s">
        <v>245</v>
      </c>
      <c r="AA158" s="3" t="s">
        <v>1689</v>
      </c>
      <c r="AB158" s="3" t="s">
        <v>247</v>
      </c>
      <c r="AC158" s="3" t="s">
        <v>247</v>
      </c>
      <c r="AD158" s="3" t="s">
        <v>247</v>
      </c>
      <c r="AE158" s="3"/>
      <c r="AF158" s="3" t="s">
        <v>15</v>
      </c>
      <c r="AG158" s="3" t="s">
        <v>1690</v>
      </c>
      <c r="AH158" s="3" t="s">
        <v>248</v>
      </c>
      <c r="AI158" s="3"/>
      <c r="AJ158" s="3" t="s">
        <v>1691</v>
      </c>
      <c r="AK158" s="3" t="s">
        <v>249</v>
      </c>
    </row>
    <row r="159" ht="34" spans="1:37">
      <c r="A159" s="3" t="s">
        <v>20</v>
      </c>
      <c r="B159" s="3" t="s">
        <v>1692</v>
      </c>
      <c r="C159" s="3" t="s">
        <v>227</v>
      </c>
      <c r="D159" s="3" t="s">
        <v>1693</v>
      </c>
      <c r="E159" s="3" t="s">
        <v>1694</v>
      </c>
      <c r="F159" s="3" t="s">
        <v>1695</v>
      </c>
      <c r="G159" s="4">
        <v>28</v>
      </c>
      <c r="H159" s="3" t="s">
        <v>1676</v>
      </c>
      <c r="I159" s="3" t="s">
        <v>1676</v>
      </c>
      <c r="J159" s="3" t="s">
        <v>233</v>
      </c>
      <c r="K159" s="3" t="s">
        <v>1666</v>
      </c>
      <c r="L159" s="3" t="s">
        <v>1696</v>
      </c>
      <c r="M159" s="3" t="s">
        <v>351</v>
      </c>
      <c r="N159" s="3" t="s">
        <v>327</v>
      </c>
      <c r="O159" s="3" t="s">
        <v>1697</v>
      </c>
      <c r="P159" s="3" t="s">
        <v>1698</v>
      </c>
      <c r="Q159" s="3"/>
      <c r="R159" s="3" t="s">
        <v>240</v>
      </c>
      <c r="S159" s="3" t="s">
        <v>241</v>
      </c>
      <c r="T159" s="3" t="s">
        <v>79</v>
      </c>
      <c r="U159" s="3" t="s">
        <v>79</v>
      </c>
      <c r="V159" s="3" t="s">
        <v>242</v>
      </c>
      <c r="W159" s="3" t="s">
        <v>1679</v>
      </c>
      <c r="X159" s="3" t="s">
        <v>1699</v>
      </c>
      <c r="Y159" s="3" t="s">
        <v>244</v>
      </c>
      <c r="Z159" s="3" t="s">
        <v>245</v>
      </c>
      <c r="AA159" s="3" t="s">
        <v>1700</v>
      </c>
      <c r="AB159" s="3" t="s">
        <v>247</v>
      </c>
      <c r="AC159" s="3" t="s">
        <v>247</v>
      </c>
      <c r="AD159" s="3" t="s">
        <v>247</v>
      </c>
      <c r="AE159" s="3"/>
      <c r="AF159" s="3" t="s">
        <v>13</v>
      </c>
      <c r="AG159" s="3" t="s">
        <v>1701</v>
      </c>
      <c r="AH159" s="3" t="s">
        <v>248</v>
      </c>
      <c r="AI159" s="3"/>
      <c r="AJ159" s="3" t="s">
        <v>1702</v>
      </c>
      <c r="AK159" s="3" t="s">
        <v>249</v>
      </c>
    </row>
    <row r="160" ht="34" spans="1:37">
      <c r="A160" s="3" t="s">
        <v>15</v>
      </c>
      <c r="B160" s="3" t="s">
        <v>82</v>
      </c>
      <c r="C160" s="3" t="s">
        <v>251</v>
      </c>
      <c r="D160" s="3" t="s">
        <v>1703</v>
      </c>
      <c r="E160" s="3" t="s">
        <v>360</v>
      </c>
      <c r="F160" s="3" t="s">
        <v>1704</v>
      </c>
      <c r="G160" s="4">
        <v>30</v>
      </c>
      <c r="H160" s="3" t="s">
        <v>1676</v>
      </c>
      <c r="I160" s="3" t="s">
        <v>1676</v>
      </c>
      <c r="J160" s="3" t="s">
        <v>233</v>
      </c>
      <c r="K160" s="3" t="s">
        <v>766</v>
      </c>
      <c r="L160" s="3" t="s">
        <v>1705</v>
      </c>
      <c r="M160" s="3" t="s">
        <v>1127</v>
      </c>
      <c r="N160" s="3" t="s">
        <v>352</v>
      </c>
      <c r="O160" s="3" t="s">
        <v>1706</v>
      </c>
      <c r="P160" s="3" t="s">
        <v>1676</v>
      </c>
      <c r="Q160" s="3"/>
      <c r="R160" s="3" t="s">
        <v>240</v>
      </c>
      <c r="S160" s="3" t="s">
        <v>1007</v>
      </c>
      <c r="T160" s="3" t="s">
        <v>79</v>
      </c>
      <c r="U160" s="3" t="s">
        <v>79</v>
      </c>
      <c r="V160" s="3" t="s">
        <v>242</v>
      </c>
      <c r="W160" s="3" t="s">
        <v>1679</v>
      </c>
      <c r="X160" s="3" t="s">
        <v>1707</v>
      </c>
      <c r="Y160" s="3" t="s">
        <v>244</v>
      </c>
      <c r="Z160" s="3" t="s">
        <v>245</v>
      </c>
      <c r="AA160" s="3" t="s">
        <v>1708</v>
      </c>
      <c r="AB160" s="3" t="s">
        <v>247</v>
      </c>
      <c r="AC160" s="3" t="s">
        <v>247</v>
      </c>
      <c r="AD160" s="3" t="s">
        <v>247</v>
      </c>
      <c r="AE160" s="3"/>
      <c r="AF160" s="3" t="s">
        <v>1709</v>
      </c>
      <c r="AG160" s="3" t="s">
        <v>1710</v>
      </c>
      <c r="AH160" s="3" t="s">
        <v>248</v>
      </c>
      <c r="AI160" s="3"/>
      <c r="AJ160" s="3" t="s">
        <v>1711</v>
      </c>
      <c r="AK160" s="3" t="s">
        <v>249</v>
      </c>
    </row>
    <row r="161" ht="34" spans="1:37">
      <c r="A161" s="3" t="s">
        <v>18</v>
      </c>
      <c r="B161" s="3" t="s">
        <v>109</v>
      </c>
      <c r="C161" s="3" t="s">
        <v>227</v>
      </c>
      <c r="D161" s="3" t="s">
        <v>1712</v>
      </c>
      <c r="E161" s="3" t="s">
        <v>1694</v>
      </c>
      <c r="F161" s="3" t="s">
        <v>1713</v>
      </c>
      <c r="G161" s="4">
        <v>26</v>
      </c>
      <c r="H161" s="3" t="s">
        <v>1676</v>
      </c>
      <c r="I161" s="3" t="s">
        <v>1676</v>
      </c>
      <c r="J161" s="3" t="s">
        <v>233</v>
      </c>
      <c r="K161" s="3" t="s">
        <v>1335</v>
      </c>
      <c r="L161" s="3" t="s">
        <v>1714</v>
      </c>
      <c r="M161" s="3" t="s">
        <v>351</v>
      </c>
      <c r="N161" s="3" t="s">
        <v>352</v>
      </c>
      <c r="O161" s="3" t="s">
        <v>1715</v>
      </c>
      <c r="P161" s="3" t="s">
        <v>1678</v>
      </c>
      <c r="Q161" s="3" t="s">
        <v>272</v>
      </c>
      <c r="R161" s="3" t="s">
        <v>240</v>
      </c>
      <c r="S161" s="3" t="s">
        <v>1007</v>
      </c>
      <c r="T161" s="3" t="s">
        <v>79</v>
      </c>
      <c r="U161" s="3" t="s">
        <v>79</v>
      </c>
      <c r="V161" s="3" t="s">
        <v>242</v>
      </c>
      <c r="W161" s="3" t="s">
        <v>1679</v>
      </c>
      <c r="X161" s="3" t="s">
        <v>1716</v>
      </c>
      <c r="Y161" s="3" t="s">
        <v>244</v>
      </c>
      <c r="Z161" s="3" t="s">
        <v>245</v>
      </c>
      <c r="AA161" s="3" t="s">
        <v>1717</v>
      </c>
      <c r="AB161" s="3" t="s">
        <v>247</v>
      </c>
      <c r="AC161" s="3" t="s">
        <v>247</v>
      </c>
      <c r="AD161" s="3" t="s">
        <v>247</v>
      </c>
      <c r="AE161" s="3"/>
      <c r="AF161" s="3" t="s">
        <v>18</v>
      </c>
      <c r="AG161" s="3" t="s">
        <v>1718</v>
      </c>
      <c r="AH161" s="3" t="s">
        <v>248</v>
      </c>
      <c r="AI161" s="3"/>
      <c r="AJ161" s="3" t="s">
        <v>1719</v>
      </c>
      <c r="AK161" s="3" t="s">
        <v>249</v>
      </c>
    </row>
    <row r="162" ht="34" spans="1:37">
      <c r="A162" s="3" t="s">
        <v>20</v>
      </c>
      <c r="B162" s="3" t="s">
        <v>146</v>
      </c>
      <c r="C162" s="3" t="s">
        <v>227</v>
      </c>
      <c r="D162" s="3" t="s">
        <v>1720</v>
      </c>
      <c r="E162" s="3" t="s">
        <v>1694</v>
      </c>
      <c r="F162" s="3" t="s">
        <v>1721</v>
      </c>
      <c r="G162" s="4">
        <v>26</v>
      </c>
      <c r="H162" s="3" t="s">
        <v>1676</v>
      </c>
      <c r="I162" s="3" t="s">
        <v>1676</v>
      </c>
      <c r="J162" s="3" t="s">
        <v>233</v>
      </c>
      <c r="K162" s="3" t="s">
        <v>1548</v>
      </c>
      <c r="L162" s="3" t="s">
        <v>1722</v>
      </c>
      <c r="M162" s="3" t="s">
        <v>351</v>
      </c>
      <c r="N162" s="3" t="s">
        <v>327</v>
      </c>
      <c r="O162" s="3" t="s">
        <v>1723</v>
      </c>
      <c r="P162" s="3" t="s">
        <v>1678</v>
      </c>
      <c r="Q162" s="3"/>
      <c r="R162" s="3" t="s">
        <v>240</v>
      </c>
      <c r="S162" s="3" t="s">
        <v>1007</v>
      </c>
      <c r="T162" s="3" t="s">
        <v>79</v>
      </c>
      <c r="U162" s="3" t="s">
        <v>79</v>
      </c>
      <c r="V162" s="3" t="s">
        <v>242</v>
      </c>
      <c r="W162" s="3" t="s">
        <v>1679</v>
      </c>
      <c r="X162" s="3" t="s">
        <v>1724</v>
      </c>
      <c r="Y162" s="3" t="s">
        <v>244</v>
      </c>
      <c r="Z162" s="3" t="s">
        <v>245</v>
      </c>
      <c r="AA162" s="3" t="s">
        <v>1725</v>
      </c>
      <c r="AB162" s="3" t="s">
        <v>247</v>
      </c>
      <c r="AC162" s="3" t="s">
        <v>247</v>
      </c>
      <c r="AD162" s="3" t="s">
        <v>247</v>
      </c>
      <c r="AE162" s="3"/>
      <c r="AF162" s="3" t="s">
        <v>13</v>
      </c>
      <c r="AG162" s="3" t="s">
        <v>1726</v>
      </c>
      <c r="AH162" s="3" t="s">
        <v>248</v>
      </c>
      <c r="AI162" s="3"/>
      <c r="AJ162" s="3" t="s">
        <v>1727</v>
      </c>
      <c r="AK162" s="3" t="s">
        <v>249</v>
      </c>
    </row>
    <row r="163" ht="34" spans="1:37">
      <c r="A163" s="3" t="s">
        <v>15</v>
      </c>
      <c r="B163" s="3" t="s">
        <v>84</v>
      </c>
      <c r="C163" s="3" t="s">
        <v>251</v>
      </c>
      <c r="D163" s="3" t="s">
        <v>1728</v>
      </c>
      <c r="E163" s="3" t="s">
        <v>1587</v>
      </c>
      <c r="F163" s="3" t="s">
        <v>975</v>
      </c>
      <c r="G163" s="4">
        <v>44</v>
      </c>
      <c r="H163" s="3" t="s">
        <v>1547</v>
      </c>
      <c r="I163" s="3" t="s">
        <v>1729</v>
      </c>
      <c r="J163" s="3" t="s">
        <v>266</v>
      </c>
      <c r="K163" s="3" t="s">
        <v>1730</v>
      </c>
      <c r="L163" s="3" t="s">
        <v>1731</v>
      </c>
      <c r="M163" s="3" t="s">
        <v>351</v>
      </c>
      <c r="N163" s="3" t="s">
        <v>237</v>
      </c>
      <c r="O163" s="3" t="s">
        <v>960</v>
      </c>
      <c r="P163" s="3" t="s">
        <v>722</v>
      </c>
      <c r="Q163" s="3"/>
      <c r="R163" s="3" t="s">
        <v>273</v>
      </c>
      <c r="S163" s="3"/>
      <c r="T163" s="3" t="s">
        <v>79</v>
      </c>
      <c r="U163" s="3" t="s">
        <v>79</v>
      </c>
      <c r="V163" s="3" t="s">
        <v>242</v>
      </c>
      <c r="W163" s="3" t="s">
        <v>1732</v>
      </c>
      <c r="X163" s="3" t="s">
        <v>1733</v>
      </c>
      <c r="Y163" s="3" t="s">
        <v>244</v>
      </c>
      <c r="Z163" s="3" t="s">
        <v>245</v>
      </c>
      <c r="AA163" s="3" t="s">
        <v>1734</v>
      </c>
      <c r="AB163" s="3" t="s">
        <v>247</v>
      </c>
      <c r="AC163" s="3" t="s">
        <v>247</v>
      </c>
      <c r="AD163" s="3" t="s">
        <v>247</v>
      </c>
      <c r="AE163" s="3"/>
      <c r="AF163" s="3" t="s">
        <v>1709</v>
      </c>
      <c r="AG163" s="3" t="s">
        <v>1735</v>
      </c>
      <c r="AH163" s="3" t="s">
        <v>248</v>
      </c>
      <c r="AI163" s="3"/>
      <c r="AJ163" s="3" t="s">
        <v>1736</v>
      </c>
      <c r="AK163" s="3" t="s">
        <v>249</v>
      </c>
    </row>
    <row r="164" ht="34" spans="1:37">
      <c r="A164" s="3" t="s">
        <v>15</v>
      </c>
      <c r="B164" s="3" t="s">
        <v>90</v>
      </c>
      <c r="C164" s="3" t="s">
        <v>227</v>
      </c>
      <c r="D164" s="3" t="s">
        <v>1737</v>
      </c>
      <c r="E164" s="3" t="s">
        <v>229</v>
      </c>
      <c r="F164" s="3" t="s">
        <v>1738</v>
      </c>
      <c r="G164" s="4">
        <v>27</v>
      </c>
      <c r="H164" s="3" t="s">
        <v>1676</v>
      </c>
      <c r="I164" s="3" t="s">
        <v>1739</v>
      </c>
      <c r="J164" s="3" t="s">
        <v>233</v>
      </c>
      <c r="K164" s="3" t="s">
        <v>766</v>
      </c>
      <c r="L164" s="3" t="s">
        <v>1740</v>
      </c>
      <c r="M164" s="3" t="s">
        <v>236</v>
      </c>
      <c r="N164" s="3" t="s">
        <v>237</v>
      </c>
      <c r="O164" s="3" t="s">
        <v>1741</v>
      </c>
      <c r="P164" s="3" t="s">
        <v>1742</v>
      </c>
      <c r="Q164" s="3"/>
      <c r="R164" s="3" t="s">
        <v>240</v>
      </c>
      <c r="S164" s="3" t="s">
        <v>1007</v>
      </c>
      <c r="T164" s="3" t="s">
        <v>79</v>
      </c>
      <c r="U164" s="3" t="s">
        <v>79</v>
      </c>
      <c r="V164" s="3" t="s">
        <v>242</v>
      </c>
      <c r="W164" s="3" t="s">
        <v>1732</v>
      </c>
      <c r="X164" s="3" t="s">
        <v>1743</v>
      </c>
      <c r="Y164" s="3" t="s">
        <v>244</v>
      </c>
      <c r="Z164" s="3" t="s">
        <v>245</v>
      </c>
      <c r="AA164" s="3" t="s">
        <v>1744</v>
      </c>
      <c r="AB164" s="3" t="s">
        <v>247</v>
      </c>
      <c r="AC164" s="3" t="s">
        <v>247</v>
      </c>
      <c r="AD164" s="3" t="s">
        <v>247</v>
      </c>
      <c r="AE164" s="3"/>
      <c r="AF164" s="3" t="s">
        <v>15</v>
      </c>
      <c r="AG164" s="3" t="s">
        <v>1745</v>
      </c>
      <c r="AH164" s="3" t="s">
        <v>248</v>
      </c>
      <c r="AI164" s="3"/>
      <c r="AJ164" s="3" t="s">
        <v>1746</v>
      </c>
      <c r="AK164" s="3" t="s">
        <v>249</v>
      </c>
    </row>
    <row r="165" ht="34" spans="1:37">
      <c r="A165" s="3" t="s">
        <v>18</v>
      </c>
      <c r="B165" s="3" t="s">
        <v>104</v>
      </c>
      <c r="C165" s="3" t="s">
        <v>227</v>
      </c>
      <c r="D165" s="3" t="s">
        <v>1747</v>
      </c>
      <c r="E165" s="3" t="s">
        <v>229</v>
      </c>
      <c r="F165" s="3" t="s">
        <v>1748</v>
      </c>
      <c r="G165" s="4">
        <v>31</v>
      </c>
      <c r="H165" s="3" t="s">
        <v>1749</v>
      </c>
      <c r="I165" s="3" t="s">
        <v>1750</v>
      </c>
      <c r="J165" s="3" t="s">
        <v>233</v>
      </c>
      <c r="K165" s="3" t="s">
        <v>766</v>
      </c>
      <c r="L165" s="3" t="s">
        <v>1751</v>
      </c>
      <c r="M165" s="3" t="s">
        <v>236</v>
      </c>
      <c r="N165" s="3" t="s">
        <v>237</v>
      </c>
      <c r="O165" s="3" t="s">
        <v>1752</v>
      </c>
      <c r="P165" s="3" t="s">
        <v>1428</v>
      </c>
      <c r="Q165" s="3"/>
      <c r="R165" s="3" t="s">
        <v>240</v>
      </c>
      <c r="S165" s="3"/>
      <c r="T165" s="3" t="s">
        <v>79</v>
      </c>
      <c r="U165" s="3" t="s">
        <v>79</v>
      </c>
      <c r="V165" s="3" t="s">
        <v>242</v>
      </c>
      <c r="W165" s="3" t="s">
        <v>1732</v>
      </c>
      <c r="X165" s="3" t="s">
        <v>1753</v>
      </c>
      <c r="Y165" s="3" t="s">
        <v>244</v>
      </c>
      <c r="Z165" s="3" t="s">
        <v>245</v>
      </c>
      <c r="AA165" s="3" t="s">
        <v>1754</v>
      </c>
      <c r="AB165" s="3" t="s">
        <v>247</v>
      </c>
      <c r="AC165" s="3" t="s">
        <v>247</v>
      </c>
      <c r="AD165" s="3" t="s">
        <v>247</v>
      </c>
      <c r="AE165" s="3"/>
      <c r="AF165" s="3" t="s">
        <v>18</v>
      </c>
      <c r="AG165" s="3" t="s">
        <v>1755</v>
      </c>
      <c r="AH165" s="3" t="s">
        <v>248</v>
      </c>
      <c r="AI165" s="3"/>
      <c r="AJ165" s="3" t="s">
        <v>1756</v>
      </c>
      <c r="AK165" s="3" t="s">
        <v>249</v>
      </c>
    </row>
    <row r="166" ht="34" spans="1:37">
      <c r="A166" s="3" t="s">
        <v>23</v>
      </c>
      <c r="B166" s="3" t="s">
        <v>186</v>
      </c>
      <c r="C166" s="3" t="s">
        <v>251</v>
      </c>
      <c r="D166" s="3" t="s">
        <v>1757</v>
      </c>
      <c r="E166" s="3" t="s">
        <v>229</v>
      </c>
      <c r="F166" s="3" t="s">
        <v>1758</v>
      </c>
      <c r="G166" s="4">
        <v>31</v>
      </c>
      <c r="H166" s="3" t="s">
        <v>1428</v>
      </c>
      <c r="I166" s="3" t="s">
        <v>1759</v>
      </c>
      <c r="J166" s="3" t="s">
        <v>233</v>
      </c>
      <c r="K166" s="3" t="s">
        <v>766</v>
      </c>
      <c r="L166" s="3" t="s">
        <v>1760</v>
      </c>
      <c r="M166" s="3" t="s">
        <v>351</v>
      </c>
      <c r="N166" s="3" t="s">
        <v>502</v>
      </c>
      <c r="O166" s="3" t="s">
        <v>1761</v>
      </c>
      <c r="P166" s="3" t="s">
        <v>1428</v>
      </c>
      <c r="Q166" s="3"/>
      <c r="R166" s="3" t="s">
        <v>273</v>
      </c>
      <c r="S166" s="3"/>
      <c r="T166" s="3" t="s">
        <v>79</v>
      </c>
      <c r="U166" s="3" t="s">
        <v>79</v>
      </c>
      <c r="V166" s="3" t="s">
        <v>242</v>
      </c>
      <c r="W166" s="3" t="s">
        <v>1732</v>
      </c>
      <c r="X166" s="3" t="s">
        <v>1733</v>
      </c>
      <c r="Y166" s="3" t="s">
        <v>244</v>
      </c>
      <c r="Z166" s="3" t="s">
        <v>245</v>
      </c>
      <c r="AA166" s="3" t="s">
        <v>618</v>
      </c>
      <c r="AB166" s="3" t="s">
        <v>247</v>
      </c>
      <c r="AC166" s="3" t="s">
        <v>247</v>
      </c>
      <c r="AD166" s="3" t="s">
        <v>247</v>
      </c>
      <c r="AE166" s="3"/>
      <c r="AF166" s="3" t="s">
        <v>277</v>
      </c>
      <c r="AG166" s="3" t="s">
        <v>1762</v>
      </c>
      <c r="AH166" s="3" t="s">
        <v>248</v>
      </c>
      <c r="AI166" s="3"/>
      <c r="AJ166" s="3" t="s">
        <v>1763</v>
      </c>
      <c r="AK166" s="3" t="s">
        <v>249</v>
      </c>
    </row>
    <row r="167" ht="34" spans="1:37">
      <c r="A167" s="3" t="s">
        <v>21</v>
      </c>
      <c r="B167" s="3" t="s">
        <v>152</v>
      </c>
      <c r="C167" s="3" t="s">
        <v>227</v>
      </c>
      <c r="D167" s="3" t="s">
        <v>1764</v>
      </c>
      <c r="E167" s="3" t="s">
        <v>414</v>
      </c>
      <c r="F167" s="3" t="s">
        <v>1059</v>
      </c>
      <c r="G167" s="4">
        <v>37</v>
      </c>
      <c r="H167" s="3" t="s">
        <v>1283</v>
      </c>
      <c r="I167" s="3" t="s">
        <v>1765</v>
      </c>
      <c r="J167" s="3" t="s">
        <v>233</v>
      </c>
      <c r="K167" s="3" t="s">
        <v>766</v>
      </c>
      <c r="L167" s="3" t="s">
        <v>1766</v>
      </c>
      <c r="M167" s="3" t="s">
        <v>236</v>
      </c>
      <c r="N167" s="3" t="s">
        <v>237</v>
      </c>
      <c r="O167" s="3" t="s">
        <v>1767</v>
      </c>
      <c r="P167" s="3" t="s">
        <v>1742</v>
      </c>
      <c r="Q167" s="3"/>
      <c r="R167" s="3"/>
      <c r="S167" s="3"/>
      <c r="T167" s="3" t="s">
        <v>79</v>
      </c>
      <c r="U167" s="3" t="s">
        <v>79</v>
      </c>
      <c r="V167" s="3" t="s">
        <v>242</v>
      </c>
      <c r="W167" s="3" t="s">
        <v>1732</v>
      </c>
      <c r="X167" s="3" t="s">
        <v>1768</v>
      </c>
      <c r="Y167" s="3" t="s">
        <v>244</v>
      </c>
      <c r="Z167" s="3" t="s">
        <v>245</v>
      </c>
      <c r="AA167" s="3" t="s">
        <v>1769</v>
      </c>
      <c r="AB167" s="3" t="s">
        <v>247</v>
      </c>
      <c r="AC167" s="3" t="s">
        <v>247</v>
      </c>
      <c r="AD167" s="3" t="s">
        <v>247</v>
      </c>
      <c r="AE167" s="3"/>
      <c r="AF167" s="3" t="s">
        <v>21</v>
      </c>
      <c r="AG167" s="3" t="s">
        <v>1770</v>
      </c>
      <c r="AH167" s="3" t="s">
        <v>248</v>
      </c>
      <c r="AI167" s="3"/>
      <c r="AJ167" s="3" t="s">
        <v>1771</v>
      </c>
      <c r="AK167" s="3" t="s">
        <v>249</v>
      </c>
    </row>
    <row r="168" ht="34" spans="1:37">
      <c r="A168" s="3" t="s">
        <v>9</v>
      </c>
      <c r="B168" s="3" t="s">
        <v>34</v>
      </c>
      <c r="C168" s="3" t="s">
        <v>251</v>
      </c>
      <c r="D168" s="3" t="s">
        <v>1772</v>
      </c>
      <c r="E168" s="3" t="s">
        <v>1773</v>
      </c>
      <c r="F168" s="3" t="s">
        <v>1557</v>
      </c>
      <c r="G168" s="4">
        <v>38</v>
      </c>
      <c r="H168" s="3" t="s">
        <v>1774</v>
      </c>
      <c r="I168" s="3" t="s">
        <v>1759</v>
      </c>
      <c r="J168" s="3" t="s">
        <v>233</v>
      </c>
      <c r="K168" s="3" t="s">
        <v>1775</v>
      </c>
      <c r="L168" s="3" t="s">
        <v>1776</v>
      </c>
      <c r="M168" s="3" t="s">
        <v>351</v>
      </c>
      <c r="N168" s="3" t="s">
        <v>327</v>
      </c>
      <c r="O168" s="3" t="s">
        <v>1479</v>
      </c>
      <c r="P168" s="3" t="s">
        <v>1777</v>
      </c>
      <c r="Q168" s="3"/>
      <c r="R168" s="3" t="s">
        <v>273</v>
      </c>
      <c r="S168" s="3"/>
      <c r="T168" s="3" t="s">
        <v>79</v>
      </c>
      <c r="U168" s="3" t="s">
        <v>79</v>
      </c>
      <c r="V168" s="3" t="s">
        <v>242</v>
      </c>
      <c r="W168" s="3" t="s">
        <v>1732</v>
      </c>
      <c r="X168" s="3" t="s">
        <v>1778</v>
      </c>
      <c r="Y168" s="3" t="s">
        <v>244</v>
      </c>
      <c r="Z168" s="3" t="s">
        <v>245</v>
      </c>
      <c r="AA168" s="3" t="s">
        <v>1779</v>
      </c>
      <c r="AB168" s="3" t="s">
        <v>247</v>
      </c>
      <c r="AC168" s="3" t="s">
        <v>247</v>
      </c>
      <c r="AD168" s="3" t="s">
        <v>247</v>
      </c>
      <c r="AE168" s="3"/>
      <c r="AF168" s="3" t="s">
        <v>9</v>
      </c>
      <c r="AG168" s="3" t="s">
        <v>1780</v>
      </c>
      <c r="AH168" s="3" t="s">
        <v>248</v>
      </c>
      <c r="AI168" s="3"/>
      <c r="AJ168" s="3" t="s">
        <v>1781</v>
      </c>
      <c r="AK168" s="3" t="s">
        <v>249</v>
      </c>
    </row>
    <row r="169" ht="34" spans="1:37">
      <c r="A169" s="3" t="s">
        <v>22</v>
      </c>
      <c r="B169" s="3" t="s">
        <v>169</v>
      </c>
      <c r="C169" s="3" t="s">
        <v>251</v>
      </c>
      <c r="D169" s="3" t="s">
        <v>1782</v>
      </c>
      <c r="E169" s="3" t="s">
        <v>229</v>
      </c>
      <c r="F169" s="3" t="s">
        <v>1783</v>
      </c>
      <c r="G169" s="4">
        <v>25</v>
      </c>
      <c r="H169" s="3" t="s">
        <v>1784</v>
      </c>
      <c r="I169" s="3" t="s">
        <v>1784</v>
      </c>
      <c r="J169" s="3" t="s">
        <v>233</v>
      </c>
      <c r="K169" s="3" t="s">
        <v>766</v>
      </c>
      <c r="L169" s="3" t="s">
        <v>1785</v>
      </c>
      <c r="M169" s="3" t="s">
        <v>236</v>
      </c>
      <c r="N169" s="3" t="s">
        <v>365</v>
      </c>
      <c r="O169" s="3" t="s">
        <v>1190</v>
      </c>
      <c r="P169" s="3" t="s">
        <v>1759</v>
      </c>
      <c r="Q169" s="3" t="s">
        <v>272</v>
      </c>
      <c r="R169" s="3" t="s">
        <v>240</v>
      </c>
      <c r="S169" s="3" t="s">
        <v>1007</v>
      </c>
      <c r="T169" s="3" t="s">
        <v>79</v>
      </c>
      <c r="U169" s="3" t="s">
        <v>79</v>
      </c>
      <c r="V169" s="3" t="s">
        <v>242</v>
      </c>
      <c r="W169" s="3" t="s">
        <v>1786</v>
      </c>
      <c r="X169" s="3" t="s">
        <v>1787</v>
      </c>
      <c r="Y169" s="3" t="s">
        <v>244</v>
      </c>
      <c r="Z169" s="3" t="s">
        <v>245</v>
      </c>
      <c r="AA169" s="3" t="s">
        <v>1788</v>
      </c>
      <c r="AB169" s="3" t="s">
        <v>247</v>
      </c>
      <c r="AC169" s="3" t="s">
        <v>247</v>
      </c>
      <c r="AD169" s="3" t="s">
        <v>248</v>
      </c>
      <c r="AE169" s="3"/>
      <c r="AF169" s="3" t="s">
        <v>22</v>
      </c>
      <c r="AG169" s="3" t="s">
        <v>1789</v>
      </c>
      <c r="AH169" s="3" t="s">
        <v>248</v>
      </c>
      <c r="AI169" s="3"/>
      <c r="AJ169" s="3" t="s">
        <v>1790</v>
      </c>
      <c r="AK169" s="3" t="s">
        <v>249</v>
      </c>
    </row>
    <row r="170" ht="34" spans="1:37">
      <c r="A170" s="3" t="s">
        <v>22</v>
      </c>
      <c r="B170" s="3" t="s">
        <v>170</v>
      </c>
      <c r="C170" s="3" t="s">
        <v>227</v>
      </c>
      <c r="D170" s="3" t="s">
        <v>1791</v>
      </c>
      <c r="E170" s="3" t="s">
        <v>229</v>
      </c>
      <c r="F170" s="3" t="s">
        <v>1675</v>
      </c>
      <c r="G170" s="4">
        <v>27</v>
      </c>
      <c r="H170" s="3" t="s">
        <v>1784</v>
      </c>
      <c r="I170" s="3" t="s">
        <v>1784</v>
      </c>
      <c r="J170" s="3" t="s">
        <v>233</v>
      </c>
      <c r="K170" s="3" t="s">
        <v>766</v>
      </c>
      <c r="L170" s="3" t="s">
        <v>1792</v>
      </c>
      <c r="M170" s="3" t="s">
        <v>236</v>
      </c>
      <c r="N170" s="3" t="s">
        <v>365</v>
      </c>
      <c r="O170" s="3" t="s">
        <v>1209</v>
      </c>
      <c r="P170" s="3" t="s">
        <v>1759</v>
      </c>
      <c r="Q170" s="3"/>
      <c r="R170" s="3" t="s">
        <v>240</v>
      </c>
      <c r="S170" s="3" t="s">
        <v>1007</v>
      </c>
      <c r="T170" s="3" t="s">
        <v>79</v>
      </c>
      <c r="U170" s="3" t="s">
        <v>79</v>
      </c>
      <c r="V170" s="3" t="s">
        <v>242</v>
      </c>
      <c r="W170" s="3" t="s">
        <v>1786</v>
      </c>
      <c r="X170" s="3" t="s">
        <v>1793</v>
      </c>
      <c r="Y170" s="3" t="s">
        <v>244</v>
      </c>
      <c r="Z170" s="3" t="s">
        <v>245</v>
      </c>
      <c r="AA170" s="3" t="s">
        <v>1794</v>
      </c>
      <c r="AB170" s="3" t="s">
        <v>247</v>
      </c>
      <c r="AC170" s="3" t="s">
        <v>247</v>
      </c>
      <c r="AD170" s="3" t="s">
        <v>248</v>
      </c>
      <c r="AE170" s="3"/>
      <c r="AF170" s="3" t="s">
        <v>22</v>
      </c>
      <c r="AG170" s="3" t="s">
        <v>1795</v>
      </c>
      <c r="AH170" s="3" t="s">
        <v>248</v>
      </c>
      <c r="AI170" s="3"/>
      <c r="AJ170" s="3" t="s">
        <v>1796</v>
      </c>
      <c r="AK170" s="3" t="s">
        <v>249</v>
      </c>
    </row>
    <row r="171" ht="34" spans="1:37">
      <c r="A171" s="3" t="s">
        <v>15</v>
      </c>
      <c r="B171" s="3" t="s">
        <v>1797</v>
      </c>
      <c r="C171" s="3" t="s">
        <v>227</v>
      </c>
      <c r="D171" s="3" t="s">
        <v>1798</v>
      </c>
      <c r="E171" s="3" t="s">
        <v>229</v>
      </c>
      <c r="F171" s="3" t="s">
        <v>1097</v>
      </c>
      <c r="G171" s="4">
        <v>36</v>
      </c>
      <c r="H171" s="3" t="s">
        <v>1799</v>
      </c>
      <c r="I171" s="3" t="s">
        <v>1800</v>
      </c>
      <c r="J171" s="3" t="s">
        <v>233</v>
      </c>
      <c r="K171" s="3" t="s">
        <v>766</v>
      </c>
      <c r="L171" s="3" t="s">
        <v>1801</v>
      </c>
      <c r="M171" s="3" t="s">
        <v>236</v>
      </c>
      <c r="N171" s="3" t="s">
        <v>237</v>
      </c>
      <c r="O171" s="3" t="s">
        <v>1802</v>
      </c>
      <c r="P171" s="3" t="s">
        <v>1187</v>
      </c>
      <c r="Q171" s="3"/>
      <c r="R171" s="3" t="s">
        <v>240</v>
      </c>
      <c r="S171" s="3"/>
      <c r="T171" s="3" t="s">
        <v>79</v>
      </c>
      <c r="U171" s="3" t="s">
        <v>79</v>
      </c>
      <c r="V171" s="3" t="s">
        <v>242</v>
      </c>
      <c r="W171" s="3" t="s">
        <v>1803</v>
      </c>
      <c r="X171" s="3" t="s">
        <v>1804</v>
      </c>
      <c r="Y171" s="3" t="s">
        <v>244</v>
      </c>
      <c r="Z171" s="3" t="s">
        <v>245</v>
      </c>
      <c r="AA171" s="3" t="s">
        <v>1805</v>
      </c>
      <c r="AB171" s="3" t="s">
        <v>247</v>
      </c>
      <c r="AC171" s="3" t="s">
        <v>247</v>
      </c>
      <c r="AD171" s="3" t="s">
        <v>247</v>
      </c>
      <c r="AE171" s="3"/>
      <c r="AF171" s="3" t="s">
        <v>15</v>
      </c>
      <c r="AG171" s="3" t="s">
        <v>1806</v>
      </c>
      <c r="AH171" s="3" t="s">
        <v>248</v>
      </c>
      <c r="AI171" s="3"/>
      <c r="AJ171" s="3" t="s">
        <v>1807</v>
      </c>
      <c r="AK171" s="3" t="s">
        <v>249</v>
      </c>
    </row>
    <row r="172" ht="34" spans="1:37">
      <c r="A172" s="3" t="s">
        <v>15</v>
      </c>
      <c r="B172" s="3" t="s">
        <v>78</v>
      </c>
      <c r="C172" s="3" t="s">
        <v>251</v>
      </c>
      <c r="D172" s="3" t="s">
        <v>1808</v>
      </c>
      <c r="E172" s="3" t="s">
        <v>229</v>
      </c>
      <c r="F172" s="3" t="s">
        <v>1809</v>
      </c>
      <c r="G172" s="4">
        <v>28</v>
      </c>
      <c r="H172" s="3" t="s">
        <v>1729</v>
      </c>
      <c r="I172" s="3" t="s">
        <v>1810</v>
      </c>
      <c r="J172" s="3" t="s">
        <v>233</v>
      </c>
      <c r="K172" s="3" t="s">
        <v>1811</v>
      </c>
      <c r="L172" s="3" t="s">
        <v>1812</v>
      </c>
      <c r="M172" s="3" t="s">
        <v>236</v>
      </c>
      <c r="N172" s="3" t="s">
        <v>237</v>
      </c>
      <c r="O172" s="3" t="s">
        <v>930</v>
      </c>
      <c r="P172" s="3" t="s">
        <v>1813</v>
      </c>
      <c r="Q172" s="3"/>
      <c r="R172" s="3" t="s">
        <v>240</v>
      </c>
      <c r="S172" s="3" t="s">
        <v>241</v>
      </c>
      <c r="T172" s="3" t="s">
        <v>79</v>
      </c>
      <c r="U172" s="3" t="s">
        <v>79</v>
      </c>
      <c r="V172" s="3" t="s">
        <v>242</v>
      </c>
      <c r="W172" s="3" t="s">
        <v>1803</v>
      </c>
      <c r="X172" s="3" t="s">
        <v>1814</v>
      </c>
      <c r="Y172" s="3" t="s">
        <v>244</v>
      </c>
      <c r="Z172" s="3" t="s">
        <v>245</v>
      </c>
      <c r="AA172" s="3"/>
      <c r="AB172" s="3" t="s">
        <v>247</v>
      </c>
      <c r="AC172" s="3" t="s">
        <v>247</v>
      </c>
      <c r="AD172" s="3" t="s">
        <v>247</v>
      </c>
      <c r="AE172" s="3"/>
      <c r="AF172" s="3" t="s">
        <v>1709</v>
      </c>
      <c r="AG172" s="3" t="s">
        <v>1815</v>
      </c>
      <c r="AH172" s="3" t="s">
        <v>248</v>
      </c>
      <c r="AI172" s="3"/>
      <c r="AJ172" s="3" t="s">
        <v>1816</v>
      </c>
      <c r="AK172" s="3" t="s">
        <v>249</v>
      </c>
    </row>
    <row r="173" ht="34" spans="1:37">
      <c r="A173" s="3" t="s">
        <v>12</v>
      </c>
      <c r="B173" s="3" t="s">
        <v>53</v>
      </c>
      <c r="C173" s="3" t="s">
        <v>227</v>
      </c>
      <c r="D173" s="3" t="s">
        <v>1817</v>
      </c>
      <c r="E173" s="3" t="s">
        <v>1694</v>
      </c>
      <c r="F173" s="3" t="s">
        <v>1818</v>
      </c>
      <c r="G173" s="4">
        <v>25</v>
      </c>
      <c r="H173" s="3" t="s">
        <v>1819</v>
      </c>
      <c r="I173" s="3" t="s">
        <v>1819</v>
      </c>
      <c r="J173" s="3" t="s">
        <v>233</v>
      </c>
      <c r="K173" s="3" t="s">
        <v>1307</v>
      </c>
      <c r="L173" s="3" t="s">
        <v>1820</v>
      </c>
      <c r="M173" s="3" t="s">
        <v>236</v>
      </c>
      <c r="N173" s="3" t="s">
        <v>1309</v>
      </c>
      <c r="O173" s="3" t="s">
        <v>1821</v>
      </c>
      <c r="P173" s="3" t="s">
        <v>1822</v>
      </c>
      <c r="Q173" s="3"/>
      <c r="R173" s="3" t="s">
        <v>240</v>
      </c>
      <c r="S173" s="3" t="s">
        <v>1007</v>
      </c>
      <c r="T173" s="3" t="s">
        <v>79</v>
      </c>
      <c r="U173" s="3" t="s">
        <v>79</v>
      </c>
      <c r="V173" s="3" t="s">
        <v>242</v>
      </c>
      <c r="W173" s="3" t="s">
        <v>1823</v>
      </c>
      <c r="X173" s="3" t="s">
        <v>1824</v>
      </c>
      <c r="Y173" s="3" t="s">
        <v>244</v>
      </c>
      <c r="Z173" s="3" t="s">
        <v>245</v>
      </c>
      <c r="AA173" s="3" t="s">
        <v>1825</v>
      </c>
      <c r="AB173" s="3" t="s">
        <v>247</v>
      </c>
      <c r="AC173" s="3" t="s">
        <v>247</v>
      </c>
      <c r="AD173" s="3" t="s">
        <v>247</v>
      </c>
      <c r="AE173" s="3"/>
      <c r="AF173" s="3" t="s">
        <v>18</v>
      </c>
      <c r="AG173" s="3" t="s">
        <v>1826</v>
      </c>
      <c r="AH173" s="3" t="s">
        <v>248</v>
      </c>
      <c r="AI173" s="3"/>
      <c r="AJ173" s="3" t="s">
        <v>1827</v>
      </c>
      <c r="AK173" s="3" t="s">
        <v>249</v>
      </c>
    </row>
    <row r="174" ht="34" spans="1:37">
      <c r="A174" s="3" t="s">
        <v>15</v>
      </c>
      <c r="B174" s="3" t="s">
        <v>86</v>
      </c>
      <c r="C174" s="3" t="s">
        <v>251</v>
      </c>
      <c r="D174" s="3" t="s">
        <v>1828</v>
      </c>
      <c r="E174" s="3" t="s">
        <v>1694</v>
      </c>
      <c r="F174" s="3" t="s">
        <v>1829</v>
      </c>
      <c r="G174" s="4">
        <v>26</v>
      </c>
      <c r="H174" s="3" t="s">
        <v>1819</v>
      </c>
      <c r="I174" s="3" t="s">
        <v>1819</v>
      </c>
      <c r="J174" s="3" t="s">
        <v>233</v>
      </c>
      <c r="K174" s="3" t="s">
        <v>1830</v>
      </c>
      <c r="L174" s="3" t="s">
        <v>1831</v>
      </c>
      <c r="M174" s="3" t="s">
        <v>236</v>
      </c>
      <c r="N174" s="3" t="s">
        <v>352</v>
      </c>
      <c r="O174" s="3" t="s">
        <v>1832</v>
      </c>
      <c r="P174" s="3" t="s">
        <v>1822</v>
      </c>
      <c r="Q174" s="3"/>
      <c r="R174" s="3" t="s">
        <v>240</v>
      </c>
      <c r="S174" s="3" t="s">
        <v>1007</v>
      </c>
      <c r="T174" s="3" t="s">
        <v>79</v>
      </c>
      <c r="U174" s="3" t="s">
        <v>79</v>
      </c>
      <c r="V174" s="3" t="s">
        <v>242</v>
      </c>
      <c r="W174" s="3" t="s">
        <v>1823</v>
      </c>
      <c r="X174" s="3" t="s">
        <v>1814</v>
      </c>
      <c r="Y174" s="3" t="s">
        <v>244</v>
      </c>
      <c r="Z174" s="3" t="s">
        <v>245</v>
      </c>
      <c r="AA174" s="3" t="s">
        <v>1833</v>
      </c>
      <c r="AB174" s="3" t="s">
        <v>247</v>
      </c>
      <c r="AC174" s="3" t="s">
        <v>247</v>
      </c>
      <c r="AD174" s="3" t="s">
        <v>247</v>
      </c>
      <c r="AE174" s="3"/>
      <c r="AF174" s="3" t="s">
        <v>15</v>
      </c>
      <c r="AG174" s="3" t="s">
        <v>1834</v>
      </c>
      <c r="AH174" s="3" t="s">
        <v>248</v>
      </c>
      <c r="AI174" s="3"/>
      <c r="AJ174" s="3" t="s">
        <v>1835</v>
      </c>
      <c r="AK174" s="3" t="s">
        <v>249</v>
      </c>
    </row>
    <row r="175" ht="34" spans="1:37">
      <c r="A175" s="3" t="s">
        <v>12</v>
      </c>
      <c r="B175" s="3" t="s">
        <v>60</v>
      </c>
      <c r="C175" s="3" t="s">
        <v>227</v>
      </c>
      <c r="D175" s="3" t="s">
        <v>1836</v>
      </c>
      <c r="E175" s="3" t="s">
        <v>1694</v>
      </c>
      <c r="F175" s="3" t="s">
        <v>1837</v>
      </c>
      <c r="G175" s="4">
        <v>27</v>
      </c>
      <c r="H175" s="3" t="s">
        <v>1819</v>
      </c>
      <c r="I175" s="3" t="s">
        <v>1819</v>
      </c>
      <c r="J175" s="3" t="s">
        <v>233</v>
      </c>
      <c r="K175" s="3" t="s">
        <v>1838</v>
      </c>
      <c r="L175" s="3" t="s">
        <v>1839</v>
      </c>
      <c r="M175" s="3" t="s">
        <v>236</v>
      </c>
      <c r="N175" s="3" t="s">
        <v>1309</v>
      </c>
      <c r="O175" s="3" t="s">
        <v>1840</v>
      </c>
      <c r="P175" s="3" t="s">
        <v>1841</v>
      </c>
      <c r="Q175" s="3"/>
      <c r="R175" s="3" t="s">
        <v>240</v>
      </c>
      <c r="S175" s="3" t="s">
        <v>1007</v>
      </c>
      <c r="T175" s="3" t="s">
        <v>79</v>
      </c>
      <c r="U175" s="3" t="s">
        <v>79</v>
      </c>
      <c r="V175" s="3" t="s">
        <v>242</v>
      </c>
      <c r="W175" s="3" t="s">
        <v>1842</v>
      </c>
      <c r="X175" s="3" t="s">
        <v>1843</v>
      </c>
      <c r="Y175" s="3" t="s">
        <v>244</v>
      </c>
      <c r="Z175" s="3" t="s">
        <v>245</v>
      </c>
      <c r="AA175" s="3" t="s">
        <v>1844</v>
      </c>
      <c r="AB175" s="3" t="s">
        <v>247</v>
      </c>
      <c r="AC175" s="3" t="s">
        <v>247</v>
      </c>
      <c r="AD175" s="3" t="s">
        <v>247</v>
      </c>
      <c r="AE175" s="3"/>
      <c r="AF175" s="3" t="s">
        <v>18</v>
      </c>
      <c r="AG175" s="3" t="s">
        <v>1845</v>
      </c>
      <c r="AH175" s="3" t="s">
        <v>248</v>
      </c>
      <c r="AI175" s="3"/>
      <c r="AJ175" s="3" t="s">
        <v>1846</v>
      </c>
      <c r="AK175" s="3" t="s">
        <v>249</v>
      </c>
    </row>
    <row r="176" ht="34" spans="1:37">
      <c r="A176" s="3" t="s">
        <v>9</v>
      </c>
      <c r="B176" s="3" t="s">
        <v>29</v>
      </c>
      <c r="C176" s="3" t="s">
        <v>251</v>
      </c>
      <c r="D176" s="3" t="s">
        <v>1847</v>
      </c>
      <c r="E176" s="3" t="s">
        <v>1694</v>
      </c>
      <c r="F176" s="3" t="s">
        <v>1848</v>
      </c>
      <c r="G176" s="4">
        <v>26</v>
      </c>
      <c r="H176" s="3" t="s">
        <v>1849</v>
      </c>
      <c r="I176" s="3" t="s">
        <v>1849</v>
      </c>
      <c r="J176" s="3" t="s">
        <v>233</v>
      </c>
      <c r="K176" s="3" t="s">
        <v>1477</v>
      </c>
      <c r="L176" s="3" t="s">
        <v>1850</v>
      </c>
      <c r="M176" s="3" t="s">
        <v>236</v>
      </c>
      <c r="N176" s="3" t="s">
        <v>237</v>
      </c>
      <c r="O176" s="3" t="s">
        <v>1851</v>
      </c>
      <c r="P176" s="3" t="s">
        <v>1813</v>
      </c>
      <c r="Q176" s="3"/>
      <c r="R176" s="3" t="s">
        <v>240</v>
      </c>
      <c r="S176" s="3" t="s">
        <v>289</v>
      </c>
      <c r="T176" s="3" t="s">
        <v>79</v>
      </c>
      <c r="U176" s="3" t="s">
        <v>79</v>
      </c>
      <c r="V176" s="3" t="s">
        <v>242</v>
      </c>
      <c r="W176" s="3" t="s">
        <v>1842</v>
      </c>
      <c r="X176" s="3" t="s">
        <v>1852</v>
      </c>
      <c r="Y176" s="3" t="s">
        <v>244</v>
      </c>
      <c r="Z176" s="3" t="s">
        <v>245</v>
      </c>
      <c r="AA176" s="3" t="s">
        <v>1853</v>
      </c>
      <c r="AB176" s="3" t="s">
        <v>247</v>
      </c>
      <c r="AC176" s="3" t="s">
        <v>247</v>
      </c>
      <c r="AD176" s="3" t="s">
        <v>247</v>
      </c>
      <c r="AE176" s="3"/>
      <c r="AF176" s="3" t="s">
        <v>9</v>
      </c>
      <c r="AG176" s="3" t="s">
        <v>1854</v>
      </c>
      <c r="AH176" s="3" t="s">
        <v>248</v>
      </c>
      <c r="AI176" s="3"/>
      <c r="AJ176" s="3" t="s">
        <v>1855</v>
      </c>
      <c r="AK176" s="3" t="s">
        <v>249</v>
      </c>
    </row>
    <row r="177" ht="34" spans="1:37">
      <c r="A177" s="3" t="s">
        <v>20</v>
      </c>
      <c r="B177" s="3" t="s">
        <v>1856</v>
      </c>
      <c r="C177" s="3" t="s">
        <v>227</v>
      </c>
      <c r="D177" s="3" t="s">
        <v>1857</v>
      </c>
      <c r="E177" s="3" t="s">
        <v>1694</v>
      </c>
      <c r="F177" s="3" t="s">
        <v>1858</v>
      </c>
      <c r="G177" s="4">
        <v>26</v>
      </c>
      <c r="H177" s="3" t="s">
        <v>1819</v>
      </c>
      <c r="I177" s="3" t="s">
        <v>1819</v>
      </c>
      <c r="J177" s="3" t="s">
        <v>233</v>
      </c>
      <c r="K177" s="3" t="s">
        <v>1859</v>
      </c>
      <c r="L177" s="3" t="s">
        <v>1860</v>
      </c>
      <c r="M177" s="3" t="s">
        <v>236</v>
      </c>
      <c r="N177" s="3" t="s">
        <v>585</v>
      </c>
      <c r="O177" s="3" t="s">
        <v>1840</v>
      </c>
      <c r="P177" s="3" t="s">
        <v>1822</v>
      </c>
      <c r="Q177" s="3"/>
      <c r="R177" s="3" t="s">
        <v>240</v>
      </c>
      <c r="S177" s="3" t="s">
        <v>1007</v>
      </c>
      <c r="T177" s="3" t="s">
        <v>79</v>
      </c>
      <c r="U177" s="3" t="s">
        <v>79</v>
      </c>
      <c r="V177" s="3" t="s">
        <v>242</v>
      </c>
      <c r="W177" s="3" t="s">
        <v>1842</v>
      </c>
      <c r="X177" s="3" t="s">
        <v>1861</v>
      </c>
      <c r="Y177" s="3" t="s">
        <v>244</v>
      </c>
      <c r="Z177" s="3" t="s">
        <v>245</v>
      </c>
      <c r="AA177" s="3" t="s">
        <v>1862</v>
      </c>
      <c r="AB177" s="3" t="s">
        <v>247</v>
      </c>
      <c r="AC177" s="3" t="s">
        <v>247</v>
      </c>
      <c r="AD177" s="3" t="s">
        <v>247</v>
      </c>
      <c r="AE177" s="3"/>
      <c r="AF177" s="3" t="s">
        <v>13</v>
      </c>
      <c r="AG177" s="3" t="s">
        <v>1863</v>
      </c>
      <c r="AH177" s="3" t="s">
        <v>248</v>
      </c>
      <c r="AI177" s="3"/>
      <c r="AJ177" s="3" t="s">
        <v>1864</v>
      </c>
      <c r="AK177" s="3" t="s">
        <v>249</v>
      </c>
    </row>
    <row r="178" ht="34" spans="1:37">
      <c r="A178" s="3" t="s">
        <v>22</v>
      </c>
      <c r="B178" s="3" t="s">
        <v>162</v>
      </c>
      <c r="C178" s="3" t="s">
        <v>251</v>
      </c>
      <c r="D178" s="3" t="s">
        <v>1865</v>
      </c>
      <c r="E178" s="3" t="s">
        <v>657</v>
      </c>
      <c r="F178" s="3" t="s">
        <v>1866</v>
      </c>
      <c r="G178" s="4">
        <v>36</v>
      </c>
      <c r="H178" s="3" t="s">
        <v>1301</v>
      </c>
      <c r="I178" s="3" t="s">
        <v>1849</v>
      </c>
      <c r="J178" s="3" t="s">
        <v>233</v>
      </c>
      <c r="K178" s="3" t="s">
        <v>1867</v>
      </c>
      <c r="L178" s="3" t="s">
        <v>1868</v>
      </c>
      <c r="M178" s="3" t="s">
        <v>236</v>
      </c>
      <c r="N178" s="3" t="s">
        <v>365</v>
      </c>
      <c r="O178" s="3" t="s">
        <v>1869</v>
      </c>
      <c r="P178" s="3" t="s">
        <v>1301</v>
      </c>
      <c r="Q178" s="3"/>
      <c r="R178" s="3" t="s">
        <v>240</v>
      </c>
      <c r="S178" s="3" t="s">
        <v>289</v>
      </c>
      <c r="T178" s="3" t="s">
        <v>79</v>
      </c>
      <c r="U178" s="3" t="s">
        <v>79</v>
      </c>
      <c r="V178" s="3" t="s">
        <v>242</v>
      </c>
      <c r="W178" s="3" t="s">
        <v>1842</v>
      </c>
      <c r="X178" s="3" t="s">
        <v>1870</v>
      </c>
      <c r="Y178" s="3" t="s">
        <v>244</v>
      </c>
      <c r="Z178" s="3" t="s">
        <v>245</v>
      </c>
      <c r="AA178" s="3"/>
      <c r="AB178" s="3" t="s">
        <v>248</v>
      </c>
      <c r="AC178" s="3" t="s">
        <v>247</v>
      </c>
      <c r="AD178" s="3" t="s">
        <v>248</v>
      </c>
      <c r="AE178" s="3"/>
      <c r="AF178" s="3" t="s">
        <v>22</v>
      </c>
      <c r="AG178" s="3" t="s">
        <v>1871</v>
      </c>
      <c r="AH178" s="3" t="s">
        <v>248</v>
      </c>
      <c r="AI178" s="3"/>
      <c r="AJ178" s="3" t="s">
        <v>1872</v>
      </c>
      <c r="AK178" s="3" t="s">
        <v>249</v>
      </c>
    </row>
    <row r="179" ht="34" spans="1:37">
      <c r="A179" s="3" t="s">
        <v>22</v>
      </c>
      <c r="B179" s="3" t="s">
        <v>176</v>
      </c>
      <c r="C179" s="3" t="s">
        <v>227</v>
      </c>
      <c r="D179" s="3" t="s">
        <v>1873</v>
      </c>
      <c r="E179" s="3" t="s">
        <v>1694</v>
      </c>
      <c r="F179" s="3" t="s">
        <v>1874</v>
      </c>
      <c r="G179" s="4">
        <v>25</v>
      </c>
      <c r="H179" s="3" t="s">
        <v>1819</v>
      </c>
      <c r="I179" s="3" t="s">
        <v>1819</v>
      </c>
      <c r="J179" s="3" t="s">
        <v>233</v>
      </c>
      <c r="K179" s="3" t="s">
        <v>1875</v>
      </c>
      <c r="L179" s="3" t="s">
        <v>1876</v>
      </c>
      <c r="M179" s="3" t="s">
        <v>236</v>
      </c>
      <c r="N179" s="3" t="s">
        <v>365</v>
      </c>
      <c r="O179" s="3" t="s">
        <v>1877</v>
      </c>
      <c r="P179" s="3" t="s">
        <v>1822</v>
      </c>
      <c r="Q179" s="3"/>
      <c r="R179" s="3" t="s">
        <v>240</v>
      </c>
      <c r="S179" s="3" t="s">
        <v>1007</v>
      </c>
      <c r="T179" s="3" t="s">
        <v>79</v>
      </c>
      <c r="U179" s="3" t="s">
        <v>79</v>
      </c>
      <c r="V179" s="3" t="s">
        <v>242</v>
      </c>
      <c r="W179" s="3" t="s">
        <v>1842</v>
      </c>
      <c r="X179" s="3" t="s">
        <v>1878</v>
      </c>
      <c r="Y179" s="3" t="s">
        <v>244</v>
      </c>
      <c r="Z179" s="3" t="s">
        <v>245</v>
      </c>
      <c r="AA179" s="3" t="s">
        <v>1879</v>
      </c>
      <c r="AB179" s="3" t="s">
        <v>247</v>
      </c>
      <c r="AC179" s="3" t="s">
        <v>247</v>
      </c>
      <c r="AD179" s="3" t="s">
        <v>248</v>
      </c>
      <c r="AE179" s="3"/>
      <c r="AF179" s="3" t="s">
        <v>22</v>
      </c>
      <c r="AG179" s="3" t="s">
        <v>1880</v>
      </c>
      <c r="AH179" s="3" t="s">
        <v>248</v>
      </c>
      <c r="AI179" s="3"/>
      <c r="AJ179" s="3" t="s">
        <v>1881</v>
      </c>
      <c r="AK179" s="3" t="s">
        <v>249</v>
      </c>
    </row>
    <row r="180" ht="34" spans="1:37">
      <c r="A180" s="3" t="s">
        <v>15</v>
      </c>
      <c r="B180" s="3" t="s">
        <v>85</v>
      </c>
      <c r="C180" s="3" t="s">
        <v>227</v>
      </c>
      <c r="D180" s="3" t="s">
        <v>1882</v>
      </c>
      <c r="E180" s="3" t="s">
        <v>360</v>
      </c>
      <c r="F180" s="3" t="s">
        <v>1883</v>
      </c>
      <c r="G180" s="4">
        <v>37</v>
      </c>
      <c r="H180" s="3" t="s">
        <v>1884</v>
      </c>
      <c r="I180" s="3" t="s">
        <v>1885</v>
      </c>
      <c r="J180" s="3" t="s">
        <v>233</v>
      </c>
      <c r="K180" s="3" t="s">
        <v>766</v>
      </c>
      <c r="L180" s="3" t="s">
        <v>1886</v>
      </c>
      <c r="M180" s="3" t="s">
        <v>1127</v>
      </c>
      <c r="N180" s="3" t="s">
        <v>237</v>
      </c>
      <c r="O180" s="3" t="s">
        <v>1887</v>
      </c>
      <c r="P180" s="3" t="s">
        <v>1603</v>
      </c>
      <c r="Q180" s="3"/>
      <c r="R180" s="3" t="s">
        <v>240</v>
      </c>
      <c r="S180" s="3"/>
      <c r="T180" s="3" t="s">
        <v>79</v>
      </c>
      <c r="U180" s="3" t="s">
        <v>79</v>
      </c>
      <c r="V180" s="3" t="s">
        <v>242</v>
      </c>
      <c r="W180" s="3" t="s">
        <v>1888</v>
      </c>
      <c r="X180" s="3" t="s">
        <v>1889</v>
      </c>
      <c r="Y180" s="3" t="s">
        <v>244</v>
      </c>
      <c r="Z180" s="3" t="s">
        <v>245</v>
      </c>
      <c r="AA180" s="3" t="s">
        <v>1890</v>
      </c>
      <c r="AB180" s="3" t="s">
        <v>247</v>
      </c>
      <c r="AC180" s="3" t="s">
        <v>247</v>
      </c>
      <c r="AD180" s="3" t="s">
        <v>247</v>
      </c>
      <c r="AE180" s="3"/>
      <c r="AF180" s="3" t="s">
        <v>15</v>
      </c>
      <c r="AG180" s="3" t="s">
        <v>1891</v>
      </c>
      <c r="AH180" s="3" t="s">
        <v>248</v>
      </c>
      <c r="AI180" s="3"/>
      <c r="AJ180" s="3" t="s">
        <v>1892</v>
      </c>
      <c r="AK180" s="3" t="s">
        <v>249</v>
      </c>
    </row>
    <row r="181" ht="34" spans="1:37">
      <c r="A181" s="3" t="s">
        <v>20</v>
      </c>
      <c r="B181" s="3" t="s">
        <v>1893</v>
      </c>
      <c r="C181" s="3" t="s">
        <v>227</v>
      </c>
      <c r="D181" s="3" t="s">
        <v>1894</v>
      </c>
      <c r="E181" s="3" t="s">
        <v>1895</v>
      </c>
      <c r="F181" s="3" t="s">
        <v>1896</v>
      </c>
      <c r="G181" s="4">
        <v>23</v>
      </c>
      <c r="H181" s="3" t="s">
        <v>1897</v>
      </c>
      <c r="I181" s="3" t="s">
        <v>1897</v>
      </c>
      <c r="J181" s="3" t="s">
        <v>233</v>
      </c>
      <c r="K181" s="3" t="s">
        <v>1898</v>
      </c>
      <c r="L181" s="3" t="s">
        <v>1899</v>
      </c>
      <c r="M181" s="3" t="s">
        <v>351</v>
      </c>
      <c r="N181" s="3" t="s">
        <v>286</v>
      </c>
      <c r="O181" s="3" t="s">
        <v>1900</v>
      </c>
      <c r="P181" s="3" t="s">
        <v>1885</v>
      </c>
      <c r="Q181" s="3"/>
      <c r="R181" s="3" t="s">
        <v>240</v>
      </c>
      <c r="S181" s="3" t="s">
        <v>1007</v>
      </c>
      <c r="T181" s="3" t="s">
        <v>79</v>
      </c>
      <c r="U181" s="3" t="s">
        <v>79</v>
      </c>
      <c r="V181" s="3" t="s">
        <v>242</v>
      </c>
      <c r="W181" s="3" t="s">
        <v>1888</v>
      </c>
      <c r="X181" s="3" t="s">
        <v>1861</v>
      </c>
      <c r="Y181" s="3" t="s">
        <v>244</v>
      </c>
      <c r="Z181" s="3" t="s">
        <v>245</v>
      </c>
      <c r="AA181" s="3" t="s">
        <v>1901</v>
      </c>
      <c r="AB181" s="3" t="s">
        <v>247</v>
      </c>
      <c r="AC181" s="3" t="s">
        <v>247</v>
      </c>
      <c r="AD181" s="3" t="s">
        <v>247</v>
      </c>
      <c r="AE181" s="3"/>
      <c r="AF181" s="3" t="s">
        <v>13</v>
      </c>
      <c r="AG181" s="3" t="s">
        <v>1902</v>
      </c>
      <c r="AH181" s="3" t="s">
        <v>248</v>
      </c>
      <c r="AI181" s="3"/>
      <c r="AJ181" s="3" t="s">
        <v>1903</v>
      </c>
      <c r="AK181" s="3" t="s">
        <v>249</v>
      </c>
    </row>
    <row r="182" ht="34" spans="1:37">
      <c r="A182" s="3" t="s">
        <v>20</v>
      </c>
      <c r="B182" s="3" t="s">
        <v>138</v>
      </c>
      <c r="C182" s="3" t="s">
        <v>227</v>
      </c>
      <c r="D182" s="3" t="s">
        <v>1904</v>
      </c>
      <c r="E182" s="3" t="s">
        <v>346</v>
      </c>
      <c r="F182" s="3" t="s">
        <v>1905</v>
      </c>
      <c r="G182" s="4">
        <v>34</v>
      </c>
      <c r="H182" s="3"/>
      <c r="I182" s="3" t="s">
        <v>1906</v>
      </c>
      <c r="J182" s="3" t="s">
        <v>233</v>
      </c>
      <c r="K182" s="3" t="s">
        <v>1907</v>
      </c>
      <c r="L182" s="3" t="s">
        <v>1908</v>
      </c>
      <c r="M182" s="3" t="s">
        <v>236</v>
      </c>
      <c r="N182" s="3" t="s">
        <v>1909</v>
      </c>
      <c r="O182" s="3" t="s">
        <v>1910</v>
      </c>
      <c r="P182" s="3" t="s">
        <v>1428</v>
      </c>
      <c r="Q182" s="3"/>
      <c r="R182" s="3" t="s">
        <v>240</v>
      </c>
      <c r="S182" s="3"/>
      <c r="T182" s="3" t="s">
        <v>79</v>
      </c>
      <c r="U182" s="3" t="s">
        <v>79</v>
      </c>
      <c r="V182" s="3" t="s">
        <v>242</v>
      </c>
      <c r="W182" s="3" t="s">
        <v>1888</v>
      </c>
      <c r="X182" s="3" t="s">
        <v>1911</v>
      </c>
      <c r="Y182" s="3" t="s">
        <v>244</v>
      </c>
      <c r="Z182" s="3" t="s">
        <v>245</v>
      </c>
      <c r="AA182" s="3" t="s">
        <v>1912</v>
      </c>
      <c r="AB182" s="3" t="s">
        <v>247</v>
      </c>
      <c r="AC182" s="3" t="s">
        <v>247</v>
      </c>
      <c r="AD182" s="3" t="s">
        <v>247</v>
      </c>
      <c r="AE182" s="3"/>
      <c r="AF182" s="3" t="s">
        <v>13</v>
      </c>
      <c r="AG182" s="3" t="s">
        <v>1913</v>
      </c>
      <c r="AH182" s="3" t="s">
        <v>248</v>
      </c>
      <c r="AI182" s="3"/>
      <c r="AJ182" s="3" t="s">
        <v>1914</v>
      </c>
      <c r="AK182" s="3" t="s">
        <v>249</v>
      </c>
    </row>
    <row r="183" ht="34" spans="1:37">
      <c r="A183" s="3" t="s">
        <v>13</v>
      </c>
      <c r="B183" s="3" t="s">
        <v>1915</v>
      </c>
      <c r="C183" s="3" t="s">
        <v>227</v>
      </c>
      <c r="D183" s="3" t="s">
        <v>1916</v>
      </c>
      <c r="E183" s="3" t="s">
        <v>1694</v>
      </c>
      <c r="F183" s="3" t="s">
        <v>1704</v>
      </c>
      <c r="G183" s="4">
        <v>30</v>
      </c>
      <c r="H183" s="3" t="s">
        <v>1567</v>
      </c>
      <c r="I183" s="3" t="s">
        <v>1917</v>
      </c>
      <c r="J183" s="3" t="s">
        <v>233</v>
      </c>
      <c r="K183" s="3" t="s">
        <v>1918</v>
      </c>
      <c r="L183" s="3" t="s">
        <v>1919</v>
      </c>
      <c r="M183" s="3" t="s">
        <v>351</v>
      </c>
      <c r="N183" s="3" t="s">
        <v>237</v>
      </c>
      <c r="O183" s="3" t="s">
        <v>1715</v>
      </c>
      <c r="P183" s="3" t="s">
        <v>231</v>
      </c>
      <c r="Q183" s="3"/>
      <c r="R183" s="3" t="s">
        <v>240</v>
      </c>
      <c r="S183" s="3"/>
      <c r="T183" s="3" t="s">
        <v>79</v>
      </c>
      <c r="U183" s="3" t="s">
        <v>79</v>
      </c>
      <c r="V183" s="3" t="s">
        <v>242</v>
      </c>
      <c r="W183" s="3" t="s">
        <v>1888</v>
      </c>
      <c r="X183" s="3" t="s">
        <v>1920</v>
      </c>
      <c r="Y183" s="3" t="s">
        <v>244</v>
      </c>
      <c r="Z183" s="3" t="s">
        <v>245</v>
      </c>
      <c r="AA183" s="3" t="s">
        <v>319</v>
      </c>
      <c r="AB183" s="3" t="s">
        <v>247</v>
      </c>
      <c r="AC183" s="3" t="s">
        <v>247</v>
      </c>
      <c r="AD183" s="3" t="s">
        <v>247</v>
      </c>
      <c r="AE183" s="3"/>
      <c r="AF183" s="3" t="s">
        <v>13</v>
      </c>
      <c r="AG183" s="3" t="s">
        <v>1921</v>
      </c>
      <c r="AH183" s="3" t="s">
        <v>248</v>
      </c>
      <c r="AI183" s="3"/>
      <c r="AJ183" s="3" t="s">
        <v>1922</v>
      </c>
      <c r="AK183" s="3" t="s">
        <v>249</v>
      </c>
    </row>
    <row r="184" ht="34" spans="1:37">
      <c r="A184" s="3" t="s">
        <v>15</v>
      </c>
      <c r="B184" s="3" t="s">
        <v>79</v>
      </c>
      <c r="C184" s="3" t="s">
        <v>251</v>
      </c>
      <c r="D184" s="3" t="s">
        <v>1923</v>
      </c>
      <c r="E184" s="3" t="s">
        <v>1895</v>
      </c>
      <c r="F184" s="3" t="s">
        <v>1924</v>
      </c>
      <c r="G184" s="4">
        <v>24</v>
      </c>
      <c r="H184" s="3" t="s">
        <v>1925</v>
      </c>
      <c r="I184" s="3" t="s">
        <v>1897</v>
      </c>
      <c r="J184" s="3" t="s">
        <v>233</v>
      </c>
      <c r="K184" s="3" t="s">
        <v>766</v>
      </c>
      <c r="L184" s="3" t="s">
        <v>1926</v>
      </c>
      <c r="M184" s="3" t="s">
        <v>236</v>
      </c>
      <c r="N184" s="3" t="s">
        <v>365</v>
      </c>
      <c r="O184" s="3" t="s">
        <v>1927</v>
      </c>
      <c r="P184" s="3" t="s">
        <v>1813</v>
      </c>
      <c r="Q184" s="3"/>
      <c r="R184" s="3" t="s">
        <v>240</v>
      </c>
      <c r="S184" s="3" t="s">
        <v>1007</v>
      </c>
      <c r="T184" s="3" t="s">
        <v>79</v>
      </c>
      <c r="U184" s="3" t="s">
        <v>79</v>
      </c>
      <c r="V184" s="3" t="s">
        <v>242</v>
      </c>
      <c r="W184" s="3" t="s">
        <v>1928</v>
      </c>
      <c r="X184" s="3" t="s">
        <v>1929</v>
      </c>
      <c r="Y184" s="3" t="s">
        <v>244</v>
      </c>
      <c r="Z184" s="3" t="s">
        <v>245</v>
      </c>
      <c r="AA184" s="3" t="s">
        <v>1930</v>
      </c>
      <c r="AB184" s="3" t="s">
        <v>247</v>
      </c>
      <c r="AC184" s="3" t="s">
        <v>247</v>
      </c>
      <c r="AD184" s="3" t="s">
        <v>247</v>
      </c>
      <c r="AE184" s="3"/>
      <c r="AF184" s="3" t="s">
        <v>1709</v>
      </c>
      <c r="AG184" s="3" t="s">
        <v>1931</v>
      </c>
      <c r="AH184" s="3" t="s">
        <v>248</v>
      </c>
      <c r="AI184" s="3"/>
      <c r="AJ184" s="3" t="s">
        <v>1932</v>
      </c>
      <c r="AK184" s="3" t="s">
        <v>249</v>
      </c>
    </row>
    <row r="185" ht="34" spans="1:37">
      <c r="A185" s="3" t="s">
        <v>14</v>
      </c>
      <c r="B185" s="3" t="s">
        <v>77</v>
      </c>
      <c r="C185" s="3" t="s">
        <v>227</v>
      </c>
      <c r="D185" s="3" t="s">
        <v>1933</v>
      </c>
      <c r="E185" s="3" t="s">
        <v>1694</v>
      </c>
      <c r="F185" s="3" t="s">
        <v>1934</v>
      </c>
      <c r="G185" s="4">
        <v>24</v>
      </c>
      <c r="H185" s="3" t="s">
        <v>1897</v>
      </c>
      <c r="I185" s="3" t="s">
        <v>1897</v>
      </c>
      <c r="J185" s="3" t="s">
        <v>233</v>
      </c>
      <c r="K185" s="3" t="s">
        <v>766</v>
      </c>
      <c r="L185" s="3" t="s">
        <v>1935</v>
      </c>
      <c r="M185" s="3" t="s">
        <v>236</v>
      </c>
      <c r="N185" s="3" t="s">
        <v>502</v>
      </c>
      <c r="O185" s="3" t="s">
        <v>1479</v>
      </c>
      <c r="P185" s="3" t="s">
        <v>1885</v>
      </c>
      <c r="Q185" s="3"/>
      <c r="R185" s="3" t="s">
        <v>240</v>
      </c>
      <c r="S185" s="3" t="s">
        <v>1007</v>
      </c>
      <c r="T185" s="3" t="s">
        <v>79</v>
      </c>
      <c r="U185" s="3" t="s">
        <v>79</v>
      </c>
      <c r="V185" s="3" t="s">
        <v>242</v>
      </c>
      <c r="W185" s="3" t="s">
        <v>1928</v>
      </c>
      <c r="X185" s="3" t="s">
        <v>1936</v>
      </c>
      <c r="Y185" s="3" t="s">
        <v>244</v>
      </c>
      <c r="Z185" s="3" t="s">
        <v>245</v>
      </c>
      <c r="AA185" s="3" t="s">
        <v>1937</v>
      </c>
      <c r="AB185" s="3" t="s">
        <v>247</v>
      </c>
      <c r="AC185" s="3" t="s">
        <v>247</v>
      </c>
      <c r="AD185" s="3" t="s">
        <v>247</v>
      </c>
      <c r="AE185" s="3"/>
      <c r="AF185" s="3" t="s">
        <v>14</v>
      </c>
      <c r="AG185" s="3" t="s">
        <v>1938</v>
      </c>
      <c r="AH185" s="3" t="s">
        <v>248</v>
      </c>
      <c r="AI185" s="3"/>
      <c r="AJ185" s="3" t="s">
        <v>1939</v>
      </c>
      <c r="AK185" s="3" t="s">
        <v>249</v>
      </c>
    </row>
    <row r="186" ht="34" spans="1:37">
      <c r="A186" s="3" t="s">
        <v>20</v>
      </c>
      <c r="B186" s="3" t="s">
        <v>141</v>
      </c>
      <c r="C186" s="3" t="s">
        <v>227</v>
      </c>
      <c r="D186" s="3" t="s">
        <v>1940</v>
      </c>
      <c r="E186" s="3" t="s">
        <v>1895</v>
      </c>
      <c r="F186" s="3" t="s">
        <v>1896</v>
      </c>
      <c r="G186" s="4">
        <v>23</v>
      </c>
      <c r="H186" s="3" t="s">
        <v>1897</v>
      </c>
      <c r="I186" s="3" t="s">
        <v>1897</v>
      </c>
      <c r="J186" s="3" t="s">
        <v>233</v>
      </c>
      <c r="K186" s="3" t="s">
        <v>1941</v>
      </c>
      <c r="L186" s="3" t="s">
        <v>1942</v>
      </c>
      <c r="M186" s="3" t="s">
        <v>351</v>
      </c>
      <c r="N186" s="3" t="s">
        <v>377</v>
      </c>
      <c r="O186" s="3" t="s">
        <v>1415</v>
      </c>
      <c r="P186" s="3" t="s">
        <v>1885</v>
      </c>
      <c r="Q186" s="3"/>
      <c r="R186" s="3" t="s">
        <v>240</v>
      </c>
      <c r="S186" s="3" t="s">
        <v>241</v>
      </c>
      <c r="T186" s="3" t="s">
        <v>79</v>
      </c>
      <c r="U186" s="3" t="s">
        <v>79</v>
      </c>
      <c r="V186" s="3" t="s">
        <v>242</v>
      </c>
      <c r="W186" s="3" t="s">
        <v>1928</v>
      </c>
      <c r="X186" s="3" t="s">
        <v>1943</v>
      </c>
      <c r="Y186" s="3" t="s">
        <v>244</v>
      </c>
      <c r="Z186" s="3" t="s">
        <v>245</v>
      </c>
      <c r="AA186" s="3" t="s">
        <v>1944</v>
      </c>
      <c r="AB186" s="3" t="s">
        <v>247</v>
      </c>
      <c r="AC186" s="3" t="s">
        <v>247</v>
      </c>
      <c r="AD186" s="3" t="s">
        <v>247</v>
      </c>
      <c r="AE186" s="3"/>
      <c r="AF186" s="3" t="s">
        <v>13</v>
      </c>
      <c r="AG186" s="3" t="s">
        <v>1945</v>
      </c>
      <c r="AH186" s="3" t="s">
        <v>248</v>
      </c>
      <c r="AI186" s="3"/>
      <c r="AJ186" s="3" t="s">
        <v>1946</v>
      </c>
      <c r="AK186" s="3" t="s">
        <v>249</v>
      </c>
    </row>
    <row r="187" ht="34" spans="1:37">
      <c r="A187" s="3" t="s">
        <v>20</v>
      </c>
      <c r="B187" s="3" t="s">
        <v>1947</v>
      </c>
      <c r="C187" s="3" t="s">
        <v>227</v>
      </c>
      <c r="D187" s="3" t="s">
        <v>1948</v>
      </c>
      <c r="E187" s="3" t="s">
        <v>1895</v>
      </c>
      <c r="F187" s="3" t="s">
        <v>1924</v>
      </c>
      <c r="G187" s="4">
        <v>24</v>
      </c>
      <c r="H187" s="3" t="s">
        <v>1897</v>
      </c>
      <c r="I187" s="3" t="s">
        <v>1897</v>
      </c>
      <c r="J187" s="3" t="s">
        <v>233</v>
      </c>
      <c r="K187" s="3" t="s">
        <v>1949</v>
      </c>
      <c r="L187" s="3" t="s">
        <v>1950</v>
      </c>
      <c r="M187" s="3" t="s">
        <v>351</v>
      </c>
      <c r="N187" s="3" t="s">
        <v>327</v>
      </c>
      <c r="O187" s="3" t="s">
        <v>1951</v>
      </c>
      <c r="P187" s="3" t="s">
        <v>1952</v>
      </c>
      <c r="Q187" s="3"/>
      <c r="R187" s="3" t="s">
        <v>240</v>
      </c>
      <c r="S187" s="3" t="s">
        <v>241</v>
      </c>
      <c r="T187" s="3" t="s">
        <v>79</v>
      </c>
      <c r="U187" s="3" t="s">
        <v>79</v>
      </c>
      <c r="V187" s="3" t="s">
        <v>242</v>
      </c>
      <c r="W187" s="3" t="s">
        <v>1928</v>
      </c>
      <c r="X187" s="3" t="s">
        <v>1953</v>
      </c>
      <c r="Y187" s="3" t="s">
        <v>244</v>
      </c>
      <c r="Z187" s="3" t="s">
        <v>245</v>
      </c>
      <c r="AA187" s="3" t="s">
        <v>1954</v>
      </c>
      <c r="AB187" s="3" t="s">
        <v>247</v>
      </c>
      <c r="AC187" s="3" t="s">
        <v>247</v>
      </c>
      <c r="AD187" s="3" t="s">
        <v>247</v>
      </c>
      <c r="AE187" s="3"/>
      <c r="AF187" s="3" t="s">
        <v>13</v>
      </c>
      <c r="AG187" s="3" t="s">
        <v>1955</v>
      </c>
      <c r="AH187" s="3" t="s">
        <v>248</v>
      </c>
      <c r="AI187" s="3"/>
      <c r="AJ187" s="3" t="s">
        <v>1956</v>
      </c>
      <c r="AK187" s="3" t="s">
        <v>249</v>
      </c>
    </row>
    <row r="188" ht="34" spans="1:37">
      <c r="A188" s="3" t="s">
        <v>15</v>
      </c>
      <c r="B188" s="3" t="s">
        <v>1957</v>
      </c>
      <c r="C188" s="3" t="s">
        <v>251</v>
      </c>
      <c r="D188" s="3" t="s">
        <v>1958</v>
      </c>
      <c r="E188" s="3" t="s">
        <v>1694</v>
      </c>
      <c r="F188" s="3" t="s">
        <v>1959</v>
      </c>
      <c r="G188" s="4">
        <v>25</v>
      </c>
      <c r="H188" s="3" t="s">
        <v>1897</v>
      </c>
      <c r="I188" s="3" t="s">
        <v>1897</v>
      </c>
      <c r="J188" s="3" t="s">
        <v>233</v>
      </c>
      <c r="K188" s="3" t="s">
        <v>1960</v>
      </c>
      <c r="L188" s="3" t="s">
        <v>1961</v>
      </c>
      <c r="M188" s="3" t="s">
        <v>236</v>
      </c>
      <c r="N188" s="3"/>
      <c r="O188" s="3" t="s">
        <v>1962</v>
      </c>
      <c r="P188" s="3" t="s">
        <v>1952</v>
      </c>
      <c r="Q188" s="3"/>
      <c r="R188" s="3"/>
      <c r="S188" s="3"/>
      <c r="T188" s="3" t="s">
        <v>79</v>
      </c>
      <c r="U188" s="3" t="s">
        <v>79</v>
      </c>
      <c r="V188" s="3" t="s">
        <v>242</v>
      </c>
      <c r="W188" s="3" t="s">
        <v>1928</v>
      </c>
      <c r="X188" s="3" t="s">
        <v>1911</v>
      </c>
      <c r="Y188" s="3" t="s">
        <v>244</v>
      </c>
      <c r="Z188" s="3" t="s">
        <v>245</v>
      </c>
      <c r="AA188" s="3" t="s">
        <v>1963</v>
      </c>
      <c r="AB188" s="3" t="s">
        <v>247</v>
      </c>
      <c r="AC188" s="3" t="s">
        <v>247</v>
      </c>
      <c r="AD188" s="3" t="s">
        <v>247</v>
      </c>
      <c r="AE188" s="3"/>
      <c r="AF188" s="3" t="s">
        <v>15</v>
      </c>
      <c r="AG188" s="3" t="s">
        <v>1964</v>
      </c>
      <c r="AH188" s="3" t="s">
        <v>248</v>
      </c>
      <c r="AI188" s="3"/>
      <c r="AJ188" s="3" t="s">
        <v>1965</v>
      </c>
      <c r="AK188" s="3" t="s">
        <v>249</v>
      </c>
    </row>
    <row r="189" ht="34" spans="1:37">
      <c r="A189" s="3" t="s">
        <v>17</v>
      </c>
      <c r="B189" s="3" t="s">
        <v>1966</v>
      </c>
      <c r="C189" s="3" t="s">
        <v>251</v>
      </c>
      <c r="D189" s="3" t="s">
        <v>1967</v>
      </c>
      <c r="E189" s="3" t="s">
        <v>1694</v>
      </c>
      <c r="F189" s="3" t="s">
        <v>1783</v>
      </c>
      <c r="G189" s="4">
        <v>25</v>
      </c>
      <c r="H189" s="3" t="s">
        <v>1897</v>
      </c>
      <c r="I189" s="3" t="s">
        <v>1897</v>
      </c>
      <c r="J189" s="3" t="s">
        <v>233</v>
      </c>
      <c r="K189" s="3" t="s">
        <v>1968</v>
      </c>
      <c r="L189" s="3" t="s">
        <v>1969</v>
      </c>
      <c r="M189" s="3" t="s">
        <v>236</v>
      </c>
      <c r="N189" s="3" t="s">
        <v>365</v>
      </c>
      <c r="O189" s="3" t="s">
        <v>1970</v>
      </c>
      <c r="P189" s="3" t="s">
        <v>1885</v>
      </c>
      <c r="Q189" s="3"/>
      <c r="R189" s="3" t="s">
        <v>240</v>
      </c>
      <c r="S189" s="3" t="s">
        <v>1007</v>
      </c>
      <c r="T189" s="3" t="s">
        <v>79</v>
      </c>
      <c r="U189" s="3" t="s">
        <v>79</v>
      </c>
      <c r="V189" s="3" t="s">
        <v>242</v>
      </c>
      <c r="W189" s="3" t="s">
        <v>1928</v>
      </c>
      <c r="X189" s="3" t="s">
        <v>1911</v>
      </c>
      <c r="Y189" s="3" t="s">
        <v>244</v>
      </c>
      <c r="Z189" s="3" t="s">
        <v>245</v>
      </c>
      <c r="AA189" s="3" t="s">
        <v>1971</v>
      </c>
      <c r="AB189" s="3" t="s">
        <v>247</v>
      </c>
      <c r="AC189" s="3" t="s">
        <v>247</v>
      </c>
      <c r="AD189" s="3" t="s">
        <v>248</v>
      </c>
      <c r="AE189" s="3"/>
      <c r="AF189" s="3" t="s">
        <v>22</v>
      </c>
      <c r="AG189" s="3" t="s">
        <v>1972</v>
      </c>
      <c r="AH189" s="3" t="s">
        <v>248</v>
      </c>
      <c r="AI189" s="3"/>
      <c r="AJ189" s="3" t="s">
        <v>1973</v>
      </c>
      <c r="AK189" s="3" t="s">
        <v>249</v>
      </c>
    </row>
    <row r="190" ht="34" spans="1:37">
      <c r="A190" s="3" t="s">
        <v>15</v>
      </c>
      <c r="B190" s="3" t="s">
        <v>81</v>
      </c>
      <c r="C190" s="3" t="s">
        <v>227</v>
      </c>
      <c r="D190" s="3" t="s">
        <v>1974</v>
      </c>
      <c r="E190" s="3" t="s">
        <v>1694</v>
      </c>
      <c r="F190" s="3" t="s">
        <v>1975</v>
      </c>
      <c r="G190" s="4">
        <v>25</v>
      </c>
      <c r="H190" s="3" t="s">
        <v>1897</v>
      </c>
      <c r="I190" s="3" t="s">
        <v>1897</v>
      </c>
      <c r="J190" s="3" t="s">
        <v>233</v>
      </c>
      <c r="K190" s="3" t="s">
        <v>1976</v>
      </c>
      <c r="L190" s="3" t="s">
        <v>1977</v>
      </c>
      <c r="M190" s="3" t="s">
        <v>236</v>
      </c>
      <c r="N190" s="3" t="s">
        <v>237</v>
      </c>
      <c r="O190" s="3" t="s">
        <v>1978</v>
      </c>
      <c r="P190" s="3" t="s">
        <v>1885</v>
      </c>
      <c r="Q190" s="3"/>
      <c r="R190" s="3" t="s">
        <v>240</v>
      </c>
      <c r="S190" s="3" t="s">
        <v>1007</v>
      </c>
      <c r="T190" s="3" t="s">
        <v>79</v>
      </c>
      <c r="U190" s="3" t="s">
        <v>79</v>
      </c>
      <c r="V190" s="3" t="s">
        <v>242</v>
      </c>
      <c r="W190" s="3" t="s">
        <v>1928</v>
      </c>
      <c r="X190" s="3" t="s">
        <v>1979</v>
      </c>
      <c r="Y190" s="3" t="s">
        <v>244</v>
      </c>
      <c r="Z190" s="3" t="s">
        <v>245</v>
      </c>
      <c r="AA190" s="3" t="s">
        <v>1980</v>
      </c>
      <c r="AB190" s="3" t="s">
        <v>247</v>
      </c>
      <c r="AC190" s="3" t="s">
        <v>247</v>
      </c>
      <c r="AD190" s="3" t="s">
        <v>247</v>
      </c>
      <c r="AE190" s="3"/>
      <c r="AF190" s="3" t="s">
        <v>15</v>
      </c>
      <c r="AG190" s="3" t="s">
        <v>1981</v>
      </c>
      <c r="AH190" s="3" t="s">
        <v>248</v>
      </c>
      <c r="AI190" s="3"/>
      <c r="AJ190" s="3" t="s">
        <v>1982</v>
      </c>
      <c r="AK190" s="3" t="s">
        <v>249</v>
      </c>
    </row>
    <row r="191" ht="34" spans="1:37">
      <c r="A191" s="3" t="s">
        <v>19</v>
      </c>
      <c r="B191" s="3" t="s">
        <v>124</v>
      </c>
      <c r="C191" s="3" t="s">
        <v>227</v>
      </c>
      <c r="D191" s="3" t="s">
        <v>1983</v>
      </c>
      <c r="E191" s="3" t="s">
        <v>1694</v>
      </c>
      <c r="F191" s="3" t="s">
        <v>1984</v>
      </c>
      <c r="G191" s="4">
        <v>24</v>
      </c>
      <c r="H191" s="3" t="s">
        <v>1897</v>
      </c>
      <c r="I191" s="3" t="s">
        <v>1897</v>
      </c>
      <c r="J191" s="3" t="s">
        <v>233</v>
      </c>
      <c r="K191" s="3" t="s">
        <v>1985</v>
      </c>
      <c r="L191" s="3" t="s">
        <v>1986</v>
      </c>
      <c r="M191" s="3" t="s">
        <v>236</v>
      </c>
      <c r="N191" s="3" t="s">
        <v>502</v>
      </c>
      <c r="O191" s="3" t="s">
        <v>1987</v>
      </c>
      <c r="P191" s="3" t="s">
        <v>1885</v>
      </c>
      <c r="Q191" s="3"/>
      <c r="R191" s="3" t="s">
        <v>240</v>
      </c>
      <c r="S191" s="3" t="s">
        <v>241</v>
      </c>
      <c r="T191" s="3" t="s">
        <v>79</v>
      </c>
      <c r="U191" s="3" t="s">
        <v>79</v>
      </c>
      <c r="V191" s="3" t="s">
        <v>242</v>
      </c>
      <c r="W191" s="3" t="s">
        <v>1928</v>
      </c>
      <c r="X191" s="3" t="s">
        <v>1988</v>
      </c>
      <c r="Y191" s="3" t="s">
        <v>244</v>
      </c>
      <c r="Z191" s="3" t="s">
        <v>245</v>
      </c>
      <c r="AA191" s="3" t="s">
        <v>1989</v>
      </c>
      <c r="AB191" s="3" t="s">
        <v>247</v>
      </c>
      <c r="AC191" s="3" t="s">
        <v>247</v>
      </c>
      <c r="AD191" s="3" t="s">
        <v>247</v>
      </c>
      <c r="AE191" s="3"/>
      <c r="AF191" s="3" t="s">
        <v>19</v>
      </c>
      <c r="AG191" s="3" t="s">
        <v>1990</v>
      </c>
      <c r="AH191" s="3" t="s">
        <v>248</v>
      </c>
      <c r="AI191" s="3"/>
      <c r="AJ191" s="3" t="s">
        <v>1991</v>
      </c>
      <c r="AK191" s="3" t="s">
        <v>249</v>
      </c>
    </row>
    <row r="192" ht="34" spans="1:37">
      <c r="A192" s="3" t="s">
        <v>20</v>
      </c>
      <c r="B192" s="3" t="s">
        <v>135</v>
      </c>
      <c r="C192" s="3" t="s">
        <v>227</v>
      </c>
      <c r="D192" s="3" t="s">
        <v>1992</v>
      </c>
      <c r="E192" s="3" t="s">
        <v>1773</v>
      </c>
      <c r="F192" s="3" t="s">
        <v>1993</v>
      </c>
      <c r="G192" s="4">
        <v>22</v>
      </c>
      <c r="H192" s="3" t="s">
        <v>1994</v>
      </c>
      <c r="I192" s="3" t="s">
        <v>1994</v>
      </c>
      <c r="J192" s="3" t="s">
        <v>233</v>
      </c>
      <c r="K192" s="3" t="s">
        <v>766</v>
      </c>
      <c r="L192" s="3" t="s">
        <v>1995</v>
      </c>
      <c r="M192" s="3" t="s">
        <v>351</v>
      </c>
      <c r="N192" s="3" t="s">
        <v>1996</v>
      </c>
      <c r="O192" s="3" t="s">
        <v>1997</v>
      </c>
      <c r="P192" s="3" t="s">
        <v>1998</v>
      </c>
      <c r="Q192" s="3"/>
      <c r="R192" s="3" t="s">
        <v>240</v>
      </c>
      <c r="S192" s="3" t="s">
        <v>241</v>
      </c>
      <c r="T192" s="3" t="s">
        <v>79</v>
      </c>
      <c r="U192" s="3" t="s">
        <v>79</v>
      </c>
      <c r="V192" s="3" t="s">
        <v>242</v>
      </c>
      <c r="W192" s="3" t="s">
        <v>1999</v>
      </c>
      <c r="X192" s="3" t="s">
        <v>2000</v>
      </c>
      <c r="Y192" s="3" t="s">
        <v>244</v>
      </c>
      <c r="Z192" s="3" t="s">
        <v>245</v>
      </c>
      <c r="AA192" s="3" t="s">
        <v>2001</v>
      </c>
      <c r="AB192" s="3" t="s">
        <v>247</v>
      </c>
      <c r="AC192" s="3" t="s">
        <v>247</v>
      </c>
      <c r="AD192" s="3" t="s">
        <v>247</v>
      </c>
      <c r="AE192" s="3"/>
      <c r="AF192" s="3" t="s">
        <v>13</v>
      </c>
      <c r="AG192" s="3" t="s">
        <v>2002</v>
      </c>
      <c r="AH192" s="3" t="s">
        <v>248</v>
      </c>
      <c r="AI192" s="3"/>
      <c r="AJ192" s="3" t="s">
        <v>2003</v>
      </c>
      <c r="AK192" s="3" t="s">
        <v>249</v>
      </c>
    </row>
    <row r="193" ht="34" spans="1:37">
      <c r="A193" s="3" t="s">
        <v>20</v>
      </c>
      <c r="B193" s="3" t="s">
        <v>128</v>
      </c>
      <c r="C193" s="3" t="s">
        <v>227</v>
      </c>
      <c r="D193" s="3" t="s">
        <v>2004</v>
      </c>
      <c r="E193" s="3" t="s">
        <v>1773</v>
      </c>
      <c r="F193" s="3" t="s">
        <v>2005</v>
      </c>
      <c r="G193" s="4">
        <v>22</v>
      </c>
      <c r="H193" s="3" t="s">
        <v>1994</v>
      </c>
      <c r="I193" s="3" t="s">
        <v>1994</v>
      </c>
      <c r="J193" s="3" t="s">
        <v>233</v>
      </c>
      <c r="K193" s="3" t="s">
        <v>2006</v>
      </c>
      <c r="L193" s="3" t="s">
        <v>2007</v>
      </c>
      <c r="M193" s="3" t="s">
        <v>351</v>
      </c>
      <c r="N193" s="3" t="s">
        <v>352</v>
      </c>
      <c r="O193" s="3" t="s">
        <v>2008</v>
      </c>
      <c r="P193" s="3" t="s">
        <v>2009</v>
      </c>
      <c r="Q193" s="3"/>
      <c r="R193" s="3" t="s">
        <v>240</v>
      </c>
      <c r="S193" s="3" t="s">
        <v>241</v>
      </c>
      <c r="T193" s="3" t="s">
        <v>79</v>
      </c>
      <c r="U193" s="3" t="s">
        <v>79</v>
      </c>
      <c r="V193" s="3" t="s">
        <v>242</v>
      </c>
      <c r="W193" s="3" t="s">
        <v>1999</v>
      </c>
      <c r="X193" s="3" t="s">
        <v>2010</v>
      </c>
      <c r="Y193" s="3" t="s">
        <v>244</v>
      </c>
      <c r="Z193" s="3" t="s">
        <v>245</v>
      </c>
      <c r="AA193" s="3" t="s">
        <v>2011</v>
      </c>
      <c r="AB193" s="3" t="s">
        <v>247</v>
      </c>
      <c r="AC193" s="3" t="s">
        <v>247</v>
      </c>
      <c r="AD193" s="3" t="s">
        <v>247</v>
      </c>
      <c r="AE193" s="3"/>
      <c r="AF193" s="3" t="s">
        <v>13</v>
      </c>
      <c r="AG193" s="3" t="s">
        <v>2012</v>
      </c>
      <c r="AH193" s="3" t="s">
        <v>248</v>
      </c>
      <c r="AI193" s="3"/>
      <c r="AJ193" s="3" t="s">
        <v>2013</v>
      </c>
      <c r="AK193" s="3" t="s">
        <v>249</v>
      </c>
    </row>
    <row r="194" ht="34" spans="1:37">
      <c r="A194" s="3" t="s">
        <v>14</v>
      </c>
      <c r="B194" s="3" t="s">
        <v>2014</v>
      </c>
      <c r="C194" s="3" t="s">
        <v>227</v>
      </c>
      <c r="D194" s="3" t="s">
        <v>2015</v>
      </c>
      <c r="E194" s="3" t="s">
        <v>1895</v>
      </c>
      <c r="F194" s="3" t="s">
        <v>1984</v>
      </c>
      <c r="G194" s="4">
        <v>24</v>
      </c>
      <c r="H194" s="3" t="s">
        <v>1994</v>
      </c>
      <c r="I194" s="3" t="s">
        <v>1994</v>
      </c>
      <c r="J194" s="3" t="s">
        <v>233</v>
      </c>
      <c r="K194" s="3" t="s">
        <v>766</v>
      </c>
      <c r="L194" s="3" t="s">
        <v>2016</v>
      </c>
      <c r="M194" s="3" t="s">
        <v>236</v>
      </c>
      <c r="N194" s="3" t="s">
        <v>1309</v>
      </c>
      <c r="O194" s="3" t="s">
        <v>1209</v>
      </c>
      <c r="P194" s="3" t="s">
        <v>1952</v>
      </c>
      <c r="Q194" s="3"/>
      <c r="R194" s="3" t="s">
        <v>240</v>
      </c>
      <c r="S194" s="3" t="s">
        <v>1007</v>
      </c>
      <c r="T194" s="3" t="s">
        <v>79</v>
      </c>
      <c r="U194" s="3" t="s">
        <v>79</v>
      </c>
      <c r="V194" s="3" t="s">
        <v>242</v>
      </c>
      <c r="W194" s="3" t="s">
        <v>1999</v>
      </c>
      <c r="X194" s="3" t="s">
        <v>2017</v>
      </c>
      <c r="Y194" s="3" t="s">
        <v>244</v>
      </c>
      <c r="Z194" s="3" t="s">
        <v>245</v>
      </c>
      <c r="AA194" s="3" t="s">
        <v>2018</v>
      </c>
      <c r="AB194" s="3" t="s">
        <v>247</v>
      </c>
      <c r="AC194" s="3" t="s">
        <v>247</v>
      </c>
      <c r="AD194" s="3" t="s">
        <v>247</v>
      </c>
      <c r="AE194" s="3"/>
      <c r="AF194" s="3" t="s">
        <v>14</v>
      </c>
      <c r="AG194" s="3" t="s">
        <v>2019</v>
      </c>
      <c r="AH194" s="3" t="s">
        <v>248</v>
      </c>
      <c r="AI194" s="3"/>
      <c r="AJ194" s="3" t="s">
        <v>2020</v>
      </c>
      <c r="AK194" s="3" t="s">
        <v>249</v>
      </c>
    </row>
    <row r="195" ht="34" spans="1:37">
      <c r="A195" s="3" t="s">
        <v>14</v>
      </c>
      <c r="B195" s="3" t="s">
        <v>71</v>
      </c>
      <c r="C195" s="3" t="s">
        <v>227</v>
      </c>
      <c r="D195" s="3" t="s">
        <v>2021</v>
      </c>
      <c r="E195" s="3" t="s">
        <v>1895</v>
      </c>
      <c r="F195" s="3" t="s">
        <v>1934</v>
      </c>
      <c r="G195" s="4">
        <v>24</v>
      </c>
      <c r="H195" s="3" t="s">
        <v>1994</v>
      </c>
      <c r="I195" s="3" t="s">
        <v>1994</v>
      </c>
      <c r="J195" s="3" t="s">
        <v>233</v>
      </c>
      <c r="K195" s="3" t="s">
        <v>1875</v>
      </c>
      <c r="L195" s="3" t="s">
        <v>2022</v>
      </c>
      <c r="M195" s="3" t="s">
        <v>236</v>
      </c>
      <c r="N195" s="3" t="s">
        <v>585</v>
      </c>
      <c r="O195" s="3" t="s">
        <v>2023</v>
      </c>
      <c r="P195" s="3" t="s">
        <v>2024</v>
      </c>
      <c r="Q195" s="3"/>
      <c r="R195" s="3" t="s">
        <v>240</v>
      </c>
      <c r="S195" s="3" t="s">
        <v>289</v>
      </c>
      <c r="T195" s="3" t="s">
        <v>79</v>
      </c>
      <c r="U195" s="3" t="s">
        <v>79</v>
      </c>
      <c r="V195" s="3" t="s">
        <v>242</v>
      </c>
      <c r="W195" s="3" t="s">
        <v>1999</v>
      </c>
      <c r="X195" s="3" t="s">
        <v>2025</v>
      </c>
      <c r="Y195" s="3" t="s">
        <v>244</v>
      </c>
      <c r="Z195" s="3" t="s">
        <v>245</v>
      </c>
      <c r="AA195" s="3" t="s">
        <v>2026</v>
      </c>
      <c r="AB195" s="3" t="s">
        <v>247</v>
      </c>
      <c r="AC195" s="3" t="s">
        <v>247</v>
      </c>
      <c r="AD195" s="3" t="s">
        <v>247</v>
      </c>
      <c r="AE195" s="3"/>
      <c r="AF195" s="3" t="s">
        <v>14</v>
      </c>
      <c r="AG195" s="3" t="s">
        <v>2027</v>
      </c>
      <c r="AH195" s="3" t="s">
        <v>248</v>
      </c>
      <c r="AI195" s="3"/>
      <c r="AJ195" s="3" t="s">
        <v>2028</v>
      </c>
      <c r="AK195" s="3" t="s">
        <v>249</v>
      </c>
    </row>
    <row r="196" ht="34" spans="1:37">
      <c r="A196" s="3" t="s">
        <v>20</v>
      </c>
      <c r="B196" s="3" t="s">
        <v>2029</v>
      </c>
      <c r="C196" s="3" t="s">
        <v>227</v>
      </c>
      <c r="D196" s="3" t="s">
        <v>2030</v>
      </c>
      <c r="E196" s="3" t="s">
        <v>1773</v>
      </c>
      <c r="F196" s="3" t="s">
        <v>2031</v>
      </c>
      <c r="G196" s="4">
        <v>26</v>
      </c>
      <c r="H196" s="3" t="s">
        <v>1994</v>
      </c>
      <c r="I196" s="3" t="s">
        <v>1994</v>
      </c>
      <c r="J196" s="3" t="s">
        <v>233</v>
      </c>
      <c r="K196" s="3" t="s">
        <v>2032</v>
      </c>
      <c r="L196" s="3" t="s">
        <v>2033</v>
      </c>
      <c r="M196" s="3" t="s">
        <v>351</v>
      </c>
      <c r="N196" s="3" t="s">
        <v>352</v>
      </c>
      <c r="O196" s="3" t="s">
        <v>2008</v>
      </c>
      <c r="P196" s="3" t="s">
        <v>2024</v>
      </c>
      <c r="Q196" s="3"/>
      <c r="R196" s="3" t="s">
        <v>240</v>
      </c>
      <c r="S196" s="3" t="s">
        <v>289</v>
      </c>
      <c r="T196" s="3" t="s">
        <v>79</v>
      </c>
      <c r="U196" s="3" t="s">
        <v>79</v>
      </c>
      <c r="V196" s="3" t="s">
        <v>242</v>
      </c>
      <c r="W196" s="3" t="s">
        <v>1999</v>
      </c>
      <c r="X196" s="3" t="s">
        <v>2010</v>
      </c>
      <c r="Y196" s="3" t="s">
        <v>244</v>
      </c>
      <c r="Z196" s="3" t="s">
        <v>245</v>
      </c>
      <c r="AA196" s="3" t="s">
        <v>2034</v>
      </c>
      <c r="AB196" s="3" t="s">
        <v>247</v>
      </c>
      <c r="AC196" s="3" t="s">
        <v>247</v>
      </c>
      <c r="AD196" s="3" t="s">
        <v>247</v>
      </c>
      <c r="AE196" s="3"/>
      <c r="AF196" s="3" t="s">
        <v>13</v>
      </c>
      <c r="AG196" s="3" t="s">
        <v>2035</v>
      </c>
      <c r="AH196" s="3" t="s">
        <v>248</v>
      </c>
      <c r="AI196" s="3"/>
      <c r="AJ196" s="3" t="s">
        <v>2036</v>
      </c>
      <c r="AK196" s="3" t="s">
        <v>249</v>
      </c>
    </row>
    <row r="197" ht="68" spans="1:37">
      <c r="A197" s="3" t="s">
        <v>20</v>
      </c>
      <c r="B197" s="3" t="s">
        <v>143</v>
      </c>
      <c r="C197" s="3" t="s">
        <v>227</v>
      </c>
      <c r="D197" s="3" t="s">
        <v>2037</v>
      </c>
      <c r="E197" s="3" t="s">
        <v>1773</v>
      </c>
      <c r="F197" s="3" t="s">
        <v>2038</v>
      </c>
      <c r="G197" s="4">
        <v>24</v>
      </c>
      <c r="H197" s="3" t="s">
        <v>1994</v>
      </c>
      <c r="I197" s="3" t="s">
        <v>1994</v>
      </c>
      <c r="J197" s="3" t="s">
        <v>233</v>
      </c>
      <c r="K197" s="3" t="s">
        <v>1477</v>
      </c>
      <c r="L197" s="3" t="s">
        <v>2039</v>
      </c>
      <c r="M197" s="3" t="s">
        <v>351</v>
      </c>
      <c r="N197" s="3" t="s">
        <v>352</v>
      </c>
      <c r="O197" s="3" t="s">
        <v>2008</v>
      </c>
      <c r="P197" s="3" t="s">
        <v>1952</v>
      </c>
      <c r="Q197" s="3"/>
      <c r="R197" s="3" t="s">
        <v>240</v>
      </c>
      <c r="S197" s="3" t="s">
        <v>1007</v>
      </c>
      <c r="T197" s="3" t="s">
        <v>79</v>
      </c>
      <c r="U197" s="3" t="s">
        <v>79</v>
      </c>
      <c r="V197" s="3" t="s">
        <v>242</v>
      </c>
      <c r="W197" s="3" t="s">
        <v>1999</v>
      </c>
      <c r="X197" s="3" t="s">
        <v>2040</v>
      </c>
      <c r="Y197" s="3" t="s">
        <v>244</v>
      </c>
      <c r="Z197" s="3" t="s">
        <v>245</v>
      </c>
      <c r="AA197" s="3" t="s">
        <v>2041</v>
      </c>
      <c r="AB197" s="3" t="s">
        <v>247</v>
      </c>
      <c r="AC197" s="3" t="s">
        <v>247</v>
      </c>
      <c r="AD197" s="3" t="s">
        <v>247</v>
      </c>
      <c r="AE197" s="3"/>
      <c r="AF197" s="3" t="s">
        <v>13</v>
      </c>
      <c r="AG197" s="3" t="s">
        <v>2042</v>
      </c>
      <c r="AH197" s="3" t="s">
        <v>248</v>
      </c>
      <c r="AI197" s="3"/>
      <c r="AJ197" s="3" t="s">
        <v>2043</v>
      </c>
      <c r="AK197" s="3" t="s">
        <v>249</v>
      </c>
    </row>
    <row r="198" ht="34" spans="1:37">
      <c r="A198" s="3" t="s">
        <v>20</v>
      </c>
      <c r="B198" s="3" t="s">
        <v>2044</v>
      </c>
      <c r="C198" s="3" t="s">
        <v>227</v>
      </c>
      <c r="D198" s="3" t="s">
        <v>2045</v>
      </c>
      <c r="E198" s="3" t="s">
        <v>1773</v>
      </c>
      <c r="F198" s="3" t="s">
        <v>2046</v>
      </c>
      <c r="G198" s="4">
        <v>24</v>
      </c>
      <c r="H198" s="3" t="s">
        <v>1994</v>
      </c>
      <c r="I198" s="3" t="s">
        <v>1994</v>
      </c>
      <c r="J198" s="3" t="s">
        <v>233</v>
      </c>
      <c r="K198" s="3" t="s">
        <v>1666</v>
      </c>
      <c r="L198" s="3" t="s">
        <v>2047</v>
      </c>
      <c r="M198" s="3" t="s">
        <v>351</v>
      </c>
      <c r="N198" s="3" t="s">
        <v>352</v>
      </c>
      <c r="O198" s="3" t="s">
        <v>2008</v>
      </c>
      <c r="P198" s="3" t="s">
        <v>2024</v>
      </c>
      <c r="Q198" s="3"/>
      <c r="R198" s="3" t="s">
        <v>240</v>
      </c>
      <c r="S198" s="3" t="s">
        <v>1007</v>
      </c>
      <c r="T198" s="3" t="s">
        <v>79</v>
      </c>
      <c r="U198" s="3" t="s">
        <v>79</v>
      </c>
      <c r="V198" s="3" t="s">
        <v>242</v>
      </c>
      <c r="W198" s="3" t="s">
        <v>1999</v>
      </c>
      <c r="X198" s="3" t="s">
        <v>2040</v>
      </c>
      <c r="Y198" s="3" t="s">
        <v>244</v>
      </c>
      <c r="Z198" s="3" t="s">
        <v>245</v>
      </c>
      <c r="AA198" s="3" t="s">
        <v>2048</v>
      </c>
      <c r="AB198" s="3" t="s">
        <v>247</v>
      </c>
      <c r="AC198" s="3" t="s">
        <v>247</v>
      </c>
      <c r="AD198" s="3" t="s">
        <v>247</v>
      </c>
      <c r="AE198" s="3"/>
      <c r="AF198" s="3" t="s">
        <v>13</v>
      </c>
      <c r="AG198" s="3" t="s">
        <v>2049</v>
      </c>
      <c r="AH198" s="3" t="s">
        <v>248</v>
      </c>
      <c r="AI198" s="3"/>
      <c r="AJ198" s="3" t="s">
        <v>2050</v>
      </c>
      <c r="AK198" s="3" t="s">
        <v>249</v>
      </c>
    </row>
    <row r="199" ht="34" spans="1:37">
      <c r="A199" s="3" t="s">
        <v>9</v>
      </c>
      <c r="B199" s="3" t="s">
        <v>2051</v>
      </c>
      <c r="C199" s="3" t="s">
        <v>227</v>
      </c>
      <c r="D199" s="3" t="s">
        <v>2052</v>
      </c>
      <c r="E199" s="3" t="s">
        <v>1895</v>
      </c>
      <c r="F199" s="3" t="s">
        <v>2046</v>
      </c>
      <c r="G199" s="4">
        <v>24</v>
      </c>
      <c r="H199" s="3" t="s">
        <v>1994</v>
      </c>
      <c r="I199" s="3" t="s">
        <v>1994</v>
      </c>
      <c r="J199" s="3" t="s">
        <v>233</v>
      </c>
      <c r="K199" s="3" t="s">
        <v>2053</v>
      </c>
      <c r="L199" s="3" t="s">
        <v>2054</v>
      </c>
      <c r="M199" s="3" t="s">
        <v>236</v>
      </c>
      <c r="N199" s="3" t="s">
        <v>237</v>
      </c>
      <c r="O199" s="3" t="s">
        <v>2055</v>
      </c>
      <c r="P199" s="3" t="s">
        <v>1952</v>
      </c>
      <c r="Q199" s="3"/>
      <c r="R199" s="3" t="s">
        <v>240</v>
      </c>
      <c r="S199" s="3" t="s">
        <v>1007</v>
      </c>
      <c r="T199" s="3" t="s">
        <v>79</v>
      </c>
      <c r="U199" s="3" t="s">
        <v>79</v>
      </c>
      <c r="V199" s="3" t="s">
        <v>242</v>
      </c>
      <c r="W199" s="3" t="s">
        <v>1999</v>
      </c>
      <c r="X199" s="3" t="s">
        <v>2056</v>
      </c>
      <c r="Y199" s="3" t="s">
        <v>244</v>
      </c>
      <c r="Z199" s="3" t="s">
        <v>245</v>
      </c>
      <c r="AA199" s="3" t="s">
        <v>2057</v>
      </c>
      <c r="AB199" s="3" t="s">
        <v>247</v>
      </c>
      <c r="AC199" s="3" t="s">
        <v>247</v>
      </c>
      <c r="AD199" s="3" t="s">
        <v>247</v>
      </c>
      <c r="AE199" s="3"/>
      <c r="AF199" s="3" t="s">
        <v>9</v>
      </c>
      <c r="AG199" s="3" t="s">
        <v>2058</v>
      </c>
      <c r="AH199" s="3" t="s">
        <v>248</v>
      </c>
      <c r="AI199" s="3"/>
      <c r="AJ199" s="3" t="s">
        <v>2059</v>
      </c>
      <c r="AK199" s="3" t="s">
        <v>249</v>
      </c>
    </row>
    <row r="200" ht="34" spans="1:37">
      <c r="A200" s="3" t="s">
        <v>20</v>
      </c>
      <c r="B200" s="3" t="s">
        <v>144</v>
      </c>
      <c r="C200" s="3" t="s">
        <v>227</v>
      </c>
      <c r="D200" s="3" t="s">
        <v>2060</v>
      </c>
      <c r="E200" s="3" t="s">
        <v>1895</v>
      </c>
      <c r="F200" s="3" t="s">
        <v>2061</v>
      </c>
      <c r="G200" s="4">
        <v>24</v>
      </c>
      <c r="H200" s="3" t="s">
        <v>1994</v>
      </c>
      <c r="I200" s="3" t="s">
        <v>1994</v>
      </c>
      <c r="J200" s="3" t="s">
        <v>233</v>
      </c>
      <c r="K200" s="3" t="s">
        <v>766</v>
      </c>
      <c r="L200" s="3" t="s">
        <v>2062</v>
      </c>
      <c r="M200" s="3" t="s">
        <v>236</v>
      </c>
      <c r="N200" s="3" t="s">
        <v>352</v>
      </c>
      <c r="O200" s="3" t="s">
        <v>2063</v>
      </c>
      <c r="P200" s="3" t="s">
        <v>2024</v>
      </c>
      <c r="Q200" s="3"/>
      <c r="R200" s="3" t="s">
        <v>240</v>
      </c>
      <c r="S200" s="3" t="s">
        <v>1007</v>
      </c>
      <c r="T200" s="3" t="s">
        <v>79</v>
      </c>
      <c r="U200" s="3" t="s">
        <v>79</v>
      </c>
      <c r="V200" s="3" t="s">
        <v>242</v>
      </c>
      <c r="W200" s="3" t="s">
        <v>2064</v>
      </c>
      <c r="X200" s="3" t="s">
        <v>2065</v>
      </c>
      <c r="Y200" s="3" t="s">
        <v>244</v>
      </c>
      <c r="Z200" s="3" t="s">
        <v>245</v>
      </c>
      <c r="AA200" s="3" t="s">
        <v>2066</v>
      </c>
      <c r="AB200" s="3" t="s">
        <v>247</v>
      </c>
      <c r="AC200" s="3" t="s">
        <v>247</v>
      </c>
      <c r="AD200" s="3" t="s">
        <v>247</v>
      </c>
      <c r="AE200" s="3"/>
      <c r="AF200" s="3" t="s">
        <v>13</v>
      </c>
      <c r="AG200" s="3" t="s">
        <v>2067</v>
      </c>
      <c r="AH200" s="3" t="s">
        <v>248</v>
      </c>
      <c r="AI200" s="3"/>
      <c r="AJ200" s="3" t="s">
        <v>2068</v>
      </c>
      <c r="AK200" s="3" t="s">
        <v>249</v>
      </c>
    </row>
    <row r="201" ht="34" spans="1:37">
      <c r="A201" s="3" t="s">
        <v>13</v>
      </c>
      <c r="B201" s="3" t="s">
        <v>62</v>
      </c>
      <c r="C201" s="3" t="s">
        <v>251</v>
      </c>
      <c r="D201" s="3" t="s">
        <v>2069</v>
      </c>
      <c r="E201" s="3" t="s">
        <v>1895</v>
      </c>
      <c r="F201" s="3" t="s">
        <v>1848</v>
      </c>
      <c r="G201" s="4">
        <v>26</v>
      </c>
      <c r="H201" s="3" t="s">
        <v>1994</v>
      </c>
      <c r="I201" s="3" t="s">
        <v>1994</v>
      </c>
      <c r="J201" s="3" t="s">
        <v>233</v>
      </c>
      <c r="K201" s="3" t="s">
        <v>1625</v>
      </c>
      <c r="L201" s="3" t="s">
        <v>2070</v>
      </c>
      <c r="M201" s="3" t="s">
        <v>236</v>
      </c>
      <c r="N201" s="3" t="s">
        <v>237</v>
      </c>
      <c r="O201" s="3" t="s">
        <v>2071</v>
      </c>
      <c r="P201" s="3" t="s">
        <v>239</v>
      </c>
      <c r="Q201" s="3"/>
      <c r="R201" s="3" t="s">
        <v>240</v>
      </c>
      <c r="S201" s="3" t="s">
        <v>241</v>
      </c>
      <c r="T201" s="3" t="s">
        <v>79</v>
      </c>
      <c r="U201" s="3" t="s">
        <v>79</v>
      </c>
      <c r="V201" s="3" t="s">
        <v>242</v>
      </c>
      <c r="W201" s="3" t="s">
        <v>2064</v>
      </c>
      <c r="X201" s="3" t="s">
        <v>2072</v>
      </c>
      <c r="Y201" s="3" t="s">
        <v>244</v>
      </c>
      <c r="Z201" s="3" t="s">
        <v>245</v>
      </c>
      <c r="AA201" s="3" t="s">
        <v>2073</v>
      </c>
      <c r="AB201" s="3" t="s">
        <v>247</v>
      </c>
      <c r="AC201" s="3" t="s">
        <v>247</v>
      </c>
      <c r="AD201" s="3" t="s">
        <v>247</v>
      </c>
      <c r="AE201" s="3"/>
      <c r="AF201" s="3" t="s">
        <v>13</v>
      </c>
      <c r="AG201" s="3" t="s">
        <v>2074</v>
      </c>
      <c r="AH201" s="3" t="s">
        <v>248</v>
      </c>
      <c r="AI201" s="3"/>
      <c r="AJ201" s="3" t="s">
        <v>2075</v>
      </c>
      <c r="AK201" s="3" t="s">
        <v>249</v>
      </c>
    </row>
    <row r="202" ht="34" spans="1:37">
      <c r="A202" s="3" t="s">
        <v>15</v>
      </c>
      <c r="B202" s="3" t="s">
        <v>2076</v>
      </c>
      <c r="C202" s="3" t="s">
        <v>227</v>
      </c>
      <c r="D202" s="3" t="s">
        <v>2077</v>
      </c>
      <c r="E202" s="3" t="s">
        <v>1895</v>
      </c>
      <c r="F202" s="3" t="s">
        <v>2078</v>
      </c>
      <c r="G202" s="4">
        <v>22</v>
      </c>
      <c r="H202" s="3" t="s">
        <v>2079</v>
      </c>
      <c r="I202" s="3" t="s">
        <v>2079</v>
      </c>
      <c r="J202" s="3" t="s">
        <v>233</v>
      </c>
      <c r="K202" s="3" t="s">
        <v>2080</v>
      </c>
      <c r="L202" s="3" t="s">
        <v>2081</v>
      </c>
      <c r="M202" s="3" t="s">
        <v>236</v>
      </c>
      <c r="N202" s="3" t="s">
        <v>897</v>
      </c>
      <c r="O202" s="3" t="s">
        <v>834</v>
      </c>
      <c r="P202" s="3" t="s">
        <v>2082</v>
      </c>
      <c r="Q202" s="3"/>
      <c r="R202" s="3" t="s">
        <v>240</v>
      </c>
      <c r="S202" s="3" t="s">
        <v>241</v>
      </c>
      <c r="T202" s="3" t="s">
        <v>79</v>
      </c>
      <c r="U202" s="3" t="s">
        <v>79</v>
      </c>
      <c r="V202" s="3" t="s">
        <v>242</v>
      </c>
      <c r="W202" s="3" t="s">
        <v>2064</v>
      </c>
      <c r="X202" s="3" t="s">
        <v>1911</v>
      </c>
      <c r="Y202" s="3" t="s">
        <v>244</v>
      </c>
      <c r="Z202" s="3" t="s">
        <v>245</v>
      </c>
      <c r="AA202" s="3" t="s">
        <v>2083</v>
      </c>
      <c r="AB202" s="3" t="s">
        <v>247</v>
      </c>
      <c r="AC202" s="3" t="s">
        <v>247</v>
      </c>
      <c r="AD202" s="3" t="s">
        <v>247</v>
      </c>
      <c r="AE202" s="3"/>
      <c r="AF202" s="3" t="s">
        <v>15</v>
      </c>
      <c r="AG202" s="3" t="s">
        <v>2084</v>
      </c>
      <c r="AH202" s="3" t="s">
        <v>248</v>
      </c>
      <c r="AI202" s="3"/>
      <c r="AJ202" s="3" t="s">
        <v>2085</v>
      </c>
      <c r="AK202" s="3" t="s">
        <v>249</v>
      </c>
    </row>
    <row r="203" ht="34" spans="1:37">
      <c r="A203" s="3" t="s">
        <v>23</v>
      </c>
      <c r="B203" s="3" t="s">
        <v>2086</v>
      </c>
      <c r="C203" s="3" t="s">
        <v>227</v>
      </c>
      <c r="D203" s="3" t="s">
        <v>2087</v>
      </c>
      <c r="E203" s="3" t="s">
        <v>683</v>
      </c>
      <c r="F203" s="3" t="s">
        <v>2088</v>
      </c>
      <c r="G203" s="4">
        <v>49</v>
      </c>
      <c r="H203" s="3" t="s">
        <v>2089</v>
      </c>
      <c r="I203" s="3" t="s">
        <v>2089</v>
      </c>
      <c r="J203" s="3" t="s">
        <v>266</v>
      </c>
      <c r="K203" s="3"/>
      <c r="L203" s="3"/>
      <c r="M203" s="3" t="s">
        <v>473</v>
      </c>
      <c r="N203" s="3" t="s">
        <v>512</v>
      </c>
      <c r="O203" s="3"/>
      <c r="P203" s="3"/>
      <c r="Q203" s="3"/>
      <c r="R203" s="3" t="s">
        <v>273</v>
      </c>
      <c r="S203" s="3" t="s">
        <v>241</v>
      </c>
      <c r="T203" s="3" t="s">
        <v>79</v>
      </c>
      <c r="U203" s="3" t="s">
        <v>79</v>
      </c>
      <c r="V203" s="3" t="s">
        <v>242</v>
      </c>
      <c r="W203" s="3" t="s">
        <v>2064</v>
      </c>
      <c r="X203" s="3" t="s">
        <v>1911</v>
      </c>
      <c r="Y203" s="3" t="s">
        <v>244</v>
      </c>
      <c r="Z203" s="3" t="s">
        <v>245</v>
      </c>
      <c r="AA203" s="3"/>
      <c r="AB203" s="3" t="s">
        <v>248</v>
      </c>
      <c r="AC203" s="3" t="s">
        <v>247</v>
      </c>
      <c r="AD203" s="3" t="s">
        <v>248</v>
      </c>
      <c r="AE203" s="3"/>
      <c r="AF203" s="3" t="s">
        <v>277</v>
      </c>
      <c r="AG203" s="3" t="s">
        <v>2090</v>
      </c>
      <c r="AH203" s="3" t="s">
        <v>248</v>
      </c>
      <c r="AI203" s="3"/>
      <c r="AJ203" s="3" t="s">
        <v>2091</v>
      </c>
      <c r="AK203" s="3" t="s">
        <v>249</v>
      </c>
    </row>
    <row r="204" ht="34" spans="1:37">
      <c r="A204" s="3" t="s">
        <v>19</v>
      </c>
      <c r="B204" s="3" t="s">
        <v>117</v>
      </c>
      <c r="C204" s="3" t="s">
        <v>227</v>
      </c>
      <c r="D204" s="3" t="s">
        <v>2092</v>
      </c>
      <c r="E204" s="3" t="s">
        <v>1895</v>
      </c>
      <c r="F204" s="3" t="s">
        <v>2093</v>
      </c>
      <c r="G204" s="4">
        <v>23</v>
      </c>
      <c r="H204" s="3" t="s">
        <v>2094</v>
      </c>
      <c r="I204" s="3" t="s">
        <v>2094</v>
      </c>
      <c r="J204" s="3" t="s">
        <v>233</v>
      </c>
      <c r="K204" s="3" t="s">
        <v>766</v>
      </c>
      <c r="L204" s="3" t="s">
        <v>2095</v>
      </c>
      <c r="M204" s="3" t="s">
        <v>236</v>
      </c>
      <c r="N204" s="3" t="s">
        <v>585</v>
      </c>
      <c r="O204" s="3" t="s">
        <v>1840</v>
      </c>
      <c r="P204" s="3" t="s">
        <v>2096</v>
      </c>
      <c r="Q204" s="3"/>
      <c r="R204" s="3" t="s">
        <v>240</v>
      </c>
      <c r="S204" s="3" t="s">
        <v>1007</v>
      </c>
      <c r="T204" s="3" t="s">
        <v>79</v>
      </c>
      <c r="U204" s="3" t="s">
        <v>79</v>
      </c>
      <c r="V204" s="3" t="s">
        <v>242</v>
      </c>
      <c r="W204" s="3" t="s">
        <v>2064</v>
      </c>
      <c r="X204" s="3" t="s">
        <v>2097</v>
      </c>
      <c r="Y204" s="3" t="s">
        <v>244</v>
      </c>
      <c r="Z204" s="3" t="s">
        <v>245</v>
      </c>
      <c r="AA204" s="3" t="s">
        <v>2098</v>
      </c>
      <c r="AB204" s="3" t="s">
        <v>247</v>
      </c>
      <c r="AC204" s="3" t="s">
        <v>247</v>
      </c>
      <c r="AD204" s="3" t="s">
        <v>247</v>
      </c>
      <c r="AE204" s="3"/>
      <c r="AF204" s="3" t="s">
        <v>19</v>
      </c>
      <c r="AG204" s="3" t="s">
        <v>2099</v>
      </c>
      <c r="AH204" s="3" t="s">
        <v>248</v>
      </c>
      <c r="AI204" s="3"/>
      <c r="AJ204" s="3" t="s">
        <v>2100</v>
      </c>
      <c r="AK204" s="3" t="s">
        <v>249</v>
      </c>
    </row>
    <row r="205" ht="34" spans="1:37">
      <c r="A205" s="3" t="s">
        <v>15</v>
      </c>
      <c r="B205" s="3" t="s">
        <v>80</v>
      </c>
      <c r="C205" s="3" t="s">
        <v>227</v>
      </c>
      <c r="D205" s="3" t="s">
        <v>2101</v>
      </c>
      <c r="E205" s="3" t="s">
        <v>360</v>
      </c>
      <c r="F205" s="3" t="s">
        <v>2102</v>
      </c>
      <c r="G205" s="4">
        <v>26</v>
      </c>
      <c r="H205" s="3" t="s">
        <v>2079</v>
      </c>
      <c r="I205" s="3" t="s">
        <v>2079</v>
      </c>
      <c r="J205" s="3" t="s">
        <v>233</v>
      </c>
      <c r="K205" s="3" t="s">
        <v>2103</v>
      </c>
      <c r="L205" s="3" t="s">
        <v>2104</v>
      </c>
      <c r="M205" s="3" t="s">
        <v>2105</v>
      </c>
      <c r="N205" s="3" t="s">
        <v>237</v>
      </c>
      <c r="O205" s="3" t="s">
        <v>887</v>
      </c>
      <c r="P205" s="3" t="s">
        <v>2082</v>
      </c>
      <c r="Q205" s="3"/>
      <c r="R205" s="3" t="s">
        <v>240</v>
      </c>
      <c r="S205" s="3" t="s">
        <v>1007</v>
      </c>
      <c r="T205" s="3" t="s">
        <v>79</v>
      </c>
      <c r="U205" s="3" t="s">
        <v>79</v>
      </c>
      <c r="V205" s="3" t="s">
        <v>242</v>
      </c>
      <c r="W205" s="3" t="s">
        <v>2064</v>
      </c>
      <c r="X205" s="3" t="s">
        <v>2106</v>
      </c>
      <c r="Y205" s="3" t="s">
        <v>244</v>
      </c>
      <c r="Z205" s="3" t="s">
        <v>245</v>
      </c>
      <c r="AA205" s="3" t="s">
        <v>2107</v>
      </c>
      <c r="AB205" s="3" t="s">
        <v>247</v>
      </c>
      <c r="AC205" s="3" t="s">
        <v>247</v>
      </c>
      <c r="AD205" s="3" t="s">
        <v>247</v>
      </c>
      <c r="AE205" s="3"/>
      <c r="AF205" s="3" t="s">
        <v>15</v>
      </c>
      <c r="AG205" s="3" t="s">
        <v>2108</v>
      </c>
      <c r="AH205" s="3" t="s">
        <v>248</v>
      </c>
      <c r="AI205" s="3"/>
      <c r="AJ205" s="3" t="s">
        <v>2109</v>
      </c>
      <c r="AK205" s="3" t="s">
        <v>249</v>
      </c>
    </row>
    <row r="206" ht="34" spans="1:37">
      <c r="A206" s="3" t="s">
        <v>15</v>
      </c>
      <c r="B206" s="3" t="s">
        <v>2110</v>
      </c>
      <c r="C206" s="3" t="s">
        <v>227</v>
      </c>
      <c r="D206" s="3" t="s">
        <v>2111</v>
      </c>
      <c r="E206" s="3" t="s">
        <v>1895</v>
      </c>
      <c r="F206" s="3" t="s">
        <v>2112</v>
      </c>
      <c r="G206" s="4">
        <v>25</v>
      </c>
      <c r="H206" s="3" t="s">
        <v>2113</v>
      </c>
      <c r="I206" s="3" t="s">
        <v>2114</v>
      </c>
      <c r="J206" s="3" t="s">
        <v>233</v>
      </c>
      <c r="K206" s="3" t="s">
        <v>2115</v>
      </c>
      <c r="L206" s="3" t="s">
        <v>2116</v>
      </c>
      <c r="M206" s="3" t="s">
        <v>236</v>
      </c>
      <c r="N206" s="3" t="s">
        <v>237</v>
      </c>
      <c r="O206" s="3" t="s">
        <v>2063</v>
      </c>
      <c r="P206" s="3" t="s">
        <v>1952</v>
      </c>
      <c r="Q206" s="3"/>
      <c r="R206" s="3" t="s">
        <v>240</v>
      </c>
      <c r="S206" s="3" t="s">
        <v>1007</v>
      </c>
      <c r="T206" s="3" t="s">
        <v>79</v>
      </c>
      <c r="U206" s="3" t="s">
        <v>79</v>
      </c>
      <c r="V206" s="3" t="s">
        <v>242</v>
      </c>
      <c r="W206" s="3" t="s">
        <v>2064</v>
      </c>
      <c r="X206" s="3" t="s">
        <v>2117</v>
      </c>
      <c r="Y206" s="3" t="s">
        <v>244</v>
      </c>
      <c r="Z206" s="3" t="s">
        <v>245</v>
      </c>
      <c r="AA206" s="3" t="s">
        <v>2118</v>
      </c>
      <c r="AB206" s="3" t="s">
        <v>247</v>
      </c>
      <c r="AC206" s="3" t="s">
        <v>247</v>
      </c>
      <c r="AD206" s="3" t="s">
        <v>247</v>
      </c>
      <c r="AE206" s="3"/>
      <c r="AF206" s="3" t="s">
        <v>15</v>
      </c>
      <c r="AG206" s="3" t="s">
        <v>2119</v>
      </c>
      <c r="AH206" s="3" t="s">
        <v>248</v>
      </c>
      <c r="AI206" s="3"/>
      <c r="AJ206" s="3" t="s">
        <v>2120</v>
      </c>
      <c r="AK206" s="3" t="s">
        <v>249</v>
      </c>
    </row>
    <row r="207" ht="34" spans="1:37">
      <c r="A207" s="3" t="s">
        <v>21</v>
      </c>
      <c r="B207" s="3" t="s">
        <v>155</v>
      </c>
      <c r="C207" s="3" t="s">
        <v>227</v>
      </c>
      <c r="D207" s="3" t="s">
        <v>2121</v>
      </c>
      <c r="E207" s="3" t="s">
        <v>1895</v>
      </c>
      <c r="F207" s="3" t="s">
        <v>2122</v>
      </c>
      <c r="G207" s="4">
        <v>22</v>
      </c>
      <c r="H207" s="3" t="s">
        <v>2079</v>
      </c>
      <c r="I207" s="3" t="s">
        <v>2079</v>
      </c>
      <c r="J207" s="3" t="s">
        <v>233</v>
      </c>
      <c r="K207" s="3" t="s">
        <v>2123</v>
      </c>
      <c r="L207" s="3" t="s">
        <v>2124</v>
      </c>
      <c r="M207" s="3" t="s">
        <v>236</v>
      </c>
      <c r="N207" s="3" t="s">
        <v>352</v>
      </c>
      <c r="O207" s="3" t="s">
        <v>1668</v>
      </c>
      <c r="P207" s="3" t="s">
        <v>2082</v>
      </c>
      <c r="Q207" s="3"/>
      <c r="R207" s="3" t="s">
        <v>240</v>
      </c>
      <c r="S207" s="3" t="s">
        <v>289</v>
      </c>
      <c r="T207" s="3" t="s">
        <v>79</v>
      </c>
      <c r="U207" s="3" t="s">
        <v>79</v>
      </c>
      <c r="V207" s="3" t="s">
        <v>242</v>
      </c>
      <c r="W207" s="3" t="s">
        <v>2125</v>
      </c>
      <c r="X207" s="3" t="s">
        <v>2106</v>
      </c>
      <c r="Y207" s="3" t="s">
        <v>244</v>
      </c>
      <c r="Z207" s="3" t="s">
        <v>245</v>
      </c>
      <c r="AA207" s="3" t="s">
        <v>2126</v>
      </c>
      <c r="AB207" s="3" t="s">
        <v>247</v>
      </c>
      <c r="AC207" s="3" t="s">
        <v>247</v>
      </c>
      <c r="AD207" s="3" t="s">
        <v>247</v>
      </c>
      <c r="AE207" s="3"/>
      <c r="AF207" s="3" t="s">
        <v>21</v>
      </c>
      <c r="AG207" s="3" t="s">
        <v>2127</v>
      </c>
      <c r="AH207" s="3" t="s">
        <v>248</v>
      </c>
      <c r="AI207" s="3"/>
      <c r="AJ207" s="3" t="s">
        <v>2128</v>
      </c>
      <c r="AK207" s="3" t="s">
        <v>249</v>
      </c>
    </row>
    <row r="208" ht="34" spans="1:37">
      <c r="A208" s="3" t="s">
        <v>15</v>
      </c>
      <c r="B208" s="3" t="s">
        <v>2129</v>
      </c>
      <c r="C208" s="3" t="s">
        <v>227</v>
      </c>
      <c r="D208" s="3" t="s">
        <v>2130</v>
      </c>
      <c r="E208" s="3" t="s">
        <v>1895</v>
      </c>
      <c r="F208" s="3" t="s">
        <v>2131</v>
      </c>
      <c r="G208" s="4">
        <v>22</v>
      </c>
      <c r="H208" s="3" t="s">
        <v>2079</v>
      </c>
      <c r="I208" s="3" t="s">
        <v>2079</v>
      </c>
      <c r="J208" s="3" t="s">
        <v>233</v>
      </c>
      <c r="K208" s="3" t="s">
        <v>766</v>
      </c>
      <c r="L208" s="3" t="s">
        <v>2132</v>
      </c>
      <c r="M208" s="3" t="s">
        <v>236</v>
      </c>
      <c r="N208" s="3" t="s">
        <v>286</v>
      </c>
      <c r="O208" s="3" t="s">
        <v>1652</v>
      </c>
      <c r="P208" s="3" t="s">
        <v>2082</v>
      </c>
      <c r="Q208" s="3"/>
      <c r="R208" s="3" t="s">
        <v>240</v>
      </c>
      <c r="S208" s="3" t="s">
        <v>241</v>
      </c>
      <c r="T208" s="3" t="s">
        <v>79</v>
      </c>
      <c r="U208" s="3" t="s">
        <v>79</v>
      </c>
      <c r="V208" s="3" t="s">
        <v>242</v>
      </c>
      <c r="W208" s="3" t="s">
        <v>2125</v>
      </c>
      <c r="X208" s="3" t="s">
        <v>2106</v>
      </c>
      <c r="Y208" s="3" t="s">
        <v>244</v>
      </c>
      <c r="Z208" s="3" t="s">
        <v>245</v>
      </c>
      <c r="AA208" s="3" t="s">
        <v>2133</v>
      </c>
      <c r="AB208" s="3" t="s">
        <v>247</v>
      </c>
      <c r="AC208" s="3" t="s">
        <v>247</v>
      </c>
      <c r="AD208" s="3" t="s">
        <v>247</v>
      </c>
      <c r="AE208" s="3"/>
      <c r="AF208" s="3" t="s">
        <v>15</v>
      </c>
      <c r="AG208" s="3" t="s">
        <v>2134</v>
      </c>
      <c r="AH208" s="3" t="s">
        <v>248</v>
      </c>
      <c r="AI208" s="3"/>
      <c r="AJ208" s="3" t="s">
        <v>2135</v>
      </c>
      <c r="AK208" s="3" t="s">
        <v>249</v>
      </c>
    </row>
    <row r="209" ht="51" spans="1:37">
      <c r="A209" s="3" t="s">
        <v>15</v>
      </c>
      <c r="B209" s="3" t="s">
        <v>2136</v>
      </c>
      <c r="C209" s="3" t="s">
        <v>251</v>
      </c>
      <c r="D209" s="3" t="s">
        <v>2137</v>
      </c>
      <c r="E209" s="3" t="s">
        <v>1895</v>
      </c>
      <c r="F209" s="3" t="s">
        <v>2138</v>
      </c>
      <c r="G209" s="4">
        <v>21</v>
      </c>
      <c r="H209" s="3" t="s">
        <v>2079</v>
      </c>
      <c r="I209" s="3" t="s">
        <v>2079</v>
      </c>
      <c r="J209" s="3" t="s">
        <v>233</v>
      </c>
      <c r="K209" s="3" t="s">
        <v>2139</v>
      </c>
      <c r="L209" s="3" t="s">
        <v>2140</v>
      </c>
      <c r="M209" s="3" t="s">
        <v>236</v>
      </c>
      <c r="N209" s="3" t="s">
        <v>237</v>
      </c>
      <c r="O209" s="3" t="s">
        <v>2141</v>
      </c>
      <c r="P209" s="3" t="s">
        <v>2082</v>
      </c>
      <c r="Q209" s="3"/>
      <c r="R209" s="3" t="s">
        <v>240</v>
      </c>
      <c r="S209" s="3" t="s">
        <v>1007</v>
      </c>
      <c r="T209" s="3" t="s">
        <v>79</v>
      </c>
      <c r="U209" s="3" t="s">
        <v>79</v>
      </c>
      <c r="V209" s="3" t="s">
        <v>242</v>
      </c>
      <c r="W209" s="3" t="s">
        <v>2125</v>
      </c>
      <c r="X209" s="3" t="s">
        <v>2106</v>
      </c>
      <c r="Y209" s="3" t="s">
        <v>244</v>
      </c>
      <c r="Z209" s="3" t="s">
        <v>245</v>
      </c>
      <c r="AA209" s="3" t="s">
        <v>276</v>
      </c>
      <c r="AB209" s="3" t="s">
        <v>247</v>
      </c>
      <c r="AC209" s="3" t="s">
        <v>247</v>
      </c>
      <c r="AD209" s="3" t="s">
        <v>247</v>
      </c>
      <c r="AE209" s="3"/>
      <c r="AF209" s="3" t="s">
        <v>15</v>
      </c>
      <c r="AG209" s="3" t="s">
        <v>2142</v>
      </c>
      <c r="AH209" s="3" t="s">
        <v>248</v>
      </c>
      <c r="AI209" s="3"/>
      <c r="AJ209" s="3" t="s">
        <v>2143</v>
      </c>
      <c r="AK209" s="3" t="s">
        <v>249</v>
      </c>
    </row>
  </sheetData>
  <dataValidations count="2">
    <dataValidation type="decimal" operator="between" allowBlank="1" showErrorMessage="1" sqref="G2:G209">
      <formula1>-999999999999.99</formula1>
      <formula2>999999999999.99</formula2>
    </dataValidation>
    <dataValidation type="list" allowBlank="1" showErrorMessage="1" errorTitle="输入错误" error="请从下拉项中选择" sqref="AH2:AH209">
      <formula1>StatusOptions_33</formula1>
    </dataValidation>
  </dataValidation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职能部门ERP操作汇总</vt:lpstr>
      <vt:lpstr>职能部门人员ERP操作</vt:lpstr>
      <vt:lpstr>职能部门人员台账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ncc</dc:creator>
  <cp:lastModifiedBy>徐图图</cp:lastModifiedBy>
  <dcterms:created xsi:type="dcterms:W3CDTF">2023-05-13T03:15:00Z</dcterms:created>
  <dcterms:modified xsi:type="dcterms:W3CDTF">2026-05-27T09:28:09Z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2052-12.1.21861.21861</vt:lpwstr>
  </property>
  <property fmtid="{D5CDD505-2E9C-101B-9397-08002B2CF9AE}" pid="3" name="ICV">
    <vt:lpwstr>BD58454A7CFE4A38F30E106A872D450C_43</vt:lpwstr>
  </property>
  <property fmtid="{D5CDD505-2E9C-101B-9397-08002B2CF9AE}" pid="4" name="CalculationRule">
    <vt:i4>0</vt:i4>
  </property>
</Properties>
</file>