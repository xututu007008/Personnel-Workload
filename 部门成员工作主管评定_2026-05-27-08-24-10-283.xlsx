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Sheet1" sheetId="1" r:id="rId3"/>
    <sheet name="Hidden_Options_1" sheetId="2" state="veryHidden" r:id="rId4"/>
    <sheet name="Hidden_Options_23" sheetId="3" state="veryHidden" r:id="rId5"/>
    <sheet name="Hidden_Options_24" sheetId="4" state="veryHidden" r:id="rId6"/>
    <sheet name="Hidden_Options_25" sheetId="5" state="veryHidden" r:id="rId7"/>
    <sheet name="Hidden_Options_26" sheetId="6" state="veryHidden" r:id="rId8"/>
    <sheet name="Hidden_Options_27" sheetId="7" state="veryHidden" r:id="rId9"/>
    <sheet name="Hidden_Options_28" sheetId="8" state="veryHidden" r:id="rId10"/>
    <sheet name="Hidden_Options_29" sheetId="9" state="veryHidden" r:id="rId11"/>
    <sheet name="Hidden_Options_30" sheetId="10" state="veryHidden" r:id="rId12"/>
    <sheet name="Hidden_Options_31" sheetId="11" state="veryHidden" r:id="rId13"/>
    <sheet name="Hidden_Options_32" sheetId="12" state="veryHidden" r:id="rId14"/>
    <sheet name="Hidden_Options_33" sheetId="13" state="veryHidden" r:id="rId15"/>
    <sheet name="Hidden_Options_34" sheetId="14" state="veryHidden" r:id="rId16"/>
    <sheet name="Hidden_Options_35" sheetId="15" state="veryHidden" r:id="rId17"/>
    <sheet name="Hidden_Options_36" sheetId="16" state="veryHidden" r:id="rId18"/>
    <sheet name="Hidden_Options_37" sheetId="17" state="veryHidden" r:id="rId19"/>
    <sheet name="Hidden_Options_38" sheetId="18" state="veryHidden" r:id="rId20"/>
    <sheet name="Hidden_Options_39" sheetId="19" state="veryHidden" r:id="rId21"/>
    <sheet name="Hidden_Options_40" sheetId="20" state="veryHidden" r:id="rId22"/>
    <sheet name="Hidden_Options_41" sheetId="21" state="veryHidden" r:id="rId23"/>
    <sheet name="Hidden_Options_46" sheetId="22" state="veryHidden" r:id="rId24"/>
    <sheet name="Hidden_Options_73" sheetId="23" state="veryHidden" r:id="rId25"/>
    <sheet name="Hidden_Options_78" sheetId="24" state="veryHidden" r:id="rId26"/>
    <sheet name="Hidden_Options_92" sheetId="25" state="veryHidden" r:id="rId27"/>
  </sheets>
  <definedNames>
    <definedName name="StatusOptions_1"><![CDATA[Hidden_Options_1!$A$1:$A$5]]></definedName>
    <definedName name="StatusOptions_23"><![CDATA[Hidden_Options_23!$A$1:$A$4]]></definedName>
    <definedName name="StatusOptions_24"><![CDATA[Hidden_Options_24!$A$1:$A$4]]></definedName>
    <definedName name="StatusOptions_25"><![CDATA[Hidden_Options_25!$A$1:$A$5]]></definedName>
    <definedName name="StatusOptions_26"><![CDATA[Hidden_Options_26!$A$1:$A$4]]></definedName>
    <definedName name="StatusOptions_27"><![CDATA[Hidden_Options_27!$A$1:$A$5]]></definedName>
    <definedName name="StatusOptions_28"><![CDATA[Hidden_Options_28!$A$1:$A$5]]></definedName>
    <definedName name="StatusOptions_29"><![CDATA[Hidden_Options_29!$A$1:$A$4]]></definedName>
    <definedName name="StatusOptions_30"><![CDATA[Hidden_Options_30!$A$1:$A$5]]></definedName>
    <definedName name="StatusOptions_31"><![CDATA[Hidden_Options_31!$A$1:$A$4]]></definedName>
    <definedName name="StatusOptions_32"><![CDATA[Hidden_Options_32!$A$1:$A$4]]></definedName>
    <definedName name="StatusOptions_33"><![CDATA[Hidden_Options_33!$A$1:$A$4]]></definedName>
    <definedName name="StatusOptions_34"><![CDATA[Hidden_Options_34!$A$1:$A$6]]></definedName>
    <definedName name="StatusOptions_35"><![CDATA[Hidden_Options_35!$A$1:$A$6]]></definedName>
    <definedName name="StatusOptions_36"><![CDATA[Hidden_Options_36!$A$1:$A$5]]></definedName>
    <definedName name="StatusOptions_37"><![CDATA[Hidden_Options_37!$A$1:$A$5]]></definedName>
    <definedName name="StatusOptions_38"><![CDATA[Hidden_Options_38!$A$1:$A$5]]></definedName>
    <definedName name="StatusOptions_39"><![CDATA[Hidden_Options_39!$A$1:$A$4]]></definedName>
    <definedName name="StatusOptions_40"><![CDATA[Hidden_Options_40!$A$1:$A$4]]></definedName>
    <definedName name="StatusOptions_41"><![CDATA[Hidden_Options_41!$A$1:$A$5]]></definedName>
    <definedName name="StatusOptions_46"><![CDATA[Hidden_Options_46!$A$1:$A$5]]></definedName>
    <definedName name="StatusOptions_73"><![CDATA[Hidden_Options_73!$A$1:$A$4]]></definedName>
    <definedName name="StatusOptions_78"><![CDATA[Hidden_Options_78!$A$1:$A$7]]></definedName>
    <definedName name="StatusOptions_92"><![CDATA[Hidden_Options_92!$A$1:$A$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b/>
      <sz val="14"/>
      <color indexed="9"/>
      <name val="Calibri"/>
    </font>
    <font>
      <b/>
      <sz val="14"/>
      <color indexed="9"/>
      <name val="Calibri"/>
    </font>
    <font>
      <u val="single"/>
      <sz val="11"/>
      <color indexed="12"/>
      <name val="Calibri"/>
    </font>
  </fonts>
  <fills count="8">
    <fill>
      <patternFill patternType="none"/>
    </fill>
    <fill>
      <patternFill patternType="darkGray"/>
    </fill>
    <fill>
      <patternFill patternType="none">
        <fgColor rgb="107FFF"/>
      </patternFill>
    </fill>
    <fill>
      <patternFill patternType="solid">
        <fgColor rgb="107FFF"/>
      </patternFill>
    </fill>
    <fill>
      <patternFill patternType="none">
        <fgColor indexed="10"/>
      </patternFill>
    </fill>
    <fill>
      <patternFill patternType="solid">
        <fgColor indexed="10"/>
      </patternFill>
    </fill>
    <fill>
      <patternFill patternType="none">
        <fgColor indexed="52"/>
      </patternFill>
    </fill>
    <fill>
      <patternFill patternType="solid">
        <fgColor indexed="52"/>
      </patternFill>
    </fill>
  </fills>
  <borders count="5">
    <border>
      <left/>
      <right/>
      <top/>
      <bottom/>
      <diagonal/>
    </border>
    <border>
      <left/>
      <right/>
      <top style="thin"/>
      <bottom/>
      <diagonal/>
    </border>
    <border>
      <left/>
      <right/>
      <top style="thin"/>
      <bottom style="thin"/>
      <diagonal/>
    </border>
    <border>
      <left style="thin"/>
      <right/>
      <top style="thin"/>
      <bottom style="thin"/>
      <diagonal/>
    </border>
    <border>
      <left style="thin"/>
      <right style="thin"/>
      <top style="thin"/>
      <bottom style="thin"/>
      <diagonal/>
    </border>
  </borders>
  <cellStyleXfs count="1">
    <xf numFmtId="0" fontId="0" fillId="0" borderId="0"/>
  </cellStyleXfs>
  <cellXfs count="8">
    <xf numFmtId="0" fontId="0" fillId="0" borderId="0" xfId="0"/>
    <xf numFmtId="0" fontId="1" fillId="3" borderId="4" xfId="0" applyFont="1" applyFill="1" applyBorder="1">
      <alignment horizontal="left" vertical="center" wrapText="1"/>
    </xf>
    <xf numFmtId="0" fontId="0" fillId="0" borderId="4" xfId="0" applyBorder="1">
      <alignment horizontal="left" vertical="center" wrapText="1"/>
    </xf>
    <xf numFmtId="0" fontId="0" fillId="0" borderId="4" xfId="0" applyBorder="1">
      <alignment horizontal="right" vertical="center" wrapText="1"/>
    </xf>
    <xf numFmtId="0" fontId="0" fillId="5" borderId="4" xfId="0" applyFill="1" applyBorder="1">
      <alignment horizontal="left" vertical="center" wrapText="1"/>
    </xf>
    <xf numFmtId="0" fontId="2" fillId="7" borderId="4" xfId="0" applyFont="1" applyFill="1" applyBorder="1">
      <alignment horizontal="left" vertical="center" wrapText="1"/>
    </xf>
    <xf numFmtId="0" fontId="3" fillId="0" borderId="0" xfId="0" applyFont="1">
      <alignment wrapText="1"/>
    </xf>
    <xf numFmtId="2" fontId="0" fillId="0" borderId="4" xfId="0" applyNumberFormat="1" applyBorder="1">
      <alignment horizontal="righ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defaultColWidth="8.43" defaultRowHeight="15"/>
  <cols>
    <col min="1" max="94" width="30" customWidth="1"/>
  </cols>
  <sheetData>
    <row r="1" hidden="1">
      <c r="A1" s="2" t="inlineStr">
        <is>
          <t>ObjectId</t>
        </is>
      </c>
      <c r="B1" s="2" t="inlineStr">
        <is>
          <t>F0000066</t>
        </is>
      </c>
      <c r="C1" s="2" t="inlineStr">
        <is>
          <t>Name</t>
        </is>
      </c>
      <c r="D1" s="2" t="inlineStr">
        <is>
          <t>CreatedBy</t>
        </is>
      </c>
      <c r="E1" s="2" t="inlineStr">
        <is>
          <t>OwnerId</t>
        </is>
      </c>
      <c r="F1" s="2" t="inlineStr">
        <is>
          <t>OwnerDeptId</t>
        </is>
      </c>
      <c r="G1" s="2" t="inlineStr">
        <is>
          <t>ModifiedTime</t>
        </is>
      </c>
      <c r="H1" s="2" t="inlineStr">
        <is>
          <t>F0000001</t>
        </is>
      </c>
      <c r="I1" s="2" t="inlineStr">
        <is>
          <t>F0000002</t>
        </is>
      </c>
      <c r="J1" s="2" t="inlineStr">
        <is>
          <t>F0000003</t>
        </is>
      </c>
      <c r="K1" s="2" t="inlineStr">
        <is>
          <t>F0000004</t>
        </is>
      </c>
      <c r="L1" s="2" t="inlineStr">
        <is>
          <t>F0000005</t>
        </is>
      </c>
      <c r="M1" s="2" t="inlineStr">
        <is>
          <t>F0000006</t>
        </is>
      </c>
      <c r="N1" s="2" t="inlineStr">
        <is>
          <t>F0000007</t>
        </is>
      </c>
      <c r="O1" s="2" t="inlineStr">
        <is>
          <t>F0000008</t>
        </is>
      </c>
      <c r="P1" s="2" t="inlineStr">
        <is>
          <t>F0000050</t>
        </is>
      </c>
      <c r="Q1" s="2" t="inlineStr">
        <is>
          <t>F0000051</t>
        </is>
      </c>
      <c r="R1" s="2" t="inlineStr">
        <is>
          <t>F0000053</t>
        </is>
      </c>
      <c r="S1" s="2" t="inlineStr">
        <is>
          <t>F0000054</t>
        </is>
      </c>
      <c r="T1" s="2" t="inlineStr">
        <is>
          <t>F0000055</t>
        </is>
      </c>
      <c r="U1" s="2" t="inlineStr">
        <is>
          <t>F0000056</t>
        </is>
      </c>
      <c r="V1" s="2" t="inlineStr">
        <is>
          <t>F0000057</t>
        </is>
      </c>
      <c r="W1" s="2" t="inlineStr">
        <is>
          <t>F0000058</t>
        </is>
      </c>
      <c r="X1" s="2" t="inlineStr">
        <is>
          <t>F0000072</t>
        </is>
      </c>
      <c r="Y1" s="2" t="inlineStr">
        <is>
          <t>F0000070</t>
        </is>
      </c>
      <c r="Z1" s="2" t="inlineStr">
        <is>
          <t>F0000076</t>
        </is>
      </c>
      <c r="AA1" s="2" t="inlineStr">
        <is>
          <t>F0000069</t>
        </is>
      </c>
      <c r="AB1" s="2" t="inlineStr">
        <is>
          <t>F0000067</t>
        </is>
      </c>
      <c r="AC1" s="2" t="inlineStr">
        <is>
          <t>F0000061</t>
        </is>
      </c>
      <c r="AD1" s="2" t="inlineStr">
        <is>
          <t>F0000077</t>
        </is>
      </c>
      <c r="AE1" s="2" t="inlineStr">
        <is>
          <t>F0000060</t>
        </is>
      </c>
      <c r="AF1" s="2" t="inlineStr">
        <is>
          <t>F0000064</t>
        </is>
      </c>
      <c r="AG1" s="2" t="inlineStr">
        <is>
          <t>F0000073</t>
        </is>
      </c>
      <c r="AH1" s="2" t="inlineStr">
        <is>
          <t>F0000071</t>
        </is>
      </c>
      <c r="AI1" s="2" t="inlineStr">
        <is>
          <t>F0000052</t>
        </is>
      </c>
      <c r="AJ1" s="2" t="inlineStr">
        <is>
          <t>F0000075</t>
        </is>
      </c>
      <c r="AK1" s="2" t="inlineStr">
        <is>
          <t>F0000065</t>
        </is>
      </c>
      <c r="AL1" s="2" t="inlineStr">
        <is>
          <t>F0000062</t>
        </is>
      </c>
      <c r="AM1" s="2" t="inlineStr">
        <is>
          <t>F0000074</t>
        </is>
      </c>
      <c r="AN1" s="2" t="inlineStr">
        <is>
          <t>F0000059</t>
        </is>
      </c>
      <c r="AO1" s="2" t="inlineStr">
        <is>
          <t>F0000068</t>
        </is>
      </c>
      <c r="AP1" s="2" t="inlineStr">
        <is>
          <t>F0000063</t>
        </is>
      </c>
      <c r="AQ1" s="2" t="inlineStr">
        <is>
          <t>F0000078</t>
        </is>
      </c>
      <c r="AR1" s="2" t="inlineStr">
        <is>
          <t>F0000110</t>
        </is>
      </c>
      <c r="AS1" s="2" t="inlineStr">
        <is>
          <t>F0000080</t>
        </is>
      </c>
      <c r="AT1" s="2" t="inlineStr">
        <is>
          <t>F0000117</t>
        </is>
      </c>
      <c r="AU1" s="2" t="inlineStr">
        <is>
          <t>F0000108</t>
        </is>
      </c>
      <c r="AV1" s="2" t="inlineStr">
        <is>
          <t>F0000109</t>
        </is>
      </c>
      <c r="AW1" s="2" t="inlineStr">
        <is>
          <t>F0000082</t>
        </is>
      </c>
      <c r="AX1" s="2" t="inlineStr">
        <is>
          <t>F0000083</t>
        </is>
      </c>
      <c r="AY1" s="2" t="inlineStr">
        <is>
          <t>F0000114</t>
        </is>
      </c>
      <c r="AZ1" s="2" t="inlineStr">
        <is>
          <t>F0000081</t>
        </is>
      </c>
      <c r="BA1" s="2" t="inlineStr">
        <is>
          <t>F0000097</t>
        </is>
      </c>
      <c r="BB1" s="2" t="inlineStr">
        <is>
          <t>F0000095</t>
        </is>
      </c>
      <c r="BC1" s="2" t="inlineStr">
        <is>
          <t>F0000103</t>
        </is>
      </c>
      <c r="BD1" s="2" t="inlineStr">
        <is>
          <t>F0000094</t>
        </is>
      </c>
      <c r="BE1" s="2" t="inlineStr">
        <is>
          <t>F0000092</t>
        </is>
      </c>
      <c r="BF1" s="2" t="inlineStr">
        <is>
          <t>F0000086</t>
        </is>
      </c>
      <c r="BG1" s="2" t="inlineStr">
        <is>
          <t>F0000101</t>
        </is>
      </c>
      <c r="BH1" s="2" t="inlineStr">
        <is>
          <t>F0000085</t>
        </is>
      </c>
      <c r="BI1" s="2" t="inlineStr">
        <is>
          <t>F0000089</t>
        </is>
      </c>
      <c r="BJ1" s="2" t="inlineStr">
        <is>
          <t>F0000098</t>
        </is>
      </c>
      <c r="BK1" s="2" t="inlineStr">
        <is>
          <t>F0000096</t>
        </is>
      </c>
      <c r="BL1" s="2" t="inlineStr">
        <is>
          <t>F0000099</t>
        </is>
      </c>
      <c r="BM1" s="2" t="inlineStr">
        <is>
          <t>F0000091</t>
        </is>
      </c>
      <c r="BN1" s="2" t="inlineStr">
        <is>
          <t>F0000102</t>
        </is>
      </c>
      <c r="BO1" s="2" t="inlineStr">
        <is>
          <t>F0000090</t>
        </is>
      </c>
      <c r="BP1" s="2" t="inlineStr">
        <is>
          <t>F0000087</t>
        </is>
      </c>
      <c r="BQ1" s="2" t="inlineStr">
        <is>
          <t>F0000100</t>
        </is>
      </c>
      <c r="BR1" s="2" t="inlineStr">
        <is>
          <t>F0000084</t>
        </is>
      </c>
      <c r="BS1" s="2" t="inlineStr">
        <is>
          <t>F0000093</t>
        </is>
      </c>
      <c r="BT1" s="2" t="inlineStr">
        <is>
          <t>F0000088</t>
        </is>
      </c>
      <c r="BU1" s="2" t="inlineStr">
        <is>
          <t>F0000104</t>
        </is>
      </c>
      <c r="BV1" s="2" t="inlineStr">
        <is>
          <t>F0000105</t>
        </is>
      </c>
      <c r="BW1" s="2" t="inlineStr">
        <is>
          <t>F0000106</t>
        </is>
      </c>
      <c r="BX1" s="2" t="inlineStr">
        <is>
          <t>F0000107</t>
        </is>
      </c>
      <c r="BY1" s="2" t="inlineStr">
        <is>
          <t>F0000016</t>
        </is>
      </c>
      <c r="BZ1" s="2" t="inlineStr">
        <is>
          <t>CreatedTime</t>
        </is>
      </c>
      <c r="CA1" s="2" t="inlineStr">
        <is>
          <t>F0000079</t>
        </is>
      </c>
      <c r="CB1" s="2" t="inlineStr">
        <is>
          <t>F0000122</t>
        </is>
      </c>
      <c r="CC1" s="2" t="inlineStr">
        <is>
          <t>F0000118</t>
        </is>
      </c>
      <c r="CD1" s="2" t="inlineStr">
        <is>
          <t>F0000119</t>
        </is>
      </c>
      <c r="CE1" s="2" t="inlineStr">
        <is>
          <t>F0000120</t>
        </is>
      </c>
      <c r="CF1" s="2" t="inlineStr">
        <is>
          <t>F0000121</t>
        </is>
      </c>
      <c r="CG1" s="2" t="inlineStr">
        <is>
          <t>F0000123</t>
        </is>
      </c>
      <c r="CH1" s="2" t="inlineStr">
        <is>
          <t>Status</t>
        </is>
      </c>
      <c r="CI1" s="2" t="inlineStr">
        <is>
          <t>D148357Fd926c5e94ea642ef9e3a430501152044.ObjectId</t>
        </is>
      </c>
      <c r="CJ1" s="2" t="inlineStr">
        <is>
          <t>D148357Fd926c5e94ea642ef9e3a430501152044.ParentIndex</t>
        </is>
      </c>
      <c r="CK1" s="2" t="inlineStr">
        <is>
          <t>D148357Fd926c5e94ea642ef9e3a430501152044.Name</t>
        </is>
      </c>
      <c r="CL1" s="2" t="inlineStr">
        <is>
          <t>D148357Fd926c5e94ea642ef9e3a430501152044.F0000111</t>
        </is>
      </c>
      <c r="CM1" s="2" t="inlineStr">
        <is>
          <t>D148357Fd926c5e94ea642ef9e3a430501152044.F0000112</t>
        </is>
      </c>
      <c r="CN1" s="2" t="inlineStr">
        <is>
          <t>D148357Fd926c5e94ea642ef9e3a430501152044.F0000113</t>
        </is>
      </c>
      <c r="CO1" s="2" t="inlineStr">
        <is>
          <t>D148357Fd926c5e94ea642ef9e3a430501152044.F0000115</t>
        </is>
      </c>
      <c r="CP1" s="2" t="inlineStr">
        <is>
          <t>D148357Fd926c5e94ea642ef9e3a430501152044.F0000116</t>
        </is>
      </c>
    </row>
    <row r="2">
      <c r="A2" s="5" t="inlineStr">
        <is>
          <t>数据ID(不可修改)</t>
        </is>
      </c>
      <c r="B2" s="1" t="inlineStr">
        <is>
          <t>13. 以目前的业务量，您认为该员工的工作忙闲程度如何？</t>
        </is>
      </c>
      <c r="C2" s="1" t="inlineStr">
        <is>
          <t>数据标题</t>
        </is>
      </c>
      <c r="D2" s="5" t="inlineStr">
        <is>
          <t>创建人(必填)</t>
        </is>
      </c>
      <c r="E2" s="5" t="inlineStr">
        <is>
          <t>拥有者(必填)</t>
        </is>
      </c>
      <c r="F2" s="5" t="inlineStr">
        <is>
          <t>所属部门(必填)</t>
        </is>
      </c>
      <c r="G2" s="5" t="inlineStr">
        <is>
          <t>修改时间(必填)</t>
        </is>
      </c>
      <c r="H2" s="5" t="inlineStr">
        <is>
          <t>主管姓名(必填)</t>
        </is>
      </c>
      <c r="I2" s="5" t="inlineStr">
        <is>
          <t>主管身份证号(必填)</t>
        </is>
      </c>
      <c r="J2" s="1" t="inlineStr">
        <is>
          <t>性别</t>
        </is>
      </c>
      <c r="K2" s="1" t="inlineStr">
        <is>
          <t>部门</t>
        </is>
      </c>
      <c r="L2" s="1" t="inlineStr">
        <is>
          <t>到本单位工作时间</t>
        </is>
      </c>
      <c r="M2" s="1" t="inlineStr">
        <is>
          <t>毕业院校</t>
        </is>
      </c>
      <c r="N2" s="1" t="inlineStr">
        <is>
          <t>专业</t>
        </is>
      </c>
      <c r="O2" s="1" t="inlineStr">
        <is>
          <t>学历</t>
        </is>
      </c>
      <c r="P2" s="1" t="inlineStr">
        <is>
          <t>成员部门</t>
        </is>
      </c>
      <c r="Q2" s="1" t="inlineStr">
        <is>
          <t>成员姓名</t>
        </is>
      </c>
      <c r="R2" s="1" t="inlineStr">
        <is>
          <t>成员性别</t>
        </is>
      </c>
      <c r="S2" s="1" t="inlineStr">
        <is>
          <t>成员到本单位时间</t>
        </is>
      </c>
      <c r="T2" s="1" t="inlineStr">
        <is>
          <t>成员岗位</t>
        </is>
      </c>
      <c r="U2" s="1" t="inlineStr">
        <is>
          <t>成员毕业院校</t>
        </is>
      </c>
      <c r="V2" s="1" t="inlineStr">
        <is>
          <t>成员专业</t>
        </is>
      </c>
      <c r="W2" s="1" t="inlineStr">
        <is>
          <t>成员学历</t>
        </is>
      </c>
      <c r="X2" s="1" t="inlineStr">
        <is>
          <t>1.在日常工作中，该成员是否能做到高效、按时完成？</t>
        </is>
      </c>
      <c r="Y2" s="1" t="inlineStr">
        <is>
          <t>2.该员工输出的工作成果，其质量波动大吗？</t>
        </is>
      </c>
      <c r="Z2" s="1" t="inlineStr">
        <is>
          <t>3.你把任务交给该员工后，通常的心态是？</t>
        </is>
      </c>
      <c r="AA2" s="1" t="inlineStr">
        <is>
          <t>4.除了自己手头的活，该员工对整个业务链条的了解程度是？</t>
        </is>
      </c>
      <c r="AB2" s="1" t="inlineStr">
        <is>
          <t>5. 当任务遇到最后难点（临门一脚）时，该员工的表现是？</t>
        </is>
      </c>
      <c r="AC2" s="1" t="inlineStr">
        <is>
          <t>6. 该成员在考勤、报销、行政规范等纪律方面的表现是？</t>
        </is>
      </c>
      <c r="AD2" s="1" t="inlineStr">
        <is>
          <t>7.他会主动思考如何把现有的工作做得更好吗？</t>
        </is>
      </c>
      <c r="AE2" s="1" t="inlineStr">
        <is>
          <t>8. 你认为该员工在和其他部门沟通事情时，效果如何？</t>
        </is>
      </c>
      <c r="AF2" s="1" t="inlineStr">
        <is>
          <t>9. 交代的任务，该员工能否做到“件件有着落，事事有回音”？</t>
        </is>
      </c>
      <c r="AG2" s="1" t="inlineStr">
        <is>
          <t>10.你认为该成员在团队氛围中扮演什么角色？</t>
        </is>
      </c>
      <c r="AH2" s="1" t="inlineStr">
        <is>
          <t>11.当遇到自己一个人搞不定的事时，他会怎么做？</t>
        </is>
      </c>
      <c r="AI2" s="1" t="inlineStr">
        <is>
          <t>12.面对“不清楚归谁管”的边缘任务，他的反应是？</t>
        </is>
      </c>
      <c r="AJ2" s="1" t="inlineStr">
        <is>
          <t>14.当遇到连轴转、临时抢工等高压场景时，该员工的表现是？</t>
        </is>
      </c>
      <c r="AK2" s="1" t="inlineStr">
        <is>
          <t>15. 当你指出他的错误或提出异议时，该员工的态度是？</t>
        </is>
      </c>
      <c r="AL2" s="1" t="inlineStr">
        <is>
          <t>16. 面对新系统、新业务及新技能知识时，该员工的上手速度是？</t>
        </is>
      </c>
      <c r="AM2" s="1" t="inlineStr">
        <is>
          <t>17.该成员是否能把个人的“小技能”变成部门的“公共知识”？</t>
        </is>
      </c>
      <c r="AN2" s="1" t="inlineStr">
        <is>
          <t>18.与同岗位的平均水平相比，该员工的胜任力处于什么水平？</t>
        </is>
      </c>
      <c r="AO2" s="1" t="inlineStr">
        <is>
          <t>19. 根据该员工目前的表现，您认为他未来的成长上限在哪里？</t>
        </is>
      </c>
      <c r="AP2" s="1" t="inlineStr">
        <is>
          <t>20. 如果该员工明天提出辞职，你的第一反应是？</t>
        </is>
      </c>
      <c r="AQ2" s="1" t="inlineStr">
        <is>
          <t>自动生成评级</t>
        </is>
      </c>
      <c r="AR2" s="1" t="inlineStr">
        <is>
          <t>主管主观评级</t>
        </is>
      </c>
      <c r="AS2" s="1" t="inlineStr">
        <is>
          <t>评级一致性判断</t>
        </is>
      </c>
      <c r="AT2" s="1" t="inlineStr">
        <is>
          <t>主管主观评级-单独</t>
        </is>
      </c>
      <c r="AU2" s="1" t="inlineStr">
        <is>
          <t>档级</t>
        </is>
      </c>
      <c r="AV2" s="1" t="inlineStr">
        <is>
          <t>定档薪酬</t>
        </is>
      </c>
      <c r="AW2" s="1" t="inlineStr">
        <is>
          <t>薪资区间-最小值（绩效考核最低值）</t>
        </is>
      </c>
      <c r="AX2" s="1" t="inlineStr">
        <is>
          <t>薪资区间-最大值（绩效考核最高值）</t>
        </is>
      </c>
      <c r="AY2" s="1" t="inlineStr">
        <is>
          <t>主管评级对应公司等级</t>
        </is>
      </c>
      <c r="AZ2" s="1" t="inlineStr">
        <is>
          <t>工作评价</t>
        </is>
      </c>
      <c r="BA2" s="1" t="inlineStr">
        <is>
          <t>题1分值</t>
        </is>
      </c>
      <c r="BB2" s="1" t="inlineStr">
        <is>
          <t>题2分值</t>
        </is>
      </c>
      <c r="BC2" s="1" t="inlineStr">
        <is>
          <t>题3分值</t>
        </is>
      </c>
      <c r="BD2" s="1" t="inlineStr">
        <is>
          <t>题4分值</t>
        </is>
      </c>
      <c r="BE2" s="1" t="inlineStr">
        <is>
          <t>题5分值</t>
        </is>
      </c>
      <c r="BF2" s="1" t="inlineStr">
        <is>
          <t>题6分值</t>
        </is>
      </c>
      <c r="BG2" s="1" t="inlineStr">
        <is>
          <t>题7分值</t>
        </is>
      </c>
      <c r="BH2" s="1" t="inlineStr">
        <is>
          <t>题8分值</t>
        </is>
      </c>
      <c r="BI2" s="1" t="inlineStr">
        <is>
          <t>题9分值</t>
        </is>
      </c>
      <c r="BJ2" s="1" t="inlineStr">
        <is>
          <t>题10分值</t>
        </is>
      </c>
      <c r="BK2" s="1" t="inlineStr">
        <is>
          <t>题11分值</t>
        </is>
      </c>
      <c r="BL2" s="1" t="inlineStr">
        <is>
          <t>题12分值</t>
        </is>
      </c>
      <c r="BM2" s="1" t="inlineStr">
        <is>
          <t>题13分值</t>
        </is>
      </c>
      <c r="BN2" s="1" t="inlineStr">
        <is>
          <t>题14分值</t>
        </is>
      </c>
      <c r="BO2" s="1" t="inlineStr">
        <is>
          <t>题15分值</t>
        </is>
      </c>
      <c r="BP2" s="1" t="inlineStr">
        <is>
          <t>题16分值</t>
        </is>
      </c>
      <c r="BQ2" s="1" t="inlineStr">
        <is>
          <t>题17分值</t>
        </is>
      </c>
      <c r="BR2" s="1" t="inlineStr">
        <is>
          <t>题18分值</t>
        </is>
      </c>
      <c r="BS2" s="1" t="inlineStr">
        <is>
          <t>题19分值</t>
        </is>
      </c>
      <c r="BT2" s="1" t="inlineStr">
        <is>
          <t>题20分值</t>
        </is>
      </c>
      <c r="BU2" s="1" t="inlineStr">
        <is>
          <t>汇总分值</t>
        </is>
      </c>
      <c r="BV2" s="1" t="inlineStr">
        <is>
          <t>该成员所在岗位是否有存在的必要性</t>
        </is>
      </c>
      <c r="BW2" s="1" t="inlineStr">
        <is>
          <t>问卷中提出的问题您觉得有不妥的情况么，若有请列明</t>
        </is>
      </c>
      <c r="BX2" s="1" t="inlineStr">
        <is>
          <t>请列出对于本问卷中您觉得需要优化的问题和建议</t>
        </is>
      </c>
      <c r="BY2" s="1" t="inlineStr">
        <is>
          <t>主管签字</t>
        </is>
      </c>
      <c r="BZ2" s="5" t="inlineStr">
        <is>
          <t>评价时间(必填)</t>
        </is>
      </c>
      <c r="CA2" s="1" t="inlineStr">
        <is>
          <t>主管主观评级-原作废</t>
        </is>
      </c>
      <c r="CB2" s="1" t="inlineStr">
        <is>
          <t>年度考核提交情况</t>
        </is>
      </c>
      <c r="CC2" s="1" t="inlineStr">
        <is>
          <t>职称证书</t>
        </is>
      </c>
      <c r="CD2" s="1" t="inlineStr">
        <is>
          <t>资格证书</t>
        </is>
      </c>
      <c r="CE2" s="1" t="inlineStr">
        <is>
          <t>荣誉证书</t>
        </is>
      </c>
      <c r="CF2" s="1" t="inlineStr">
        <is>
          <t>优秀员工</t>
        </is>
      </c>
      <c r="CG2" s="1" t="inlineStr">
        <is>
          <t>辅助年度考核</t>
        </is>
      </c>
      <c r="CH2" s="1" t="inlineStr">
        <is>
          <t>数据状态</t>
        </is>
      </c>
      <c r="CI2" s="5" t="inlineStr">
        <is>
          <t>公司要求.数据ID(不可修改)</t>
        </is>
      </c>
      <c r="CJ2" s="1" t="inlineStr">
        <is>
          <t>公司要求.序号</t>
        </is>
      </c>
      <c r="CK2" s="1" t="inlineStr">
        <is>
          <t>公司要求.数据标题</t>
        </is>
      </c>
      <c r="CL2" s="1" t="inlineStr">
        <is>
          <t>公司要求.要求</t>
        </is>
      </c>
      <c r="CM2" s="1" t="inlineStr">
        <is>
          <t>公司要求.信息来源文件</t>
        </is>
      </c>
      <c r="CN2" s="1" t="inlineStr">
        <is>
          <t>公司要求.所属条款</t>
        </is>
      </c>
      <c r="CO2" s="1" t="inlineStr">
        <is>
          <t>公司要求.是否具备该条件</t>
        </is>
      </c>
      <c r="CP2" s="1" t="inlineStr">
        <is>
          <t>公司要求.说明</t>
        </is>
      </c>
    </row>
    <row r="3">
      <c r="A3" s="2" t="inlineStr">
        <is>
          <t>441de8f8-74d8-4cf2-8448-78f0990a7cce</t>
        </is>
      </c>
      <c r="B3" s="2" t="inlineStr">
        <is>
          <t>A.超负荷，平时工作就很忙，经常还要加班</t>
        </is>
      </c>
      <c r="C3" s="2" t="inlineStr">
        <is>
          <t>市场开发部    王超    男    张涛</t>
        </is>
      </c>
      <c r="D3" s="2" t="inlineStr">
        <is>
          <t>Anonymous</t>
        </is>
      </c>
      <c r="E3" s="2" t="inlineStr">
        <is>
          <t>Anonymous</t>
        </is>
      </c>
      <c r="F3" s="2"/>
      <c r="G3" s="2" t="inlineStr">
        <is>
          <t>2026-05-25 19:20:40</t>
        </is>
      </c>
      <c r="H3" s="2" t="inlineStr">
        <is>
          <t>张涛</t>
        </is>
      </c>
      <c r="I3" s="2" t="inlineStr">
        <is>
          <t>321084198802272833</t>
        </is>
      </c>
      <c r="J3" s="2" t="inlineStr">
        <is>
          <t>男</t>
        </is>
      </c>
      <c r="K3" s="2" t="inlineStr">
        <is>
          <t>第十四分公司</t>
        </is>
      </c>
      <c r="L3" s="2" t="inlineStr">
        <is>
          <t>2011-07-01</t>
        </is>
      </c>
      <c r="M3" s="2" t="inlineStr">
        <is>
          <t>常州大学</t>
        </is>
      </c>
      <c r="N3" s="2" t="inlineStr">
        <is>
          <t>过控</t>
        </is>
      </c>
      <c r="O3" s="2" t="inlineStr">
        <is>
          <t>本科</t>
        </is>
      </c>
      <c r="P3" s="2" t="inlineStr">
        <is>
          <t>市场开发部</t>
        </is>
      </c>
      <c r="Q3" s="2" t="inlineStr">
        <is>
          <t>王超</t>
        </is>
      </c>
      <c r="R3" s="2" t="inlineStr">
        <is>
          <t>男</t>
        </is>
      </c>
      <c r="S3" s="2" t="inlineStr">
        <is>
          <t>1995-08-01</t>
        </is>
      </c>
      <c r="T3" s="2" t="inlineStr">
        <is>
          <t>业务主办A</t>
        </is>
      </c>
      <c r="U3" s="2"/>
      <c r="V3" s="2" t="inlineStr">
        <is>
          <t>驾驶员</t>
        </is>
      </c>
      <c r="W3" s="2" t="inlineStr">
        <is>
          <t>技校</t>
        </is>
      </c>
      <c r="X3" s="2" t="inlineStr">
        <is>
          <t>A.积极高效：经常提前完成，且质量超出预期。</t>
        </is>
      </c>
      <c r="Y3" s="2" t="inlineStr">
        <is>
          <t>A.始终如一：无论任务大小，交付件标准都很高。</t>
        </is>
      </c>
      <c r="Z3" s="2" t="inlineStr">
        <is>
          <t>A.极其省心：只需交代目标，剩下的一律不用管，最后不仅能准时交付，甚至能超出预期。</t>
        </is>
      </c>
      <c r="AA3" s="2" t="inlineStr">
        <is>
          <t>A.全局视野：了解上下游，能站在全业务链条考虑问题。</t>
        </is>
      </c>
      <c r="AB3" s="2" t="inlineStr">
        <is>
          <t>A.攻坚克难：会想尽一切办法钻研，直至彻底解决。</t>
        </is>
      </c>
      <c r="AC3" s="2" t="inlineStr">
        <is>
          <t>A.模范标兵：严于律己，从未在琐事上让主管费心。</t>
        </is>
      </c>
      <c r="AD3" s="2" t="inlineStr">
        <is>
          <t>A.持续优化：经常提出改进流程、提升效率的实用建议</t>
        </is>
      </c>
      <c r="AE3" s="2" t="inlineStr">
        <is>
          <t>A.推进力极强：能搞定不同性格的人，让对方配合。</t>
        </is>
      </c>
      <c r="AF3" s="2" t="inlineStr">
        <is>
          <t>A.完美闭环：进展、难点、结果都会主动汇报，无需催促。</t>
        </is>
      </c>
      <c r="AG3" s="2" t="inlineStr">
        <is>
          <t>A.动力源：像小太阳，主动分享、帮人解惑，带活团队。</t>
        </is>
      </c>
      <c r="AH3" s="2" t="inlineStr">
        <is>
          <t>A.整合高手：能迅速找到能帮上忙的人和资源，借力打力解决问题。</t>
        </is>
      </c>
      <c r="AI3" s="2" t="inlineStr">
        <is>
          <t>A. 主动揽活：只要对团队有利，先接过来干了再说。</t>
        </is>
      </c>
      <c r="AJ3" s="2" t="inlineStr">
        <is>
          <t>A.越战越勇：能扛住压力，保持冷静，高效处理紧急事务。</t>
        </is>
      </c>
      <c r="AK3" s="2" t="inlineStr">
        <is>
          <t>A.虚心求教：能听进去，并积极探讨更科学的方法。</t>
        </is>
      </c>
      <c r="AL3" s="2" t="inlineStr">
        <is>
          <t>A.极速掌握：自学能力极强，很快就能成为该领域的“百晓生”。</t>
        </is>
      </c>
      <c r="AM3" s="2" t="inlineStr">
        <is>
          <t>A.总结达人：能把复杂工作写成标准 SOP，让新手直接用。</t>
        </is>
      </c>
      <c r="AN3" s="2" t="inlineStr">
        <is>
          <t>A.第一梯队（Top 10%）：部门的标杆。</t>
        </is>
      </c>
      <c r="AO3" s="2" t="inlineStr">
        <is>
          <t>B.业务骨干：是团队不可或缺的腰部力量。</t>
        </is>
      </c>
      <c r="AP3" s="2" t="inlineStr">
        <is>
          <t>A.晴天霹雳：极其遗憾，会不惜代价挽留，他是部门的支柱。</t>
        </is>
      </c>
      <c r="AQ3" s="2" t="inlineStr">
        <is>
          <t>S</t>
        </is>
      </c>
      <c r="AR3" s="2" t="inlineStr">
        <is>
          <t>A</t>
        </is>
      </c>
      <c r="AS3" s="2" t="inlineStr">
        <is>
          <t>不一致</t>
        </is>
      </c>
      <c r="AT3" s="2" t="inlineStr">
        <is>
          <t>A</t>
        </is>
      </c>
      <c r="AU3" s="2" t="inlineStr">
        <is>
          <t>4档</t>
        </is>
      </c>
      <c r="AV3" s="3" t="n">
        <v>9200</v>
      </c>
      <c r="AW3" s="3" t="n">
        <v>7360</v>
      </c>
      <c r="AX3" s="3" t="n">
        <v>11040</v>
      </c>
      <c r="AY3" s="2" t="inlineStr">
        <is>
          <t>B</t>
        </is>
      </c>
      <c r="AZ3" s="2" t="inlineStr">
        <is>
          <t>该员工在公司资历深厚，对业务理解透彻，工作执行力强，日常任务完成到位。团队协作意识好，遇到问题能主动配合解决。</t>
        </is>
      </c>
      <c r="BA3" s="7" t="n">
        <v>5</v>
      </c>
      <c r="BB3" s="7" t="n">
        <v>5</v>
      </c>
      <c r="BC3" s="7" t="n">
        <v>5</v>
      </c>
      <c r="BD3" s="7" t="n">
        <v>5</v>
      </c>
      <c r="BE3" s="7" t="n">
        <v>5</v>
      </c>
      <c r="BF3" s="7" t="n">
        <v>5</v>
      </c>
      <c r="BG3" s="7" t="n">
        <v>5</v>
      </c>
      <c r="BH3" s="7" t="n">
        <v>5</v>
      </c>
      <c r="BI3" s="7" t="n">
        <v>5</v>
      </c>
      <c r="BJ3" s="7" t="n">
        <v>5</v>
      </c>
      <c r="BK3" s="7" t="n">
        <v>5</v>
      </c>
      <c r="BL3" s="7" t="n">
        <v>5</v>
      </c>
      <c r="BM3" s="7" t="n">
        <v>5</v>
      </c>
      <c r="BN3" s="7" t="n">
        <v>5</v>
      </c>
      <c r="BO3" s="7" t="n">
        <v>5</v>
      </c>
      <c r="BP3" s="7" t="n">
        <v>5</v>
      </c>
      <c r="BQ3" s="7" t="n">
        <v>5</v>
      </c>
      <c r="BR3" s="7" t="n">
        <v>5</v>
      </c>
      <c r="BS3" s="7" t="n">
        <v>4</v>
      </c>
      <c r="BT3" s="7" t="n">
        <v>5</v>
      </c>
      <c r="BU3" s="7" t="n">
        <v>99</v>
      </c>
      <c r="BV3" s="2"/>
      <c r="BW3" s="2"/>
      <c r="BX3" s="2"/>
      <c r="BY3" s="6">
        <f>HYPERLINK("https://www.h3yun.com/Form/Attachments/?schemacode=D148357733993cc00c048ad9898e53f5f82cbb9&amp;bizObjectId=441de8f8-74d8-4cf2-8448-78f0990a7cce&amp;name=F0000016","点击查看")</f>
        <v>0</v>
      </c>
      <c r="BZ3" s="2" t="inlineStr">
        <is>
          <t>2026-05-25 19:20:40</t>
        </is>
      </c>
      <c r="CA3" s="2"/>
      <c r="CB3" s="2" t="inlineStr">
        <is>
          <t>已提交</t>
        </is>
      </c>
      <c r="CC3" s="2" t="inlineStr">
        <is>
          <t>助理</t>
        </is>
      </c>
      <c r="CD3" s="2" t="inlineStr">
        <is>
          <t>无</t>
        </is>
      </c>
      <c r="CE3" s="2" t="inlineStr">
        <is>
          <t>无</t>
        </is>
      </c>
      <c r="CF3" s="2"/>
      <c r="CG3" s="2" t="inlineStr">
        <is>
          <t>320112197512040418</t>
        </is>
      </c>
      <c r="CH3" s="2" t="inlineStr">
        <is>
          <t>已生效</t>
        </is>
      </c>
      <c r="CI3" s="2" t="inlineStr">
        <is>
          <t>b1a5d2de-5deb-4b80-966c-c7a5415a7827</t>
        </is>
      </c>
      <c r="CJ3" s="3" t="n">
        <v>1</v>
      </c>
      <c r="CK3" s="2" t="inlineStr">
        <is>
          <t>近三年至少担任过一个合同额1500万元以上项目相应岗位的主管</t>
        </is>
      </c>
      <c r="CL3" s="2" t="inlineStr">
        <is>
          <t>近三年至少担任过一个合同额1500万元以上项目相应岗位的主管</t>
        </is>
      </c>
      <c r="CM3" s="2" t="inlineStr">
        <is>
          <t>南化建司劳2017-1号文-南京南化建设有限公司施工一线专业序列人员分级管理规定</t>
        </is>
      </c>
      <c r="CN3" s="2" t="inlineStr">
        <is>
          <t>第三章第2条B类</t>
        </is>
      </c>
      <c r="CO3" s="2" t="inlineStr">
        <is>
          <t>否</t>
        </is>
      </c>
      <c r="CP3" s="2" t="inlineStr">
        <is>
          <t>/</t>
        </is>
      </c>
    </row>
    <row r="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t="inlineStr">
        <is>
          <t>e14cdba3-2cc4-4b95-8ae8-c8e41346332f</t>
        </is>
      </c>
      <c r="CJ4" s="3" t="n">
        <v>2</v>
      </c>
      <c r="CK4" s="2" t="inlineStr">
        <is>
          <t>公司二级单位或公司职能部门推荐</t>
        </is>
      </c>
      <c r="CL4" s="2" t="inlineStr">
        <is>
          <t>公司二级单位或公司职能部门推荐</t>
        </is>
      </c>
      <c r="CM4" s="2" t="inlineStr">
        <is>
          <t>南化建司劳2017-1号文-南京南化建设有限公司施工一线专业序列人员分级管理规定</t>
        </is>
      </c>
      <c r="CN4" s="2" t="inlineStr">
        <is>
          <t>第三章第2条B类</t>
        </is>
      </c>
      <c r="CO4" s="2" t="inlineStr">
        <is>
          <t>是</t>
        </is>
      </c>
      <c r="CP4" s="2" t="inlineStr">
        <is>
          <t>/</t>
        </is>
      </c>
    </row>
    <row r="5">
      <c r="A5" s="2" t="inlineStr">
        <is>
          <t>2abe5b70-ca0c-413a-a712-778d34ba30cf</t>
        </is>
      </c>
      <c r="B5" s="2" t="inlineStr">
        <is>
          <t>B.满负荷，平时工作就很忙，偶尔因为非突发时间也要加班</t>
        </is>
      </c>
      <c r="C5" s="2" t="inlineStr">
        <is>
          <t>市场开发部    张芬    女    张涛</t>
        </is>
      </c>
      <c r="D5" s="2" t="inlineStr">
        <is>
          <t>Anonymous</t>
        </is>
      </c>
      <c r="E5" s="2" t="inlineStr">
        <is>
          <t>Anonymous</t>
        </is>
      </c>
      <c r="F5" s="2"/>
      <c r="G5" s="2" t="inlineStr">
        <is>
          <t>2026-05-25 19:17:03</t>
        </is>
      </c>
      <c r="H5" s="2" t="inlineStr">
        <is>
          <t>张涛</t>
        </is>
      </c>
      <c r="I5" s="2" t="inlineStr">
        <is>
          <t>321084198802272833</t>
        </is>
      </c>
      <c r="J5" s="2" t="inlineStr">
        <is>
          <t>男</t>
        </is>
      </c>
      <c r="K5" s="2" t="inlineStr">
        <is>
          <t>第十四分公司</t>
        </is>
      </c>
      <c r="L5" s="2" t="inlineStr">
        <is>
          <t>2011-07-01</t>
        </is>
      </c>
      <c r="M5" s="2" t="inlineStr">
        <is>
          <t>常州大学</t>
        </is>
      </c>
      <c r="N5" s="2" t="inlineStr">
        <is>
          <t>过控</t>
        </is>
      </c>
      <c r="O5" s="2" t="inlineStr">
        <is>
          <t>本科</t>
        </is>
      </c>
      <c r="P5" s="2" t="inlineStr">
        <is>
          <t>市场开发部</t>
        </is>
      </c>
      <c r="Q5" s="2" t="inlineStr">
        <is>
          <t>张芬</t>
        </is>
      </c>
      <c r="R5" s="2" t="inlineStr">
        <is>
          <t>女</t>
        </is>
      </c>
      <c r="S5" s="2" t="inlineStr">
        <is>
          <t>1995-08-01</t>
        </is>
      </c>
      <c r="T5" s="2" t="inlineStr">
        <is>
          <t>业务主办B</t>
        </is>
      </c>
      <c r="U5" s="2" t="inlineStr">
        <is>
          <t>南京中华会计函授学校</t>
        </is>
      </c>
      <c r="V5" s="2" t="inlineStr">
        <is>
          <t>其他</t>
        </is>
      </c>
      <c r="W5" s="2" t="inlineStr">
        <is>
          <t>中专</t>
        </is>
      </c>
      <c r="X5" s="2" t="inlineStr">
        <is>
          <t>A.积极高效：经常提前完成，且质量超出预期。</t>
        </is>
      </c>
      <c r="Y5" s="2" t="inlineStr">
        <is>
          <t>A.始终如一：无论任务大小，交付件标准都很高。</t>
        </is>
      </c>
      <c r="Z5" s="2" t="inlineStr">
        <is>
          <t>A.极其省心：只需交代目标，剩下的一律不用管，最后不仅能准时交付，甚至能超出预期。</t>
        </is>
      </c>
      <c r="AA5" s="2" t="inlineStr">
        <is>
          <t>A.全局视野：了解上下游，能站在全业务链条考虑问题。</t>
        </is>
      </c>
      <c r="AB5" s="2" t="inlineStr">
        <is>
          <t>A.攻坚克难：会想尽一切办法钻研，直至彻底解决。</t>
        </is>
      </c>
      <c r="AC5" s="2" t="inlineStr">
        <is>
          <t>A.模范标兵：严于律己，从未在琐事上让主管费心。</t>
        </is>
      </c>
      <c r="AD5" s="2" t="inlineStr">
        <is>
          <t>A.持续优化：经常提出改进流程、提升效率的实用建议</t>
        </is>
      </c>
      <c r="AE5" s="2" t="inlineStr">
        <is>
          <t>A.推进力极强：能搞定不同性格的人，让对方配合。</t>
        </is>
      </c>
      <c r="AF5" s="2" t="inlineStr">
        <is>
          <t>A.完美闭环：进展、难点、结果都会主动汇报，无需催促。</t>
        </is>
      </c>
      <c r="AG5" s="2" t="inlineStr">
        <is>
          <t>A.动力源：像小太阳，主动分享、帮人解惑，带活团队。</t>
        </is>
      </c>
      <c r="AH5" s="2" t="inlineStr">
        <is>
          <t>A.整合高手：能迅速找到能帮上忙的人和资源，借力打力解决问题。</t>
        </is>
      </c>
      <c r="AI5" s="2" t="inlineStr">
        <is>
          <t>A. 主动揽活：只要对团队有利，先接过来干了再说。</t>
        </is>
      </c>
      <c r="AJ5" s="2" t="inlineStr">
        <is>
          <t>B.配合度高：虽然有压力，但能服从大局，咬牙顶上去，且质量尚可。</t>
        </is>
      </c>
      <c r="AK5" s="2" t="inlineStr">
        <is>
          <t>A.虚心求教：能听进去，并积极探讨更科学的方法。</t>
        </is>
      </c>
      <c r="AL5" s="2" t="inlineStr">
        <is>
          <t>A.极速掌握：自学能力极强，很快就能成为该领域的“百晓生”。</t>
        </is>
      </c>
      <c r="AM5" s="2" t="inlineStr">
        <is>
          <t>A.总结达人：能把复杂工作写成标准 SOP，让新手直接用。</t>
        </is>
      </c>
      <c r="AN5" s="2" t="inlineStr">
        <is>
          <t>A.第一梯队（Top 10%）：部门的标杆。</t>
        </is>
      </c>
      <c r="AO5" s="2" t="inlineStr">
        <is>
          <t>B.业务骨干：是团队不可或缺的腰部力量。</t>
        </is>
      </c>
      <c r="AP5" s="2" t="inlineStr">
        <is>
          <t>A.晴天霹雳：极其遗憾，会不惜代价挽留，他是部门的支柱。</t>
        </is>
      </c>
      <c r="AQ5" s="2" t="inlineStr">
        <is>
          <t>S</t>
        </is>
      </c>
      <c r="AR5" s="2" t="inlineStr">
        <is>
          <t>A</t>
        </is>
      </c>
      <c r="AS5" s="2" t="inlineStr">
        <is>
          <t>不一致</t>
        </is>
      </c>
      <c r="AT5" s="2" t="inlineStr">
        <is>
          <t>A</t>
        </is>
      </c>
      <c r="AU5" s="2" t="inlineStr">
        <is>
          <t>3档</t>
        </is>
      </c>
      <c r="AV5" s="3" t="n">
        <v>9000</v>
      </c>
      <c r="AW5" s="3" t="n">
        <v>7200</v>
      </c>
      <c r="AX5" s="3" t="n">
        <v>10800</v>
      </c>
      <c r="AY5" s="2" t="inlineStr">
        <is>
          <t>B</t>
        </is>
      </c>
      <c r="AZ5" s="2" t="inlineStr">
        <is>
          <t>该员工是公司资深员工，业务经验丰富，工作认真负责，任务完成质量稳定。与团队配合顺畅，能起到一定的带头作用。</t>
        </is>
      </c>
      <c r="BA5" s="7" t="n">
        <v>5</v>
      </c>
      <c r="BB5" s="7" t="n">
        <v>5</v>
      </c>
      <c r="BC5" s="7" t="n">
        <v>5</v>
      </c>
      <c r="BD5" s="7" t="n">
        <v>5</v>
      </c>
      <c r="BE5" s="7" t="n">
        <v>5</v>
      </c>
      <c r="BF5" s="7" t="n">
        <v>5</v>
      </c>
      <c r="BG5" s="7" t="n">
        <v>5</v>
      </c>
      <c r="BH5" s="7" t="n">
        <v>5</v>
      </c>
      <c r="BI5" s="7" t="n">
        <v>5</v>
      </c>
      <c r="BJ5" s="7" t="n">
        <v>5</v>
      </c>
      <c r="BK5" s="7" t="n">
        <v>5</v>
      </c>
      <c r="BL5" s="7" t="n">
        <v>5</v>
      </c>
      <c r="BM5" s="7" t="n">
        <v>4</v>
      </c>
      <c r="BN5" s="7" t="n">
        <v>4</v>
      </c>
      <c r="BO5" s="7" t="n">
        <v>5</v>
      </c>
      <c r="BP5" s="7" t="n">
        <v>5</v>
      </c>
      <c r="BQ5" s="7" t="n">
        <v>5</v>
      </c>
      <c r="BR5" s="7" t="n">
        <v>5</v>
      </c>
      <c r="BS5" s="7" t="n">
        <v>4</v>
      </c>
      <c r="BT5" s="7" t="n">
        <v>5</v>
      </c>
      <c r="BU5" s="7" t="n">
        <v>97</v>
      </c>
      <c r="BV5" s="2"/>
      <c r="BW5" s="2"/>
      <c r="BX5" s="2"/>
      <c r="BY5" s="6">
        <f>HYPERLINK("https://www.h3yun.com/Form/Attachments/?schemacode=D148357733993cc00c048ad9898e53f5f82cbb9&amp;bizObjectId=2abe5b70-ca0c-413a-a712-778d34ba30cf&amp;name=F0000016","点击查看")</f>
        <v>0</v>
      </c>
      <c r="BZ5" s="2" t="inlineStr">
        <is>
          <t>2026-05-25 19:17:03</t>
        </is>
      </c>
      <c r="CA5" s="2"/>
      <c r="CB5" s="2" t="inlineStr">
        <is>
          <t>已提交</t>
        </is>
      </c>
      <c r="CC5" s="2" t="inlineStr">
        <is>
          <t>无</t>
        </is>
      </c>
      <c r="CD5" s="2" t="inlineStr">
        <is>
          <t>无</t>
        </is>
      </c>
      <c r="CE5" s="2" t="inlineStr">
        <is>
          <t>无</t>
        </is>
      </c>
      <c r="CF5" s="2"/>
      <c r="CG5" s="2" t="inlineStr">
        <is>
          <t>320112197611120026</t>
        </is>
      </c>
      <c r="CH5" s="2" t="inlineStr">
        <is>
          <t>已生效</t>
        </is>
      </c>
      <c r="CI5" s="2" t="inlineStr">
        <is>
          <t>3bee29a5-b7e6-48b7-93c0-efcc8bacd4d9</t>
        </is>
      </c>
      <c r="CJ5" s="3" t="n">
        <v>1</v>
      </c>
      <c r="CK5" s="2" t="inlineStr">
        <is>
          <t>近三年至少担任过一个合同额1500万元以上项目相应岗位的主管</t>
        </is>
      </c>
      <c r="CL5" s="2" t="inlineStr">
        <is>
          <t>近三年至少担任过一个合同额1500万元以上项目相应岗位的主管</t>
        </is>
      </c>
      <c r="CM5" s="2" t="inlineStr">
        <is>
          <t>南化建司劳2017-1号文-南京南化建设有限公司施工一线专业序列人员分级管理规定</t>
        </is>
      </c>
      <c r="CN5" s="2" t="inlineStr">
        <is>
          <t>第三章第2条B类</t>
        </is>
      </c>
      <c r="CO5" s="2" t="inlineStr">
        <is>
          <t>否</t>
        </is>
      </c>
      <c r="CP5" s="2" t="inlineStr">
        <is>
          <t>/</t>
        </is>
      </c>
    </row>
    <row r="6">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t="inlineStr">
        <is>
          <t>ba00036d-ef20-47e7-bbf2-fe417e1dd260</t>
        </is>
      </c>
      <c r="CJ6" s="3" t="n">
        <v>2</v>
      </c>
      <c r="CK6" s="2" t="inlineStr">
        <is>
          <t>公司二级单位或公司职能部门推荐</t>
        </is>
      </c>
      <c r="CL6" s="2" t="inlineStr">
        <is>
          <t>公司二级单位或公司职能部门推荐</t>
        </is>
      </c>
      <c r="CM6" s="2" t="inlineStr">
        <is>
          <t>南化建司劳2017-1号文-南京南化建设有限公司施工一线专业序列人员分级管理规定</t>
        </is>
      </c>
      <c r="CN6" s="2" t="inlineStr">
        <is>
          <t>第三章第2条B类</t>
        </is>
      </c>
      <c r="CO6" s="2" t="inlineStr">
        <is>
          <t>是</t>
        </is>
      </c>
      <c r="CP6" s="2" t="inlineStr">
        <is>
          <t>/</t>
        </is>
      </c>
    </row>
    <row r="7">
      <c r="A7" s="2" t="inlineStr">
        <is>
          <t>0968e9d6-4426-4afa-aa17-5ba0ea4090af</t>
        </is>
      </c>
      <c r="B7" s="2" t="inlineStr">
        <is>
          <t>C.均衡，工作负荷一般，按部就班完成工作，除了突发时间几乎不用加班</t>
        </is>
      </c>
      <c r="C7" s="2" t="inlineStr">
        <is>
          <t>市场开发部    朱丽莉    女    冯加东</t>
        </is>
      </c>
      <c r="D7" s="2" t="inlineStr">
        <is>
          <t>Anonymous</t>
        </is>
      </c>
      <c r="E7" s="2" t="inlineStr">
        <is>
          <t>Anonymous</t>
        </is>
      </c>
      <c r="F7" s="2"/>
      <c r="G7" s="2" t="inlineStr">
        <is>
          <t>2026-05-25 17:08:44</t>
        </is>
      </c>
      <c r="H7" s="2" t="inlineStr">
        <is>
          <t>冯加东</t>
        </is>
      </c>
      <c r="I7" s="2" t="inlineStr">
        <is>
          <t>342222198207022836</t>
        </is>
      </c>
      <c r="J7" s="2" t="inlineStr">
        <is>
          <t>男</t>
        </is>
      </c>
      <c r="K7" s="2" t="inlineStr">
        <is>
          <t>市场开发部</t>
        </is>
      </c>
      <c r="L7" s="2" t="inlineStr">
        <is>
          <t>2005-08-15</t>
        </is>
      </c>
      <c r="M7" s="2" t="inlineStr">
        <is>
          <t>安徽理工大学</t>
        </is>
      </c>
      <c r="N7" s="2" t="inlineStr">
        <is>
          <t>仪表</t>
        </is>
      </c>
      <c r="O7" s="2" t="inlineStr">
        <is>
          <t>本科</t>
        </is>
      </c>
      <c r="P7" s="2" t="inlineStr">
        <is>
          <t>市场开发部</t>
        </is>
      </c>
      <c r="Q7" s="2" t="inlineStr">
        <is>
          <t>朱丽莉</t>
        </is>
      </c>
      <c r="R7" s="2" t="inlineStr">
        <is>
          <t>女</t>
        </is>
      </c>
      <c r="S7" s="2" t="inlineStr">
        <is>
          <t>2011-07-01</t>
        </is>
      </c>
      <c r="T7" s="2" t="inlineStr">
        <is>
          <t>专业工程师</t>
        </is>
      </c>
      <c r="U7" s="2" t="inlineStr">
        <is>
          <t>南京人口管理干部学院</t>
        </is>
      </c>
      <c r="V7" s="2" t="inlineStr">
        <is>
          <t>翻译</t>
        </is>
      </c>
      <c r="W7" s="2" t="inlineStr">
        <is>
          <t>本科</t>
        </is>
      </c>
      <c r="X7" s="2" t="inlineStr">
        <is>
          <t>A.积极高效：经常提前完成，且质量超出预期。</t>
        </is>
      </c>
      <c r="Y7" s="2" t="inlineStr">
        <is>
          <t>A.始终如一：无论任务大小，交付件标准都很高。</t>
        </is>
      </c>
      <c r="Z7" s="2" t="inlineStr">
        <is>
          <t>B.比较省心：只需定期同步一下进度，不需要主管盯着细节，能独立把事情办成。</t>
        </is>
      </c>
      <c r="AA7" s="2" t="inlineStr">
        <is>
          <t>B.清楚岗位：对自己岗位的活儿很门清，略知上下游。</t>
        </is>
      </c>
      <c r="AB7" s="2" t="inlineStr">
        <is>
          <t>B.尽力而为：能解决大部分问题，解决不了的会及时求助。</t>
        </is>
      </c>
      <c r="AC7" s="2" t="inlineStr">
        <is>
          <t>A.模范标兵：严于律己，从未在琐事上让主管费心。</t>
        </is>
      </c>
      <c r="AD7" s="2" t="inlineStr">
        <is>
          <t>B.偶尔思考：在主管启发下，能提出一些优化想法</t>
        </is>
      </c>
      <c r="AE7" s="2" t="inlineStr">
        <is>
          <t>B.正常沟通：能清晰表达需求，维持基本的协作。</t>
        </is>
      </c>
      <c r="AF7" s="2" t="inlineStr">
        <is>
          <t>A.完美闭环：进展、难点、结果都会主动汇报，无需催促。</t>
        </is>
      </c>
      <c r="AG7" s="2" t="inlineStr">
        <is>
          <t>B.稳定器：做好自己，不给团队添乱，是可靠的一员。</t>
        </is>
      </c>
      <c r="AH7" s="2" t="inlineStr">
        <is>
          <t>B.懂得求助：在尝试后会及时向主管或同事反馈，寻求资源支持。</t>
        </is>
      </c>
      <c r="AI7" s="2" t="inlineStr">
        <is>
          <t>B. 配合接受：主管安排了就干，不推辞。</t>
        </is>
      </c>
      <c r="AJ7" s="2" t="inlineStr">
        <is>
          <t>A.越战越勇：能扛住压力，保持冷静，高效处理紧急事务。</t>
        </is>
      </c>
      <c r="AK7" s="2" t="inlineStr">
        <is>
          <t>B.照单全收：态度很好，虽然不一定完全理解，但会按要求改。</t>
        </is>
      </c>
      <c r="AL7" s="2" t="inlineStr">
        <is>
          <t>B.正常上手：经过简单培训或指导，能很快投入应用。</t>
        </is>
      </c>
      <c r="AM7" s="2" t="inlineStr">
        <is>
          <t>B.愿意传帮带：平时爱分享避坑指南，能带徒弟。</t>
        </is>
      </c>
      <c r="AN7" s="2" t="inlineStr">
        <is>
          <t>B.中上水平：高于平均线，是团队的中流砥柱。</t>
        </is>
      </c>
      <c r="AO7" s="2" t="inlineStr">
        <is>
          <t>B.业务骨干：是团队不可或缺的腰部力量。</t>
        </is>
      </c>
      <c r="AP7" s="2" t="inlineStr">
        <is>
          <t>B.有点可惜：是个好手，需要费心再找一个相同水准的。</t>
        </is>
      </c>
      <c r="AQ7" s="2" t="inlineStr">
        <is>
          <t>B</t>
        </is>
      </c>
      <c r="AR7" s="2" t="inlineStr">
        <is>
          <t>A</t>
        </is>
      </c>
      <c r="AS7" s="2" t="inlineStr">
        <is>
          <t>不一致</t>
        </is>
      </c>
      <c r="AT7" s="2" t="inlineStr">
        <is>
          <t>A</t>
        </is>
      </c>
      <c r="AU7" s="2" t="inlineStr">
        <is>
          <t>1档</t>
        </is>
      </c>
      <c r="AV7" s="3" t="n">
        <v>8600</v>
      </c>
      <c r="AW7" s="3" t="n">
        <v>6880</v>
      </c>
      <c r="AX7" s="3" t="n">
        <v>10320</v>
      </c>
      <c r="AY7" s="2" t="inlineStr">
        <is>
          <t>B</t>
        </is>
      </c>
      <c r="AZ7" s="2" t="inlineStr">
        <is>
          <t>工作态度端正，工作负荷均衡，独立工作的能力强，能独挡一面。</t>
        </is>
      </c>
      <c r="BA7" s="7" t="n">
        <v>5</v>
      </c>
      <c r="BB7" s="7" t="n">
        <v>5</v>
      </c>
      <c r="BC7" s="7" t="n">
        <v>4</v>
      </c>
      <c r="BD7" s="7" t="n">
        <v>4</v>
      </c>
      <c r="BE7" s="7" t="n">
        <v>4</v>
      </c>
      <c r="BF7" s="7" t="n">
        <v>5</v>
      </c>
      <c r="BG7" s="7" t="n">
        <v>4</v>
      </c>
      <c r="BH7" s="7" t="n">
        <v>3.5</v>
      </c>
      <c r="BI7" s="7" t="n">
        <v>5</v>
      </c>
      <c r="BJ7" s="7" t="n">
        <v>4</v>
      </c>
      <c r="BK7" s="7" t="n">
        <v>3</v>
      </c>
      <c r="BL7" s="7" t="n">
        <v>4</v>
      </c>
      <c r="BM7" s="7" t="n">
        <v>3</v>
      </c>
      <c r="BN7" s="7" t="n">
        <v>5</v>
      </c>
      <c r="BO7" s="7" t="n">
        <v>3</v>
      </c>
      <c r="BP7" s="7" t="n">
        <v>4</v>
      </c>
      <c r="BQ7" s="7" t="n">
        <v>4</v>
      </c>
      <c r="BR7" s="7" t="n">
        <v>4</v>
      </c>
      <c r="BS7" s="7" t="n">
        <v>4</v>
      </c>
      <c r="BT7" s="7" t="n">
        <v>4</v>
      </c>
      <c r="BU7" s="7" t="n">
        <v>81.5</v>
      </c>
      <c r="BV7" s="2"/>
      <c r="BW7" s="2"/>
      <c r="BX7" s="2"/>
      <c r="BY7" s="6">
        <f>HYPERLINK("https://www.h3yun.com/Form/Attachments/?schemacode=D148357733993cc00c048ad9898e53f5f82cbb9&amp;bizObjectId=0968e9d6-4426-4afa-aa17-5ba0ea4090af&amp;name=F0000016","点击查看")</f>
        <v>0</v>
      </c>
      <c r="BZ7" s="2" t="inlineStr">
        <is>
          <t>2026-05-25 17:08:44</t>
        </is>
      </c>
      <c r="CA7" s="2"/>
      <c r="CB7" s="2" t="inlineStr">
        <is>
          <t>已提交</t>
        </is>
      </c>
      <c r="CC7" s="2" t="inlineStr">
        <is>
          <t>无</t>
        </is>
      </c>
      <c r="CD7" s="2" t="inlineStr">
        <is>
          <t>无</t>
        </is>
      </c>
      <c r="CE7" s="2" t="inlineStr">
        <is>
          <t>无</t>
        </is>
      </c>
      <c r="CF7" s="2"/>
      <c r="CG7" s="2" t="inlineStr">
        <is>
          <t>321283198909266825</t>
        </is>
      </c>
      <c r="CH7" s="2" t="inlineStr">
        <is>
          <t>已生效</t>
        </is>
      </c>
      <c r="CI7" s="2" t="inlineStr">
        <is>
          <t>c8f8d883-0a81-4c2b-8f30-4d6e64526041</t>
        </is>
      </c>
      <c r="CJ7" s="3" t="n">
        <v>1</v>
      </c>
      <c r="CK7" s="2" t="inlineStr">
        <is>
          <t>近三年至少担任过一个合同额1500万元以上项目相应岗位的主管</t>
        </is>
      </c>
      <c r="CL7" s="2" t="inlineStr">
        <is>
          <t>近三年至少担任过一个合同额1500万元以上项目相应岗位的主管</t>
        </is>
      </c>
      <c r="CM7" s="2" t="inlineStr">
        <is>
          <t>南化建司劳2017-1号文-南京南化建设有限公司施工一线专业序列人员分级管理规定</t>
        </is>
      </c>
      <c r="CN7" s="2" t="inlineStr">
        <is>
          <t>第三章第2条B类</t>
        </is>
      </c>
      <c r="CO7" s="2" t="inlineStr">
        <is>
          <t>否</t>
        </is>
      </c>
      <c r="CP7" s="2" t="inlineStr">
        <is>
          <t>无</t>
        </is>
      </c>
    </row>
    <row r="8">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t="inlineStr">
        <is>
          <t>01083418-f7b0-4c13-98b2-c47495980eff</t>
        </is>
      </c>
      <c r="CJ8" s="3" t="n">
        <v>2</v>
      </c>
      <c r="CK8" s="2" t="inlineStr">
        <is>
          <t>公司二级单位或公司职能部门推荐</t>
        </is>
      </c>
      <c r="CL8" s="2" t="inlineStr">
        <is>
          <t>公司二级单位或公司职能部门推荐</t>
        </is>
      </c>
      <c r="CM8" s="2" t="inlineStr">
        <is>
          <t>南化建司劳2017-1号文-南京南化建设有限公司施工一线专业序列人员分级管理规定</t>
        </is>
      </c>
      <c r="CN8" s="2" t="inlineStr">
        <is>
          <t>第三章第2条B类</t>
        </is>
      </c>
      <c r="CO8" s="2" t="inlineStr">
        <is>
          <t>否</t>
        </is>
      </c>
      <c r="CP8" s="2" t="inlineStr">
        <is>
          <t>无</t>
        </is>
      </c>
    </row>
    <row r="9">
      <c r="A9" s="2" t="inlineStr">
        <is>
          <t>131e25b2-ab6d-492d-b101-c12ab9a90047</t>
        </is>
      </c>
      <c r="B9" s="2" t="inlineStr">
        <is>
          <t>B.满负荷，平时工作就很忙，偶尔因为非突发时间也要加班</t>
        </is>
      </c>
      <c r="C9" s="2" t="inlineStr">
        <is>
          <t>市场开发部    高塽    女    冯加东</t>
        </is>
      </c>
      <c r="D9" s="2" t="inlineStr">
        <is>
          <t>Anonymous</t>
        </is>
      </c>
      <c r="E9" s="2" t="inlineStr">
        <is>
          <t>Anonymous</t>
        </is>
      </c>
      <c r="F9" s="2"/>
      <c r="G9" s="2" t="inlineStr">
        <is>
          <t>2026-05-25 17:01:21</t>
        </is>
      </c>
      <c r="H9" s="2" t="inlineStr">
        <is>
          <t>冯加东</t>
        </is>
      </c>
      <c r="I9" s="2" t="inlineStr">
        <is>
          <t>342222198207022836</t>
        </is>
      </c>
      <c r="J9" s="2" t="inlineStr">
        <is>
          <t>男</t>
        </is>
      </c>
      <c r="K9" s="2" t="inlineStr">
        <is>
          <t>市场开发部</t>
        </is>
      </c>
      <c r="L9" s="2" t="inlineStr">
        <is>
          <t>2005-08-15</t>
        </is>
      </c>
      <c r="M9" s="2" t="inlineStr">
        <is>
          <t>安徽理工大学</t>
        </is>
      </c>
      <c r="N9" s="2" t="inlineStr">
        <is>
          <t>仪表</t>
        </is>
      </c>
      <c r="O9" s="2" t="inlineStr">
        <is>
          <t>本科</t>
        </is>
      </c>
      <c r="P9" s="2" t="inlineStr">
        <is>
          <t>市场开发部</t>
        </is>
      </c>
      <c r="Q9" s="2" t="inlineStr">
        <is>
          <t>高塽</t>
        </is>
      </c>
      <c r="R9" s="2" t="inlineStr">
        <is>
          <t>女</t>
        </is>
      </c>
      <c r="S9" s="2" t="inlineStr">
        <is>
          <t>2005-08-20</t>
        </is>
      </c>
      <c r="T9" s="2" t="inlineStr">
        <is>
          <t>专业工程师</t>
        </is>
      </c>
      <c r="U9" s="2" t="inlineStr">
        <is>
          <t>南京化工职业技术学院</t>
        </is>
      </c>
      <c r="V9" s="2" t="inlineStr">
        <is>
          <t>仪表</t>
        </is>
      </c>
      <c r="W9" s="2" t="inlineStr">
        <is>
          <t>大专</t>
        </is>
      </c>
      <c r="X9" s="2" t="inlineStr">
        <is>
          <t>A.积极高效：经常提前完成，且质量超出预期。</t>
        </is>
      </c>
      <c r="Y9" s="2" t="inlineStr">
        <is>
          <t>B.基本稳定：偶有小瑕疵，但不影响整体使用。</t>
        </is>
      </c>
      <c r="Z9" s="2" t="inlineStr">
        <is>
          <t>B.比较省心：只需定期同步一下进度，不需要主管盯着细节，能独立把事情办成。</t>
        </is>
      </c>
      <c r="AA9" s="2" t="inlineStr">
        <is>
          <t>A.全局视野：了解上下游，能站在全业务链条考虑问题。</t>
        </is>
      </c>
      <c r="AB9" s="2" t="inlineStr">
        <is>
          <t>B.尽力而为：能解决大部分问题，解决不了的会及时求助。</t>
        </is>
      </c>
      <c r="AC9" s="2" t="inlineStr">
        <is>
          <t>B.基本合规：偶尔迟到或忘打卡，提醒后能迅速改正。</t>
        </is>
      </c>
      <c r="AD9" s="2" t="inlineStr">
        <is>
          <t>B.偶尔思考：在主管启发下，能提出一些优化想法</t>
        </is>
      </c>
      <c r="AE9" s="2" t="inlineStr">
        <is>
          <t>B.正常沟通：能清晰表达需求，维持基本的协作。</t>
        </is>
      </c>
      <c r="AF9" s="2" t="inlineStr">
        <is>
          <t>B.有问有答：问到时能说清楚进度，基本能做到及时反馈。</t>
        </is>
      </c>
      <c r="AG9" s="2" t="inlineStr">
        <is>
          <t>B.稳定器：做好自己，不给团队添乱，是可靠的一员。</t>
        </is>
      </c>
      <c r="AH9" s="2" t="inlineStr">
        <is>
          <t>A.整合高手：能迅速找到能帮上忙的人和资源，借力打力解决问题。</t>
        </is>
      </c>
      <c r="AI9" s="2" t="inlineStr">
        <is>
          <t>B. 配合接受：主管安排了就干，不推辞。</t>
        </is>
      </c>
      <c r="AJ9" s="2" t="inlineStr">
        <is>
          <t>C.较为配合：不抱怨，但压力较大时，工作质量会随之下滑。</t>
        </is>
      </c>
      <c r="AK9" s="2" t="inlineStr">
        <is>
          <t>B.照单全收：态度很好，虽然不一定完全理解，但会按要求改。</t>
        </is>
      </c>
      <c r="AL9" s="2" t="inlineStr">
        <is>
          <t>B.正常上手：经过简单培训或指导，能很快投入应用。</t>
        </is>
      </c>
      <c r="AM9" s="2" t="inlineStr">
        <is>
          <t>B.愿意传帮带：平时爱分享避坑指南，能带徒弟。</t>
        </is>
      </c>
      <c r="AN9" s="2" t="inlineStr">
        <is>
          <t>B.中上水平：高于平均线，是团队的中流砥柱。</t>
        </is>
      </c>
      <c r="AO9" s="2" t="inlineStr">
        <is>
          <t>B.业务骨干：是团队不可或缺的腰部力量。</t>
        </is>
      </c>
      <c r="AP9" s="2" t="inlineStr">
        <is>
          <t>B.有点可惜：是个好手，需要费心再找一个相同水准的。</t>
        </is>
      </c>
      <c r="AQ9" s="2" t="inlineStr">
        <is>
          <t>B</t>
        </is>
      </c>
      <c r="AR9" s="2" t="inlineStr">
        <is>
          <t>A</t>
        </is>
      </c>
      <c r="AS9" s="2" t="inlineStr">
        <is>
          <t>不一致</t>
        </is>
      </c>
      <c r="AT9" s="2" t="inlineStr">
        <is>
          <t>A</t>
        </is>
      </c>
      <c r="AU9" s="2" t="inlineStr">
        <is>
          <t>1档</t>
        </is>
      </c>
      <c r="AV9" s="3" t="n">
        <v>8600</v>
      </c>
      <c r="AW9" s="3" t="n">
        <v>6880</v>
      </c>
      <c r="AX9" s="3" t="n">
        <v>10320</v>
      </c>
      <c r="AY9" s="2" t="inlineStr">
        <is>
          <t>B</t>
        </is>
      </c>
      <c r="AZ9" s="2" t="inlineStr">
        <is>
          <t>工作技能熟练，工作积极性高，工作负荷合适，能团结团队人员，带动大家工作的气氛。</t>
        </is>
      </c>
      <c r="BA9" s="7" t="n">
        <v>5</v>
      </c>
      <c r="BB9" s="7" t="n">
        <v>4</v>
      </c>
      <c r="BC9" s="7" t="n">
        <v>4</v>
      </c>
      <c r="BD9" s="7" t="n">
        <v>5</v>
      </c>
      <c r="BE9" s="7" t="n">
        <v>4</v>
      </c>
      <c r="BF9" s="7" t="n">
        <v>3.5</v>
      </c>
      <c r="BG9" s="7" t="n">
        <v>4</v>
      </c>
      <c r="BH9" s="7" t="n">
        <v>3.5</v>
      </c>
      <c r="BI9" s="7" t="n">
        <v>4</v>
      </c>
      <c r="BJ9" s="7" t="n">
        <v>4</v>
      </c>
      <c r="BK9" s="7" t="n">
        <v>5</v>
      </c>
      <c r="BL9" s="7" t="n">
        <v>4</v>
      </c>
      <c r="BM9" s="7" t="n">
        <v>4</v>
      </c>
      <c r="BN9" s="7" t="n">
        <v>3</v>
      </c>
      <c r="BO9" s="7" t="n">
        <v>3</v>
      </c>
      <c r="BP9" s="7" t="n">
        <v>4</v>
      </c>
      <c r="BQ9" s="7" t="n">
        <v>4</v>
      </c>
      <c r="BR9" s="7" t="n">
        <v>4</v>
      </c>
      <c r="BS9" s="7" t="n">
        <v>4</v>
      </c>
      <c r="BT9" s="7" t="n">
        <v>4</v>
      </c>
      <c r="BU9" s="7" t="n">
        <v>80</v>
      </c>
      <c r="BV9" s="2" t="inlineStr">
        <is>
          <t>A.需要存在，不可去除</t>
        </is>
      </c>
      <c r="BW9" s="2"/>
      <c r="BX9" s="2"/>
      <c r="BY9" s="6">
        <f>HYPERLINK("https://www.h3yun.com/Form/Attachments/?schemacode=D148357733993cc00c048ad9898e53f5f82cbb9&amp;bizObjectId=131e25b2-ab6d-492d-b101-c12ab9a90047&amp;name=F0000016","点击查看")</f>
        <v>0</v>
      </c>
      <c r="BZ9" s="2" t="inlineStr">
        <is>
          <t>2026-05-25 17:01:21</t>
        </is>
      </c>
      <c r="CA9" s="2"/>
      <c r="CB9" s="2" t="inlineStr">
        <is>
          <t>已提交</t>
        </is>
      </c>
      <c r="CC9" s="2" t="inlineStr">
        <is>
          <t>工程师</t>
        </is>
      </c>
      <c r="CD9" s="2" t="inlineStr">
        <is>
          <t>无</t>
        </is>
      </c>
      <c r="CE9" s="2" t="inlineStr">
        <is>
          <t>无</t>
        </is>
      </c>
      <c r="CF9" s="2"/>
      <c r="CG9" s="2" t="inlineStr">
        <is>
          <t>320682198411252201</t>
        </is>
      </c>
      <c r="CH9" s="2" t="inlineStr">
        <is>
          <t>已生效</t>
        </is>
      </c>
      <c r="CI9" s="2" t="inlineStr">
        <is>
          <t>cb6b1cf2-5a01-435a-86d0-688012609abb</t>
        </is>
      </c>
      <c r="CJ9" s="3" t="n">
        <v>1</v>
      </c>
      <c r="CK9" s="2" t="inlineStr">
        <is>
          <t>近三年至少担任过一个合同额1500万元以上项目相应岗位的主管</t>
        </is>
      </c>
      <c r="CL9" s="2" t="inlineStr">
        <is>
          <t>近三年至少担任过一个合同额1500万元以上项目相应岗位的主管</t>
        </is>
      </c>
      <c r="CM9" s="2" t="inlineStr">
        <is>
          <t>南化建司劳2017-1号文-南京南化建设有限公司施工一线专业序列人员分级管理规定</t>
        </is>
      </c>
      <c r="CN9" s="2" t="inlineStr">
        <is>
          <t>第三章第2条B类</t>
        </is>
      </c>
      <c r="CO9" s="2" t="inlineStr">
        <is>
          <t>否</t>
        </is>
      </c>
      <c r="CP9" s="2" t="inlineStr">
        <is>
          <t>无</t>
        </is>
      </c>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t="inlineStr">
        <is>
          <t>0609dc7c-3cbd-441d-b466-5dab1ca0bd6c</t>
        </is>
      </c>
      <c r="CJ10" s="3" t="n">
        <v>2</v>
      </c>
      <c r="CK10" s="2" t="inlineStr">
        <is>
          <t>公司二级单位或公司职能部门推荐</t>
        </is>
      </c>
      <c r="CL10" s="2" t="inlineStr">
        <is>
          <t>公司二级单位或公司职能部门推荐</t>
        </is>
      </c>
      <c r="CM10" s="2" t="inlineStr">
        <is>
          <t>南化建司劳2017-1号文-南京南化建设有限公司施工一线专业序列人员分级管理规定</t>
        </is>
      </c>
      <c r="CN10" s="2" t="inlineStr">
        <is>
          <t>第三章第2条B类</t>
        </is>
      </c>
      <c r="CO10" s="2" t="inlineStr">
        <is>
          <t>否</t>
        </is>
      </c>
      <c r="CP10" s="2" t="inlineStr">
        <is>
          <t>无</t>
        </is>
      </c>
    </row>
    <row r="11">
      <c r="A11" s="2" t="inlineStr">
        <is>
          <t>28ac91b2-288e-4270-9ce3-0ae17cf77fe6</t>
        </is>
      </c>
      <c r="B11" s="2" t="inlineStr">
        <is>
          <t>C.均衡，工作负荷一般，按部就班完成工作，除了突发时间几乎不用加班</t>
        </is>
      </c>
      <c r="C11" s="2" t="inlineStr">
        <is>
          <t>市场开发部    张和玉    女    荀月娥</t>
        </is>
      </c>
      <c r="D11" s="2" t="inlineStr">
        <is>
          <t>Anonymous</t>
        </is>
      </c>
      <c r="E11" s="2" t="inlineStr">
        <is>
          <t>Anonymous</t>
        </is>
      </c>
      <c r="F11" s="2"/>
      <c r="G11" s="2" t="inlineStr">
        <is>
          <t>2026-05-25 16:24:31</t>
        </is>
      </c>
      <c r="H11" s="2" t="inlineStr">
        <is>
          <t>荀月娥</t>
        </is>
      </c>
      <c r="I11" s="2" t="inlineStr">
        <is>
          <t>32091119760925062X</t>
        </is>
      </c>
      <c r="J11" s="2" t="inlineStr">
        <is>
          <t>女</t>
        </is>
      </c>
      <c r="K11" s="2" t="inlineStr">
        <is>
          <t>市场开发部</t>
        </is>
      </c>
      <c r="L11" s="2" t="inlineStr">
        <is>
          <t>1999-08-12</t>
        </is>
      </c>
      <c r="M11" s="2" t="inlineStr">
        <is>
          <t>沈阳化工学院</t>
        </is>
      </c>
      <c r="N11" s="2" t="inlineStr">
        <is>
          <t>化机</t>
        </is>
      </c>
      <c r="O11" s="2" t="inlineStr">
        <is>
          <t>本科</t>
        </is>
      </c>
      <c r="P11" s="2" t="inlineStr">
        <is>
          <t>市场开发部</t>
        </is>
      </c>
      <c r="Q11" s="2" t="inlineStr">
        <is>
          <t>张和玉</t>
        </is>
      </c>
      <c r="R11" s="2" t="inlineStr">
        <is>
          <t>女</t>
        </is>
      </c>
      <c r="S11" s="2" t="inlineStr">
        <is>
          <t>2003-08-08</t>
        </is>
      </c>
      <c r="T11" s="2" t="inlineStr">
        <is>
          <t>主管工程师</t>
        </is>
      </c>
      <c r="U11" s="2" t="inlineStr">
        <is>
          <t>淮南化校</t>
        </is>
      </c>
      <c r="V11" s="2" t="inlineStr">
        <is>
          <t>化机</t>
        </is>
      </c>
      <c r="W11" s="2" t="inlineStr">
        <is>
          <t>中专</t>
        </is>
      </c>
      <c r="X11" s="2" t="inlineStr">
        <is>
          <t>B.按时推进：基本能卡着时间点完成，不掉链子。</t>
        </is>
      </c>
      <c r="Y11" s="2" t="inlineStr">
        <is>
          <t>B.基本稳定：偶有小瑕疵，但不影响整体使用。</t>
        </is>
      </c>
      <c r="Z11" s="2" t="inlineStr">
        <is>
          <t>C.正常跟进：需要主管盯着节点、偶尔提醒进度，或者在跑偏时帮着拽回来。</t>
        </is>
      </c>
      <c r="AA11" s="2" t="inlineStr">
        <is>
          <t>B.清楚岗位：对自己岗位的活儿很门清，略知上下游。</t>
        </is>
      </c>
      <c r="AB11" s="2" t="inlineStr">
        <is>
          <t>B.尽力而为：能解决大部分问题，解决不了的会及时求助。</t>
        </is>
      </c>
      <c r="AC11" s="2" t="inlineStr">
        <is>
          <t>B.基本合规：偶尔迟到或忘打卡，提醒后能迅速改正。</t>
        </is>
      </c>
      <c r="AD11" s="2" t="inlineStr">
        <is>
          <t xml:space="preserve">C.照章办事：给多少干多少，完全按老规矩来，从不思考变革 </t>
        </is>
      </c>
      <c r="AE11" s="2" t="inlineStr">
        <is>
          <t>B.正常沟通：能清晰表达需求，维持基本的协作。</t>
        </is>
      </c>
      <c r="AF11" s="2" t="inlineStr">
        <is>
          <t>B.有问有答：问到时能说清楚进度，基本能做到及时反馈。</t>
        </is>
      </c>
      <c r="AG11" s="2" t="inlineStr">
        <is>
          <t>C.旁观者：不关心团队，只关心自己的工作。</t>
        </is>
      </c>
      <c r="AH11" s="2" t="inlineStr">
        <is>
          <t>B.懂得求助：在尝试后会及时向主管或同事反馈，寻求资源支持。</t>
        </is>
      </c>
      <c r="AI11" s="2" t="inlineStr">
        <is>
          <t>B. 配合接受：主管安排了就干，不推辞。</t>
        </is>
      </c>
      <c r="AJ11" s="2" t="inlineStr">
        <is>
          <t>C.较为配合：不抱怨，但压力较大时，工作质量会随之下滑。</t>
        </is>
      </c>
      <c r="AK11" s="2" t="inlineStr">
        <is>
          <t>B.照单全收：态度很好，虽然不一定完全理解，但会按要求改。</t>
        </is>
      </c>
      <c r="AL11" s="2" t="inlineStr">
        <is>
          <t>B.正常上手：经过简单培训或指导，能很快投入应用。</t>
        </is>
      </c>
      <c r="AM11" s="2" t="inlineStr">
        <is>
          <t>C.技能私有：自己干得好也愿意分享，但是不会总结或讲不出来。</t>
        </is>
      </c>
      <c r="AN11" s="2" t="inlineStr">
        <is>
          <t>C.中规中矩：刚好达标，替代性较强。</t>
        </is>
      </c>
      <c r="AO11" s="2" t="inlineStr">
        <is>
          <t>C.熟练工：能胜任重复性工作，但很难承担更高阶的挑战。</t>
        </is>
      </c>
      <c r="AP11" s="2" t="inlineStr">
        <is>
          <t>C.正常更替：走就走吧，招个新人培养一下也没什么区别。</t>
        </is>
      </c>
      <c r="AQ11" s="2" t="inlineStr">
        <is>
          <t>C</t>
        </is>
      </c>
      <c r="AR11" s="2" t="inlineStr">
        <is>
          <t>C</t>
        </is>
      </c>
      <c r="AS11" s="2" t="inlineStr">
        <is>
          <t>一致</t>
        </is>
      </c>
      <c r="AT11" s="2" t="inlineStr">
        <is>
          <t>C</t>
        </is>
      </c>
      <c r="AU11" s="2" t="inlineStr">
        <is>
          <t>5档</t>
        </is>
      </c>
      <c r="AV11" s="3" t="n">
        <v>6900</v>
      </c>
      <c r="AW11" s="3" t="n">
        <v>5520</v>
      </c>
      <c r="AX11" s="3" t="n">
        <v>8280</v>
      </c>
      <c r="AY11" s="2" t="inlineStr">
        <is>
          <t>D</t>
        </is>
      </c>
      <c r="AZ11" s="2" t="inlineStr">
        <is>
          <t>工作能力良好，基本保质保量完成安排工作。</t>
        </is>
      </c>
      <c r="BA11" s="7" t="n">
        <v>3</v>
      </c>
      <c r="BB11" s="7" t="n">
        <v>4</v>
      </c>
      <c r="BC11" s="7" t="n">
        <v>3</v>
      </c>
      <c r="BD11" s="7" t="n">
        <v>4</v>
      </c>
      <c r="BE11" s="7" t="n">
        <v>4</v>
      </c>
      <c r="BF11" s="7" t="n">
        <v>3.5</v>
      </c>
      <c r="BG11" s="7" t="n">
        <v>3</v>
      </c>
      <c r="BH11" s="7" t="n">
        <v>3.5</v>
      </c>
      <c r="BI11" s="7" t="n">
        <v>4</v>
      </c>
      <c r="BJ11" s="7" t="n">
        <v>2</v>
      </c>
      <c r="BK11" s="7" t="n">
        <v>3</v>
      </c>
      <c r="BL11" s="7" t="n">
        <v>4</v>
      </c>
      <c r="BM11" s="7" t="n">
        <v>3</v>
      </c>
      <c r="BN11" s="7" t="n">
        <v>3</v>
      </c>
      <c r="BO11" s="7" t="n">
        <v>3</v>
      </c>
      <c r="BP11" s="7" t="n">
        <v>4</v>
      </c>
      <c r="BQ11" s="7" t="n">
        <v>2</v>
      </c>
      <c r="BR11" s="7" t="n">
        <v>3</v>
      </c>
      <c r="BS11" s="7" t="n">
        <v>3</v>
      </c>
      <c r="BT11" s="7" t="n">
        <v>3</v>
      </c>
      <c r="BU11" s="7" t="n">
        <v>65</v>
      </c>
      <c r="BV11" s="2"/>
      <c r="BW11" s="2"/>
      <c r="BX11" s="2"/>
      <c r="BY11" s="6">
        <f>HYPERLINK("https://www.h3yun.com/Form/Attachments/?schemacode=D148357733993cc00c048ad9898e53f5f82cbb9&amp;bizObjectId=28ac91b2-288e-4270-9ce3-0ae17cf77fe6&amp;name=F0000016","点击查看")</f>
        <v>0</v>
      </c>
      <c r="BZ11" s="2" t="inlineStr">
        <is>
          <t>2026-05-25 16:24:31</t>
        </is>
      </c>
      <c r="CA11" s="2"/>
      <c r="CB11" s="2" t="inlineStr">
        <is>
          <t>已提交</t>
        </is>
      </c>
      <c r="CC11" s="2" t="inlineStr">
        <is>
          <t>高级工程师</t>
        </is>
      </c>
      <c r="CD11" s="2" t="inlineStr">
        <is>
          <t>PMP证书</t>
        </is>
      </c>
      <c r="CE11" s="2" t="inlineStr">
        <is>
          <t>无</t>
        </is>
      </c>
      <c r="CF11" s="2"/>
      <c r="CG11" s="2" t="inlineStr">
        <is>
          <t>341181198308014425</t>
        </is>
      </c>
      <c r="CH11" s="2" t="inlineStr">
        <is>
          <t>已生效</t>
        </is>
      </c>
      <c r="CI11" s="2" t="inlineStr">
        <is>
          <t>67c36dcb-d651-49b4-8e11-be861625f041</t>
        </is>
      </c>
      <c r="CJ11" s="3" t="n">
        <v>1</v>
      </c>
      <c r="CK11" s="2" t="inlineStr">
        <is>
          <t>该成员存在一线工作履历</t>
        </is>
      </c>
      <c r="CL11" s="2" t="inlineStr">
        <is>
          <t>该成员存在一线工作履历</t>
        </is>
      </c>
      <c r="CM11" s="2" t="inlineStr">
        <is>
          <t>南化建司劳2017-1号文-南京南化建设有限公司施工一线专业序列人员分级管理规定</t>
        </is>
      </c>
      <c r="CN11" s="2" t="inlineStr">
        <is>
          <t>第三章第6条D类</t>
        </is>
      </c>
      <c r="CO11" s="2" t="inlineStr">
        <is>
          <t>否</t>
        </is>
      </c>
      <c r="CP11" s="2" t="inlineStr">
        <is>
          <t>无</t>
        </is>
      </c>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t="inlineStr">
        <is>
          <t>e526c4a6-30d2-4bc8-85d6-7224ad55d758</t>
        </is>
      </c>
      <c r="CJ12" s="3" t="n">
        <v>2</v>
      </c>
      <c r="CK12" s="2" t="inlineStr">
        <is>
          <t>近五年内该成员存在一线工作履历</t>
        </is>
      </c>
      <c r="CL12" s="2" t="inlineStr">
        <is>
          <t>近五年内该成员存在一线工作履历</t>
        </is>
      </c>
      <c r="CM12" s="2" t="inlineStr">
        <is>
          <t>南化建司劳2017-1号文-南京南化建设有限公司施工一线专业序列人员分级管理规定</t>
        </is>
      </c>
      <c r="CN12" s="2" t="inlineStr">
        <is>
          <t>第三章第6条D类</t>
        </is>
      </c>
      <c r="CO12" s="2" t="inlineStr">
        <is>
          <t>否</t>
        </is>
      </c>
      <c r="CP12" s="2" t="inlineStr">
        <is>
          <t>无</t>
        </is>
      </c>
    </row>
    <row r="13">
      <c r="A13" s="2" t="inlineStr">
        <is>
          <t>fd7d9aaf-fb98-44c8-b2f4-d31c15f8120b</t>
        </is>
      </c>
      <c r="B13" s="2" t="inlineStr">
        <is>
          <t>B.满负荷，平时工作就很忙，偶尔因为非突发时间也要加班</t>
        </is>
      </c>
      <c r="C13" s="2" t="inlineStr">
        <is>
          <t>市场开发部    王培云    女    荀月娥</t>
        </is>
      </c>
      <c r="D13" s="2" t="inlineStr">
        <is>
          <t>Anonymous</t>
        </is>
      </c>
      <c r="E13" s="2" t="inlineStr">
        <is>
          <t>Anonymous</t>
        </is>
      </c>
      <c r="F13" s="2"/>
      <c r="G13" s="2" t="inlineStr">
        <is>
          <t>2026-05-25 16:16:34</t>
        </is>
      </c>
      <c r="H13" s="2" t="inlineStr">
        <is>
          <t>荀月娥</t>
        </is>
      </c>
      <c r="I13" s="2" t="inlineStr">
        <is>
          <t>32091119760925062X</t>
        </is>
      </c>
      <c r="J13" s="2" t="inlineStr">
        <is>
          <t>女</t>
        </is>
      </c>
      <c r="K13" s="2" t="inlineStr">
        <is>
          <t>市场开发部</t>
        </is>
      </c>
      <c r="L13" s="2" t="inlineStr">
        <is>
          <t>1999-08-12</t>
        </is>
      </c>
      <c r="M13" s="2" t="inlineStr">
        <is>
          <t>沈阳化工学院</t>
        </is>
      </c>
      <c r="N13" s="2" t="inlineStr">
        <is>
          <t>化机</t>
        </is>
      </c>
      <c r="O13" s="2" t="inlineStr">
        <is>
          <t>本科</t>
        </is>
      </c>
      <c r="P13" s="2" t="inlineStr">
        <is>
          <t>市场开发部</t>
        </is>
      </c>
      <c r="Q13" s="2" t="inlineStr">
        <is>
          <t>王培云</t>
        </is>
      </c>
      <c r="R13" s="2" t="inlineStr">
        <is>
          <t>女</t>
        </is>
      </c>
      <c r="S13" s="2" t="inlineStr">
        <is>
          <t>1989-07-01</t>
        </is>
      </c>
      <c r="T13" s="2" t="inlineStr">
        <is>
          <t>主管工程师</t>
        </is>
      </c>
      <c r="U13" s="2" t="inlineStr">
        <is>
          <t>淮南化学工程学校</t>
        </is>
      </c>
      <c r="V13" s="2" t="inlineStr">
        <is>
          <t>化机</t>
        </is>
      </c>
      <c r="W13" s="2" t="inlineStr">
        <is>
          <t>中专</t>
        </is>
      </c>
      <c r="X13" s="2" t="inlineStr">
        <is>
          <t>A.积极高效：经常提前完成，且质量超出预期。</t>
        </is>
      </c>
      <c r="Y13" s="2" t="inlineStr">
        <is>
          <t>A.始终如一：无论任务大小，交付件标准都很高。</t>
        </is>
      </c>
      <c r="Z13" s="2" t="inlineStr">
        <is>
          <t>B.比较省心：只需定期同步一下进度，不需要主管盯着细节，能独立把事情办成。</t>
        </is>
      </c>
      <c r="AA13" s="2" t="inlineStr">
        <is>
          <t>B.清楚岗位：对自己岗位的活儿很门清，略知上下游。</t>
        </is>
      </c>
      <c r="AB13" s="2" t="inlineStr">
        <is>
          <t>A.攻坚克难：会想尽一切办法钻研，直至彻底解决。</t>
        </is>
      </c>
      <c r="AC13" s="2" t="inlineStr">
        <is>
          <t>A.模范标兵：严于律己，从未在琐事上让主管费心。</t>
        </is>
      </c>
      <c r="AD13" s="2" t="inlineStr">
        <is>
          <t>A.持续优化：经常提出改进流程、提升效率的实用建议</t>
        </is>
      </c>
      <c r="AE13" s="2" t="inlineStr">
        <is>
          <t>B.正常沟通：能清晰表达需求，维持基本的协作。</t>
        </is>
      </c>
      <c r="AF13" s="2" t="inlineStr">
        <is>
          <t>B.有问有答：问到时能说清楚进度，基本能做到及时反馈。</t>
        </is>
      </c>
      <c r="AG13" s="2" t="inlineStr">
        <is>
          <t>B.稳定器：做好自己，不给团队添乱，是可靠的一员。</t>
        </is>
      </c>
      <c r="AH13" s="2" t="inlineStr">
        <is>
          <t>B.懂得求助：在尝试后会及时向主管或同事反馈，寻求资源支持。</t>
        </is>
      </c>
      <c r="AI13" s="2" t="inlineStr">
        <is>
          <t>B. 配合接受：主管安排了就干，不推辞。</t>
        </is>
      </c>
      <c r="AJ13" s="2" t="inlineStr">
        <is>
          <t>B.配合度高：虽然有压力，但能服从大局，咬牙顶上去，且质量尚可。</t>
        </is>
      </c>
      <c r="AK13" s="2" t="inlineStr">
        <is>
          <t>A.虚心求教：能听进去，并积极探讨更科学的方法。</t>
        </is>
      </c>
      <c r="AL13" s="2" t="inlineStr">
        <is>
          <t>B.正常上手：经过简单培训或指导，能很快投入应用。</t>
        </is>
      </c>
      <c r="AM13" s="2" t="inlineStr">
        <is>
          <t>B.愿意传帮带：平时爱分享避坑指南，能带徒弟。</t>
        </is>
      </c>
      <c r="AN13" s="2" t="inlineStr">
        <is>
          <t>A.第一梯队（Top 10%）：部门的标杆。</t>
        </is>
      </c>
      <c r="AO13" s="2" t="inlineStr">
        <is>
          <t>B.业务骨干：是团队不可或缺的腰部力量。</t>
        </is>
      </c>
      <c r="AP13" s="2" t="inlineStr">
        <is>
          <t>B.有点可惜：是个好手，需要费心再找一个相同水准的。</t>
        </is>
      </c>
      <c r="AQ13" s="2" t="inlineStr">
        <is>
          <t>A</t>
        </is>
      </c>
      <c r="AR13" s="2" t="inlineStr">
        <is>
          <t>S</t>
        </is>
      </c>
      <c r="AS13" s="2" t="inlineStr">
        <is>
          <t>不一致</t>
        </is>
      </c>
      <c r="AT13" s="2" t="inlineStr">
        <is>
          <t>S</t>
        </is>
      </c>
      <c r="AU13" s="2" t="inlineStr">
        <is>
          <t>5档</t>
        </is>
      </c>
      <c r="AV13" s="3" t="n">
        <v>10400</v>
      </c>
      <c r="AW13" s="3" t="n">
        <v>8320</v>
      </c>
      <c r="AX13" s="3" t="n">
        <v>12480</v>
      </c>
      <c r="AY13" s="2" t="inlineStr">
        <is>
          <t>A</t>
        </is>
      </c>
      <c r="AZ13" s="2" t="inlineStr">
        <is>
          <t>业务能力卓越，高质超预期完成各项工作任务。</t>
        </is>
      </c>
      <c r="BA13" s="7" t="n">
        <v>5</v>
      </c>
      <c r="BB13" s="7" t="n">
        <v>5</v>
      </c>
      <c r="BC13" s="7" t="n">
        <v>4</v>
      </c>
      <c r="BD13" s="7" t="n">
        <v>4</v>
      </c>
      <c r="BE13" s="7" t="n">
        <v>5</v>
      </c>
      <c r="BF13" s="7" t="n">
        <v>5</v>
      </c>
      <c r="BG13" s="7" t="n">
        <v>5</v>
      </c>
      <c r="BH13" s="7" t="n">
        <v>3.5</v>
      </c>
      <c r="BI13" s="7" t="n">
        <v>4</v>
      </c>
      <c r="BJ13" s="7" t="n">
        <v>4</v>
      </c>
      <c r="BK13" s="7" t="n">
        <v>3</v>
      </c>
      <c r="BL13" s="7" t="n">
        <v>4</v>
      </c>
      <c r="BM13" s="7" t="n">
        <v>4</v>
      </c>
      <c r="BN13" s="7" t="n">
        <v>4</v>
      </c>
      <c r="BO13" s="7" t="n">
        <v>5</v>
      </c>
      <c r="BP13" s="7" t="n">
        <v>4</v>
      </c>
      <c r="BQ13" s="7" t="n">
        <v>4</v>
      </c>
      <c r="BR13" s="7" t="n">
        <v>5</v>
      </c>
      <c r="BS13" s="7" t="n">
        <v>4</v>
      </c>
      <c r="BT13" s="7" t="n">
        <v>4</v>
      </c>
      <c r="BU13" s="7" t="n">
        <v>85.5</v>
      </c>
      <c r="BV13" s="2"/>
      <c r="BW13" s="2"/>
      <c r="BX13" s="2"/>
      <c r="BY13" s="6">
        <f>HYPERLINK("https://www.h3yun.com/Form/Attachments/?schemacode=D148357733993cc00c048ad9898e53f5f82cbb9&amp;bizObjectId=fd7d9aaf-fb98-44c8-b2f4-d31c15f8120b&amp;name=F0000016","点击查看")</f>
        <v>0</v>
      </c>
      <c r="BZ13" s="2" t="inlineStr">
        <is>
          <t>2026-05-25 16:16:34</t>
        </is>
      </c>
      <c r="CA13" s="2"/>
      <c r="CB13" s="2" t="inlineStr">
        <is>
          <t>已提交</t>
        </is>
      </c>
      <c r="CC13" s="2" t="inlineStr">
        <is>
          <t>高级工程师</t>
        </is>
      </c>
      <c r="CD13" s="2" t="inlineStr">
        <is>
          <t>二建</t>
        </is>
      </c>
      <c r="CE13" s="2" t="inlineStr">
        <is>
          <t>优秀员工</t>
        </is>
      </c>
      <c r="CF13" s="2"/>
      <c r="CG13" s="2" t="inlineStr">
        <is>
          <t>32011219710204044X</t>
        </is>
      </c>
      <c r="CH13" s="2" t="inlineStr">
        <is>
          <t>已生效</t>
        </is>
      </c>
      <c r="CI13" s="2" t="inlineStr">
        <is>
          <t>285a51c4-3592-46f2-8ff0-c5008628f49f</t>
        </is>
      </c>
      <c r="CJ13" s="3" t="n">
        <v>1</v>
      </c>
      <c r="CK13" s="2" t="inlineStr">
        <is>
          <t>近三年至少担任过一个合同额 2000万元以上项目的项目经理、施工经理、技术负责人(项目总工程师)、安全经理、质量经理、采购经理、合同控制经理、设计经理等关键岗位中的一个</t>
        </is>
      </c>
      <c r="CL13" s="2" t="inlineStr">
        <is>
          <t>近三年至少担任过一个合同额 2000万元以上项目的项目经理、施工经理、技术负责人(项目总工程师)、安全经理、质量经理、采购经理、合同控制经理、设计经理等关键岗位中的一个</t>
        </is>
      </c>
      <c r="CM13" s="2" t="inlineStr">
        <is>
          <t>南化建司劳2017-1号文-南京南化建设有限公司施工一线专业序列人员分级管理规定</t>
        </is>
      </c>
      <c r="CN13" s="2" t="inlineStr">
        <is>
          <t>第三章第1条A类</t>
        </is>
      </c>
      <c r="CO13" s="2" t="inlineStr">
        <is>
          <t>否</t>
        </is>
      </c>
      <c r="CP13" s="2" t="inlineStr">
        <is>
          <t>无</t>
        </is>
      </c>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t="inlineStr">
        <is>
          <t>d7f6af79-917c-4a0d-bd91-97f8f3c51490</t>
        </is>
      </c>
      <c r="CJ14" s="3" t="n">
        <v>2</v>
      </c>
      <c r="CK14" s="2" t="inlineStr">
        <is>
          <t>公司二级单位或公司职能部门推荐</t>
        </is>
      </c>
      <c r="CL14" s="2" t="inlineStr">
        <is>
          <t>公司二级单位或公司职能部门推荐</t>
        </is>
      </c>
      <c r="CM14" s="2" t="inlineStr">
        <is>
          <t>南化建司劳2017-1号文-南京南化建设有限公司施工一线专业序列人员分级管理规定</t>
        </is>
      </c>
      <c r="CN14" s="2" t="inlineStr">
        <is>
          <t>第三章第1条A类</t>
        </is>
      </c>
      <c r="CO14" s="2" t="inlineStr">
        <is>
          <t>否</t>
        </is>
      </c>
      <c r="CP14" s="2" t="inlineStr">
        <is>
          <t>无</t>
        </is>
      </c>
    </row>
    <row r="15">
      <c r="A15" s="2" t="inlineStr">
        <is>
          <t>5d26bf7f-ddf8-4bd3-a567-592ea437e1da</t>
        </is>
      </c>
      <c r="B15" s="2" t="inlineStr">
        <is>
          <t>B.满负荷，平时工作就很忙，偶尔因为非突发时间也要加班</t>
        </is>
      </c>
      <c r="C15" s="2" t="inlineStr">
        <is>
          <t>市场开发部    孙珍    女    荀月娥</t>
        </is>
      </c>
      <c r="D15" s="2" t="inlineStr">
        <is>
          <t>Anonymous</t>
        </is>
      </c>
      <c r="E15" s="2" t="inlineStr">
        <is>
          <t>Anonymous</t>
        </is>
      </c>
      <c r="F15" s="2"/>
      <c r="G15" s="2" t="inlineStr">
        <is>
          <t>2026-05-26 18:41:43</t>
        </is>
      </c>
      <c r="H15" s="2" t="inlineStr">
        <is>
          <t>荀月娥</t>
        </is>
      </c>
      <c r="I15" s="2" t="inlineStr">
        <is>
          <t>32091119760925062X</t>
        </is>
      </c>
      <c r="J15" s="2" t="inlineStr">
        <is>
          <t>女</t>
        </is>
      </c>
      <c r="K15" s="2" t="inlineStr">
        <is>
          <t>市场开发部</t>
        </is>
      </c>
      <c r="L15" s="2" t="inlineStr">
        <is>
          <t>1999-08-12</t>
        </is>
      </c>
      <c r="M15" s="2" t="inlineStr">
        <is>
          <t>沈阳化工学院</t>
        </is>
      </c>
      <c r="N15" s="2" t="inlineStr">
        <is>
          <t>化机</t>
        </is>
      </c>
      <c r="O15" s="2" t="inlineStr">
        <is>
          <t>本科</t>
        </is>
      </c>
      <c r="P15" s="2" t="inlineStr">
        <is>
          <t>市场开发部</t>
        </is>
      </c>
      <c r="Q15" s="2" t="inlineStr">
        <is>
          <t>孙珍</t>
        </is>
      </c>
      <c r="R15" s="2" t="inlineStr">
        <is>
          <t>女</t>
        </is>
      </c>
      <c r="S15" s="2" t="inlineStr">
        <is>
          <t>1996-08-12</t>
        </is>
      </c>
      <c r="T15" s="2" t="inlineStr">
        <is>
          <t>主管工程师</t>
        </is>
      </c>
      <c r="U15" s="2" t="inlineStr">
        <is>
          <t>南京空军气象学院</t>
        </is>
      </c>
      <c r="V15" s="2" t="inlineStr">
        <is>
          <t>仪表</t>
        </is>
      </c>
      <c r="W15" s="2" t="inlineStr">
        <is>
          <t>大专</t>
        </is>
      </c>
      <c r="X15" s="2" t="inlineStr">
        <is>
          <t>B.按时推进：基本能卡着时间点完成，不掉链子。</t>
        </is>
      </c>
      <c r="Y15" s="2" t="inlineStr">
        <is>
          <t>B.基本稳定：偶有小瑕疵，但不影响整体使用。</t>
        </is>
      </c>
      <c r="Z15" s="2" t="inlineStr">
        <is>
          <t>B.比较省心：只需定期同步一下进度，不需要主管盯着细节，能独立把事情办成。</t>
        </is>
      </c>
      <c r="AA15" s="2" t="inlineStr">
        <is>
          <t>B.清楚岗位：对自己岗位的活儿很门清，略知上下游。</t>
        </is>
      </c>
      <c r="AB15" s="2" t="inlineStr">
        <is>
          <t>B.尽力而为：能解决大部分问题，解决不了的会及时求助。</t>
        </is>
      </c>
      <c r="AC15" s="2" t="inlineStr">
        <is>
          <t>A.模范标兵：严于律己，从未在琐事上让主管费心。</t>
        </is>
      </c>
      <c r="AD15" s="2" t="inlineStr">
        <is>
          <t>B.偶尔思考：在主管启发下，能提出一些优化想法</t>
        </is>
      </c>
      <c r="AE15" s="2" t="inlineStr">
        <is>
          <t>B.正常沟通：能清晰表达需求，维持基本的协作。</t>
        </is>
      </c>
      <c r="AF15" s="2" t="inlineStr">
        <is>
          <t>B.有问有答：问到时能说清楚进度，基本能做到及时反馈。</t>
        </is>
      </c>
      <c r="AG15" s="2" t="inlineStr">
        <is>
          <t>B.稳定器：做好自己，不给团队添乱，是可靠的一员。</t>
        </is>
      </c>
      <c r="AH15" s="2" t="inlineStr">
        <is>
          <t>B.懂得求助：在尝试后会及时向主管或同事反馈，寻求资源支持。</t>
        </is>
      </c>
      <c r="AI15" s="2" t="inlineStr">
        <is>
          <t>B. 配合接受：主管安排了就干，不推辞。</t>
        </is>
      </c>
      <c r="AJ15" s="2" t="inlineStr">
        <is>
          <t>B.配合度高：虽然有压力，但能服从大局，咬牙顶上去，且质量尚可。</t>
        </is>
      </c>
      <c r="AK15" s="2" t="inlineStr">
        <is>
          <t>A.虚心求教：能听进去，并积极探讨更科学的方法。</t>
        </is>
      </c>
      <c r="AL15" s="2" t="inlineStr">
        <is>
          <t>B.正常上手：经过简单培训或指导，能很快投入应用。</t>
        </is>
      </c>
      <c r="AM15" s="2" t="inlineStr">
        <is>
          <t>B.愿意传帮带：平时爱分享避坑指南，能带徒弟。</t>
        </is>
      </c>
      <c r="AN15" s="2" t="inlineStr">
        <is>
          <t>B.中上水平：高于平均线，是团队的中流砥柱。</t>
        </is>
      </c>
      <c r="AO15" s="2" t="inlineStr">
        <is>
          <t>B.业务骨干：是团队不可或缺的腰部力量。</t>
        </is>
      </c>
      <c r="AP15" s="2" t="inlineStr">
        <is>
          <t>B.有点可惜：是个好手，需要费心再找一个相同水准的。</t>
        </is>
      </c>
      <c r="AQ15" s="2" t="inlineStr">
        <is>
          <t>B</t>
        </is>
      </c>
      <c r="AR15" s="2" t="inlineStr">
        <is>
          <t>A</t>
        </is>
      </c>
      <c r="AS15" s="2" t="inlineStr">
        <is>
          <t>不一致</t>
        </is>
      </c>
      <c r="AT15" s="2" t="inlineStr">
        <is>
          <t>A</t>
        </is>
      </c>
      <c r="AU15" s="2" t="inlineStr">
        <is>
          <t>5档</t>
        </is>
      </c>
      <c r="AV15" s="3" t="n">
        <v>9400</v>
      </c>
      <c r="AW15" s="3" t="n">
        <v>7520</v>
      </c>
      <c r="AX15" s="3" t="n">
        <v>11280</v>
      </c>
      <c r="AY15" s="2" t="inlineStr">
        <is>
          <t>B</t>
        </is>
      </c>
      <c r="AZ15" s="2" t="inlineStr">
        <is>
          <t>业务能力强，按时保质完成各项工作。</t>
        </is>
      </c>
      <c r="BA15" s="7" t="n">
        <v>3</v>
      </c>
      <c r="BB15" s="7" t="n">
        <v>4</v>
      </c>
      <c r="BC15" s="7" t="n">
        <v>4</v>
      </c>
      <c r="BD15" s="7" t="n">
        <v>4</v>
      </c>
      <c r="BE15" s="7" t="n">
        <v>4</v>
      </c>
      <c r="BF15" s="7" t="n">
        <v>5</v>
      </c>
      <c r="BG15" s="7" t="n">
        <v>4</v>
      </c>
      <c r="BH15" s="7" t="n">
        <v>3.5</v>
      </c>
      <c r="BI15" s="7" t="n">
        <v>4</v>
      </c>
      <c r="BJ15" s="7" t="n">
        <v>4</v>
      </c>
      <c r="BK15" s="7" t="n">
        <v>3</v>
      </c>
      <c r="BL15" s="7" t="n">
        <v>4</v>
      </c>
      <c r="BM15" s="7" t="n">
        <v>4</v>
      </c>
      <c r="BN15" s="7" t="n">
        <v>4</v>
      </c>
      <c r="BO15" s="7" t="n">
        <v>5</v>
      </c>
      <c r="BP15" s="7" t="n">
        <v>4</v>
      </c>
      <c r="BQ15" s="7" t="n">
        <v>4</v>
      </c>
      <c r="BR15" s="7" t="n">
        <v>4</v>
      </c>
      <c r="BS15" s="7" t="n">
        <v>4</v>
      </c>
      <c r="BT15" s="7" t="n">
        <v>4</v>
      </c>
      <c r="BU15" s="7" t="n">
        <v>79.5</v>
      </c>
      <c r="BV15" s="2"/>
      <c r="BW15" s="2"/>
      <c r="BX15" s="2"/>
      <c r="BY15" s="6">
        <f>HYPERLINK("https://www.h3yun.com/Form/Attachments/?schemacode=D148357733993cc00c048ad9898e53f5f82cbb9&amp;bizObjectId=5d26bf7f-ddf8-4bd3-a567-592ea437e1da&amp;name=F0000016","点击查看")</f>
        <v>0</v>
      </c>
      <c r="BZ15" s="2" t="inlineStr">
        <is>
          <t>2026-05-25 16:12:27</t>
        </is>
      </c>
      <c r="CA15" s="2"/>
      <c r="CB15" s="2" t="inlineStr">
        <is>
          <t>已提交</t>
        </is>
      </c>
      <c r="CC15" s="2" t="inlineStr">
        <is>
          <t>高级工程师</t>
        </is>
      </c>
      <c r="CD15" s="2" t="inlineStr">
        <is>
          <t>一级建造师、一级造价师</t>
        </is>
      </c>
      <c r="CE15" s="2" t="inlineStr">
        <is>
          <t>无</t>
        </is>
      </c>
      <c r="CF15" s="2"/>
      <c r="CG15" s="2" t="inlineStr">
        <is>
          <t>320923197411302725</t>
        </is>
      </c>
      <c r="CH15" s="2" t="inlineStr">
        <is>
          <t>已生效</t>
        </is>
      </c>
      <c r="CI15" s="2" t="inlineStr">
        <is>
          <t>35634656-54e3-48fa-bdd8-deefc9eaa96c</t>
        </is>
      </c>
      <c r="CJ15" s="3" t="n">
        <v>1</v>
      </c>
      <c r="CK15" s="2" t="inlineStr">
        <is>
          <t>近三年至少担任过一个合同额1500万元以上项目相应岗位的主管</t>
        </is>
      </c>
      <c r="CL15" s="2" t="inlineStr">
        <is>
          <t>近三年至少担任过一个合同额1500万元以上项目相应岗位的主管</t>
        </is>
      </c>
      <c r="CM15" s="2" t="inlineStr">
        <is>
          <t>南化建司劳2017-1号文-南京南化建设有限公司施工一线专业序列人员分级管理规定</t>
        </is>
      </c>
      <c r="CN15" s="2" t="inlineStr">
        <is>
          <t>第三章第2条B类</t>
        </is>
      </c>
      <c r="CO15" s="2" t="inlineStr">
        <is>
          <t>否</t>
        </is>
      </c>
      <c r="CP15" s="2" t="inlineStr">
        <is>
          <t>无</t>
        </is>
      </c>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t="inlineStr">
        <is>
          <t>ad6a528d-14c5-4647-8365-bb506b0c9afe</t>
        </is>
      </c>
      <c r="CJ16" s="3" t="n">
        <v>2</v>
      </c>
      <c r="CK16" s="2" t="inlineStr">
        <is>
          <t>公司二级单位或公司职能部门推荐</t>
        </is>
      </c>
      <c r="CL16" s="2" t="inlineStr">
        <is>
          <t>公司二级单位或公司职能部门推荐</t>
        </is>
      </c>
      <c r="CM16" s="2" t="inlineStr">
        <is>
          <t>南化建司劳2017-1号文-南京南化建设有限公司施工一线专业序列人员分级管理规定</t>
        </is>
      </c>
      <c r="CN16" s="2" t="inlineStr">
        <is>
          <t>第三章第2条B类</t>
        </is>
      </c>
      <c r="CO16" s="2" t="inlineStr">
        <is>
          <t>否</t>
        </is>
      </c>
      <c r="CP16" s="2" t="inlineStr">
        <is>
          <t>无</t>
        </is>
      </c>
    </row>
    <row r="17">
      <c r="A17" s="2" t="inlineStr">
        <is>
          <t>59144869-d931-4f39-81c5-349eb856ff43</t>
        </is>
      </c>
      <c r="B17" s="2" t="inlineStr">
        <is>
          <t>C.均衡，工作负荷一般，按部就班完成工作，除了突发时间几乎不用加班</t>
        </is>
      </c>
      <c r="C17" s="2" t="inlineStr">
        <is>
          <t>市场开发部    李鑫    男    鲍玮玮</t>
        </is>
      </c>
      <c r="D17" s="2" t="inlineStr">
        <is>
          <t>Anonymous</t>
        </is>
      </c>
      <c r="E17" s="2" t="inlineStr">
        <is>
          <t>Anonymous</t>
        </is>
      </c>
      <c r="F17" s="2"/>
      <c r="G17" s="2" t="inlineStr">
        <is>
          <t>2026-05-25 16:11:55</t>
        </is>
      </c>
      <c r="H17" s="2" t="inlineStr">
        <is>
          <t>鲍玮玮</t>
        </is>
      </c>
      <c r="I17" s="2" t="inlineStr">
        <is>
          <t>342129198311270820</t>
        </is>
      </c>
      <c r="J17" s="2" t="inlineStr">
        <is>
          <t>女</t>
        </is>
      </c>
      <c r="K17" s="2" t="inlineStr">
        <is>
          <t>市场开发部</t>
        </is>
      </c>
      <c r="L17" s="2" t="inlineStr">
        <is>
          <t>2005-08-02</t>
        </is>
      </c>
      <c r="M17" s="2" t="inlineStr">
        <is>
          <t>安徽理工大学</t>
        </is>
      </c>
      <c r="N17" s="2" t="inlineStr">
        <is>
          <t>土建</t>
        </is>
      </c>
      <c r="O17" s="2" t="inlineStr">
        <is>
          <t>本科</t>
        </is>
      </c>
      <c r="P17" s="2" t="inlineStr">
        <is>
          <t>市场开发部</t>
        </is>
      </c>
      <c r="Q17" s="2" t="inlineStr">
        <is>
          <t>李鑫</t>
        </is>
      </c>
      <c r="R17" s="2" t="inlineStr">
        <is>
          <t>男</t>
        </is>
      </c>
      <c r="S17" s="2" t="inlineStr">
        <is>
          <t>2005-08-27</t>
        </is>
      </c>
      <c r="T17" s="2" t="inlineStr">
        <is>
          <t>专业工程师</t>
        </is>
      </c>
      <c r="U17" s="2" t="inlineStr">
        <is>
          <t>金肯学院</t>
        </is>
      </c>
      <c r="V17" s="2" t="inlineStr">
        <is>
          <t>土建</t>
        </is>
      </c>
      <c r="W17" s="2" t="inlineStr">
        <is>
          <t>大专</t>
        </is>
      </c>
      <c r="X17" s="2" t="inlineStr">
        <is>
          <t>A.积极高效：经常提前完成，且质量超出预期。</t>
        </is>
      </c>
      <c r="Y17" s="2" t="inlineStr">
        <is>
          <t>B.基本稳定：偶有小瑕疵，但不影响整体使用。</t>
        </is>
      </c>
      <c r="Z17" s="2" t="inlineStr">
        <is>
          <t>B.比较省心：只需定期同步一下进度，不需要主管盯着细节，能独立把事情办成。</t>
        </is>
      </c>
      <c r="AA17" s="2" t="inlineStr">
        <is>
          <t>B.清楚岗位：对自己岗位的活儿很门清，略知上下游。</t>
        </is>
      </c>
      <c r="AB17" s="2" t="inlineStr">
        <is>
          <t>B.尽力而为：能解决大部分问题，解决不了的会及时求助。</t>
        </is>
      </c>
      <c r="AC17" s="2" t="inlineStr">
        <is>
          <t>A.模范标兵：严于律己，从未在琐事上让主管费心。</t>
        </is>
      </c>
      <c r="AD17" s="2" t="inlineStr">
        <is>
          <t>B.偶尔思考：在主管启发下，能提出一些优化想法</t>
        </is>
      </c>
      <c r="AE17" s="2" t="inlineStr">
        <is>
          <t>B.正常沟通：能清晰表达需求，维持基本的协作。</t>
        </is>
      </c>
      <c r="AF17" s="2" t="inlineStr">
        <is>
          <t>B.有问有答：问到时能说清楚进度，基本能做到及时反馈。</t>
        </is>
      </c>
      <c r="AG17" s="2" t="inlineStr">
        <is>
          <t>B.稳定器：做好自己，不给团队添乱，是可靠的一员。</t>
        </is>
      </c>
      <c r="AH17" s="2" t="inlineStr">
        <is>
          <t>B.懂得求助：在尝试后会及时向主管或同事反馈，寻求资源支持。</t>
        </is>
      </c>
      <c r="AI17" s="2" t="inlineStr">
        <is>
          <t>B. 配合接受：主管安排了就干，不推辞。</t>
        </is>
      </c>
      <c r="AJ17" s="2" t="inlineStr">
        <is>
          <t>B.配合度高：虽然有压力，但能服从大局，咬牙顶上去，且质量尚可。</t>
        </is>
      </c>
      <c r="AK17" s="2" t="inlineStr">
        <is>
          <t>B.照单全收：态度很好，虽然不一定完全理解，但会按要求改。</t>
        </is>
      </c>
      <c r="AL17" s="2" t="inlineStr">
        <is>
          <t>B.正常上手：经过简单培训或指导，能很快投入应用。</t>
        </is>
      </c>
      <c r="AM17" s="2" t="inlineStr">
        <is>
          <t>B.愿意传帮带：平时爱分享避坑指南，能带徒弟。</t>
        </is>
      </c>
      <c r="AN17" s="2" t="inlineStr">
        <is>
          <t>B.中上水平：高于平均线，是团队的中流砥柱。</t>
        </is>
      </c>
      <c r="AO17" s="2" t="inlineStr">
        <is>
          <t>B.业务骨干：是团队不可或缺的腰部力量。</t>
        </is>
      </c>
      <c r="AP17" s="2" t="inlineStr">
        <is>
          <t>B.有点可惜：是个好手，需要费心再找一个相同水准的。</t>
        </is>
      </c>
      <c r="AQ17" s="2" t="inlineStr">
        <is>
          <t>B</t>
        </is>
      </c>
      <c r="AR17" s="2" t="inlineStr">
        <is>
          <t>A</t>
        </is>
      </c>
      <c r="AS17" s="2" t="inlineStr">
        <is>
          <t>不一致</t>
        </is>
      </c>
      <c r="AT17" s="2" t="inlineStr">
        <is>
          <t>A</t>
        </is>
      </c>
      <c r="AU17" s="2" t="inlineStr">
        <is>
          <t>4档</t>
        </is>
      </c>
      <c r="AV17" s="3" t="n">
        <v>9200</v>
      </c>
      <c r="AW17" s="3" t="n">
        <v>7360</v>
      </c>
      <c r="AX17" s="3" t="n">
        <v>11040</v>
      </c>
      <c r="AY17" s="2" t="inlineStr">
        <is>
          <t>B</t>
        </is>
      </c>
      <c r="AZ17" s="2" t="inlineStr">
        <is>
          <t>该员工工作交付稳定可靠，是团队中的核心骨干。纪律表现良好，面对边缘任务不推诿；跨部门沟通顺畅，反馈意识良好，在团队中扮演稳定器角色。工作负荷均衡，学习能力良好，乐于分享经验、承担传帮带职责，岗位胜任力处于中上水平。建议后续进一步强化主动思考意识，加深业务上下游理解，拓展全局视野，向更成熟的核心业务骨干迈进。</t>
        </is>
      </c>
      <c r="BA17" s="7" t="n">
        <v>5</v>
      </c>
      <c r="BB17" s="7" t="n">
        <v>4</v>
      </c>
      <c r="BC17" s="7" t="n">
        <v>4</v>
      </c>
      <c r="BD17" s="7" t="n">
        <v>4</v>
      </c>
      <c r="BE17" s="7" t="n">
        <v>4</v>
      </c>
      <c r="BF17" s="7" t="n">
        <v>5</v>
      </c>
      <c r="BG17" s="7" t="n">
        <v>4</v>
      </c>
      <c r="BH17" s="7" t="n">
        <v>3.5</v>
      </c>
      <c r="BI17" s="7" t="n">
        <v>4</v>
      </c>
      <c r="BJ17" s="7" t="n">
        <v>4</v>
      </c>
      <c r="BK17" s="7" t="n">
        <v>3</v>
      </c>
      <c r="BL17" s="7" t="n">
        <v>4</v>
      </c>
      <c r="BM17" s="7" t="n">
        <v>3</v>
      </c>
      <c r="BN17" s="7" t="n">
        <v>4</v>
      </c>
      <c r="BO17" s="7" t="n">
        <v>3</v>
      </c>
      <c r="BP17" s="7" t="n">
        <v>4</v>
      </c>
      <c r="BQ17" s="7" t="n">
        <v>4</v>
      </c>
      <c r="BR17" s="7" t="n">
        <v>4</v>
      </c>
      <c r="BS17" s="7" t="n">
        <v>4</v>
      </c>
      <c r="BT17" s="7" t="n">
        <v>4</v>
      </c>
      <c r="BU17" s="7" t="n">
        <v>78.5</v>
      </c>
      <c r="BV17" s="2"/>
      <c r="BW17" s="2"/>
      <c r="BX17" s="2"/>
      <c r="BY17" s="6">
        <f>HYPERLINK("https://www.h3yun.com/Form/Attachments/?schemacode=D148357733993cc00c048ad9898e53f5f82cbb9&amp;bizObjectId=59144869-d931-4f39-81c5-349eb856ff43&amp;name=F0000016","点击查看")</f>
        <v>0</v>
      </c>
      <c r="BZ17" s="2" t="inlineStr">
        <is>
          <t>2026-05-25 16:11:55</t>
        </is>
      </c>
      <c r="CA17" s="2"/>
      <c r="CB17" s="2" t="inlineStr">
        <is>
          <t>已提交</t>
        </is>
      </c>
      <c r="CC17" s="2" t="inlineStr">
        <is>
          <t>工程师</t>
        </is>
      </c>
      <c r="CD17" s="2" t="inlineStr">
        <is>
          <t>无</t>
        </is>
      </c>
      <c r="CE17" s="2" t="inlineStr">
        <is>
          <t>优秀员工</t>
        </is>
      </c>
      <c r="CF17" s="2"/>
      <c r="CG17" s="2" t="inlineStr">
        <is>
          <t>320112198310290018</t>
        </is>
      </c>
      <c r="CH17" s="2" t="inlineStr">
        <is>
          <t>已生效</t>
        </is>
      </c>
      <c r="CI17" s="2" t="inlineStr">
        <is>
          <t>44cd1024-71cd-40b4-b659-d18f2f2ba8d8</t>
        </is>
      </c>
      <c r="CJ17" s="3" t="n">
        <v>1</v>
      </c>
      <c r="CK17" s="2" t="inlineStr">
        <is>
          <t>近三年至少担任过一个合同额1500万元以上项目相应岗位的主管</t>
        </is>
      </c>
      <c r="CL17" s="2" t="inlineStr">
        <is>
          <t>近三年至少担任过一个合同额1500万元以上项目相应岗位的主管</t>
        </is>
      </c>
      <c r="CM17" s="2" t="inlineStr">
        <is>
          <t>南化建司劳2017-1号文-南京南化建设有限公司施工一线专业序列人员分级管理规定</t>
        </is>
      </c>
      <c r="CN17" s="2" t="inlineStr">
        <is>
          <t>第三章第2条B类</t>
        </is>
      </c>
      <c r="CO17" s="2" t="inlineStr">
        <is>
          <t>否</t>
        </is>
      </c>
      <c r="CP17" s="2" t="inlineStr">
        <is>
          <t>/</t>
        </is>
      </c>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t="inlineStr">
        <is>
          <t>56cd52c2-2d8c-434b-ba31-95b89870617f</t>
        </is>
      </c>
      <c r="CJ18" s="3" t="n">
        <v>2</v>
      </c>
      <c r="CK18" s="2" t="inlineStr">
        <is>
          <t>公司二级单位或公司职能部门推荐</t>
        </is>
      </c>
      <c r="CL18" s="2" t="inlineStr">
        <is>
          <t>公司二级单位或公司职能部门推荐</t>
        </is>
      </c>
      <c r="CM18" s="2" t="inlineStr">
        <is>
          <t>南化建司劳2017-1号文-南京南化建设有限公司施工一线专业序列人员分级管理规定</t>
        </is>
      </c>
      <c r="CN18" s="2" t="inlineStr">
        <is>
          <t>第三章第2条B类</t>
        </is>
      </c>
      <c r="CO18" s="2" t="inlineStr">
        <is>
          <t>否</t>
        </is>
      </c>
      <c r="CP18" s="2" t="inlineStr">
        <is>
          <t>/</t>
        </is>
      </c>
    </row>
    <row r="19">
      <c r="A19" s="2" t="inlineStr">
        <is>
          <t>1e57b584-febe-41c4-8d1d-cf4585b52018</t>
        </is>
      </c>
      <c r="B19" s="2" t="inlineStr">
        <is>
          <t>B.满负荷，平时工作就很忙，偶尔因为非突发时间也要加班</t>
        </is>
      </c>
      <c r="C19" s="2" t="inlineStr">
        <is>
          <t>市场开发部    汤媛    女    荀月娥</t>
        </is>
      </c>
      <c r="D19" s="2" t="inlineStr">
        <is>
          <t>Anonymous</t>
        </is>
      </c>
      <c r="E19" s="2" t="inlineStr">
        <is>
          <t>Anonymous</t>
        </is>
      </c>
      <c r="F19" s="2"/>
      <c r="G19" s="2" t="inlineStr">
        <is>
          <t>2026-05-25 16:08:08</t>
        </is>
      </c>
      <c r="H19" s="2" t="inlineStr">
        <is>
          <t>荀月娥</t>
        </is>
      </c>
      <c r="I19" s="2" t="inlineStr">
        <is>
          <t>32091119760925062X</t>
        </is>
      </c>
      <c r="J19" s="2" t="inlineStr">
        <is>
          <t>女</t>
        </is>
      </c>
      <c r="K19" s="2" t="inlineStr">
        <is>
          <t>市场开发部</t>
        </is>
      </c>
      <c r="L19" s="2" t="inlineStr">
        <is>
          <t>1999-08-12</t>
        </is>
      </c>
      <c r="M19" s="2" t="inlineStr">
        <is>
          <t>沈阳化工学院</t>
        </is>
      </c>
      <c r="N19" s="2" t="inlineStr">
        <is>
          <t>化机</t>
        </is>
      </c>
      <c r="O19" s="2" t="inlineStr">
        <is>
          <t>本科</t>
        </is>
      </c>
      <c r="P19" s="2" t="inlineStr">
        <is>
          <t>市场开发部</t>
        </is>
      </c>
      <c r="Q19" s="2" t="inlineStr">
        <is>
          <t>汤媛</t>
        </is>
      </c>
      <c r="R19" s="2" t="inlineStr">
        <is>
          <t>女</t>
        </is>
      </c>
      <c r="S19" s="2" t="inlineStr">
        <is>
          <t>1995-08-01</t>
        </is>
      </c>
      <c r="T19" s="2" t="inlineStr">
        <is>
          <t>主管工程师</t>
        </is>
      </c>
      <c r="U19" s="2" t="inlineStr">
        <is>
          <t>淮南化校</t>
        </is>
      </c>
      <c r="V19" s="2" t="inlineStr">
        <is>
          <t>仪表</t>
        </is>
      </c>
      <c r="W19" s="2" t="inlineStr">
        <is>
          <t>中专</t>
        </is>
      </c>
      <c r="X19" s="2" t="inlineStr">
        <is>
          <t>B.按时推进：基本能卡着时间点完成，不掉链子。</t>
        </is>
      </c>
      <c r="Y19" s="2" t="inlineStr">
        <is>
          <t>B.基本稳定：偶有小瑕疵，但不影响整体使用。</t>
        </is>
      </c>
      <c r="Z19" s="2" t="inlineStr">
        <is>
          <t>B.比较省心：只需定期同步一下进度，不需要主管盯着细节，能独立把事情办成。</t>
        </is>
      </c>
      <c r="AA19" s="2" t="inlineStr">
        <is>
          <t>B.清楚岗位：对自己岗位的活儿很门清，略知上下游。</t>
        </is>
      </c>
      <c r="AB19" s="2" t="inlineStr">
        <is>
          <t>B.尽力而为：能解决大部分问题，解决不了的会及时求助。</t>
        </is>
      </c>
      <c r="AC19" s="2" t="inlineStr">
        <is>
          <t>A.模范标兵：严于律己，从未在琐事上让主管费心。</t>
        </is>
      </c>
      <c r="AD19" s="2" t="inlineStr">
        <is>
          <t>B.偶尔思考：在主管启发下，能提出一些优化想法</t>
        </is>
      </c>
      <c r="AE19" s="2" t="inlineStr">
        <is>
          <t>B.正常沟通：能清晰表达需求，维持基本的协作。</t>
        </is>
      </c>
      <c r="AF19" s="2" t="inlineStr">
        <is>
          <t>B.有问有答：问到时能说清楚进度，基本能做到及时反馈。</t>
        </is>
      </c>
      <c r="AG19" s="2" t="inlineStr">
        <is>
          <t>B.稳定器：做好自己，不给团队添乱，是可靠的一员。</t>
        </is>
      </c>
      <c r="AH19" s="2" t="inlineStr">
        <is>
          <t>B.懂得求助：在尝试后会及时向主管或同事反馈，寻求资源支持。</t>
        </is>
      </c>
      <c r="AI19" s="2" t="inlineStr">
        <is>
          <t>B. 配合接受：主管安排了就干，不推辞。</t>
        </is>
      </c>
      <c r="AJ19" s="2" t="inlineStr">
        <is>
          <t>B.配合度高：虽然有压力，但能服从大局，咬牙顶上去，且质量尚可。</t>
        </is>
      </c>
      <c r="AK19" s="2" t="inlineStr">
        <is>
          <t>B.照单全收：态度很好，虽然不一定完全理解，但会按要求改。</t>
        </is>
      </c>
      <c r="AL19" s="2" t="inlineStr">
        <is>
          <t>B.正常上手：经过简单培训或指导，能很快投入应用。</t>
        </is>
      </c>
      <c r="AM19" s="2" t="inlineStr">
        <is>
          <t>B.愿意传帮带：平时爱分享避坑指南，能带徒弟。</t>
        </is>
      </c>
      <c r="AN19" s="2" t="inlineStr">
        <is>
          <t>B.中上水平：高于平均线，是团队的中流砥柱。</t>
        </is>
      </c>
      <c r="AO19" s="2" t="inlineStr">
        <is>
          <t>B.业务骨干：是团队不可或缺的腰部力量。</t>
        </is>
      </c>
      <c r="AP19" s="2" t="inlineStr">
        <is>
          <t>B.有点可惜：是个好手，需要费心再找一个相同水准的。</t>
        </is>
      </c>
      <c r="AQ19" s="2" t="inlineStr">
        <is>
          <t>B</t>
        </is>
      </c>
      <c r="AR19" s="2" t="inlineStr">
        <is>
          <t>A</t>
        </is>
      </c>
      <c r="AS19" s="2" t="inlineStr">
        <is>
          <t>不一致</t>
        </is>
      </c>
      <c r="AT19" s="2" t="inlineStr">
        <is>
          <t>A</t>
        </is>
      </c>
      <c r="AU19" s="2" t="inlineStr">
        <is>
          <t>5档</t>
        </is>
      </c>
      <c r="AV19" s="3" t="n">
        <v>9400</v>
      </c>
      <c r="AW19" s="3" t="n">
        <v>7520</v>
      </c>
      <c r="AX19" s="3" t="n">
        <v>11280</v>
      </c>
      <c r="AY19" s="2" t="inlineStr">
        <is>
          <t>B</t>
        </is>
      </c>
      <c r="AZ19" s="2" t="inlineStr">
        <is>
          <t>工作能力强，按时按质完成各项任务、</t>
        </is>
      </c>
      <c r="BA19" s="7" t="n">
        <v>3</v>
      </c>
      <c r="BB19" s="7" t="n">
        <v>4</v>
      </c>
      <c r="BC19" s="7" t="n">
        <v>4</v>
      </c>
      <c r="BD19" s="7" t="n">
        <v>4</v>
      </c>
      <c r="BE19" s="7" t="n">
        <v>4</v>
      </c>
      <c r="BF19" s="7" t="n">
        <v>5</v>
      </c>
      <c r="BG19" s="7" t="n">
        <v>4</v>
      </c>
      <c r="BH19" s="7" t="n">
        <v>3.5</v>
      </c>
      <c r="BI19" s="7" t="n">
        <v>4</v>
      </c>
      <c r="BJ19" s="7" t="n">
        <v>4</v>
      </c>
      <c r="BK19" s="7" t="n">
        <v>3</v>
      </c>
      <c r="BL19" s="7" t="n">
        <v>4</v>
      </c>
      <c r="BM19" s="7" t="n">
        <v>4</v>
      </c>
      <c r="BN19" s="7" t="n">
        <v>4</v>
      </c>
      <c r="BO19" s="7" t="n">
        <v>3</v>
      </c>
      <c r="BP19" s="7" t="n">
        <v>4</v>
      </c>
      <c r="BQ19" s="7" t="n">
        <v>4</v>
      </c>
      <c r="BR19" s="7" t="n">
        <v>4</v>
      </c>
      <c r="BS19" s="7" t="n">
        <v>4</v>
      </c>
      <c r="BT19" s="7" t="n">
        <v>4</v>
      </c>
      <c r="BU19" s="7" t="n">
        <v>77.5</v>
      </c>
      <c r="BV19" s="2"/>
      <c r="BW19" s="2"/>
      <c r="BX19" s="2"/>
      <c r="BY19" s="6">
        <f>HYPERLINK("https://www.h3yun.com/Form/Attachments/?schemacode=D148357733993cc00c048ad9898e53f5f82cbb9&amp;bizObjectId=1e57b584-febe-41c4-8d1d-cf4585b52018&amp;name=F0000016","点击查看")</f>
        <v>0</v>
      </c>
      <c r="BZ19" s="2" t="inlineStr">
        <is>
          <t>2026-05-25 16:08:08</t>
        </is>
      </c>
      <c r="CA19" s="2"/>
      <c r="CB19" s="2" t="inlineStr">
        <is>
          <t>已提交</t>
        </is>
      </c>
      <c r="CC19" s="2" t="inlineStr">
        <is>
          <t>高级工程师</t>
        </is>
      </c>
      <c r="CD19" s="2" t="inlineStr">
        <is>
          <t>一造</t>
        </is>
      </c>
      <c r="CE19" s="2" t="inlineStr">
        <is>
          <t>无</t>
        </is>
      </c>
      <c r="CF19" s="2"/>
      <c r="CG19" s="2" t="inlineStr">
        <is>
          <t>34040319751102126X</t>
        </is>
      </c>
      <c r="CH19" s="2" t="inlineStr">
        <is>
          <t>已生效</t>
        </is>
      </c>
      <c r="CI19" s="2" t="inlineStr">
        <is>
          <t>b885c51d-ef0b-4ee3-a55c-946c73d1ff55</t>
        </is>
      </c>
      <c r="CJ19" s="3" t="n">
        <v>1</v>
      </c>
      <c r="CK19" s="2" t="inlineStr">
        <is>
          <t>近三年至少担任过一个合同额1500万元以上项目相应岗位的主管</t>
        </is>
      </c>
      <c r="CL19" s="2" t="inlineStr">
        <is>
          <t>近三年至少担任过一个合同额1500万元以上项目相应岗位的主管</t>
        </is>
      </c>
      <c r="CM19" s="2" t="inlineStr">
        <is>
          <t>南化建司劳2017-1号文-南京南化建设有限公司施工一线专业序列人员分级管理规定</t>
        </is>
      </c>
      <c r="CN19" s="2" t="inlineStr">
        <is>
          <t>第三章第2条B类</t>
        </is>
      </c>
      <c r="CO19" s="2" t="inlineStr">
        <is>
          <t>否</t>
        </is>
      </c>
      <c r="CP19" s="2" t="inlineStr">
        <is>
          <t>无</t>
        </is>
      </c>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t="inlineStr">
        <is>
          <t>e00ddd56-8f11-432b-a090-46aa823eb906</t>
        </is>
      </c>
      <c r="CJ20" s="3" t="n">
        <v>2</v>
      </c>
      <c r="CK20" s="2" t="inlineStr">
        <is>
          <t>公司二级单位或公司职能部门推荐</t>
        </is>
      </c>
      <c r="CL20" s="2" t="inlineStr">
        <is>
          <t>公司二级单位或公司职能部门推荐</t>
        </is>
      </c>
      <c r="CM20" s="2" t="inlineStr">
        <is>
          <t>南化建司劳2017-1号文-南京南化建设有限公司施工一线专业序列人员分级管理规定</t>
        </is>
      </c>
      <c r="CN20" s="2" t="inlineStr">
        <is>
          <t>第三章第2条B类</t>
        </is>
      </c>
      <c r="CO20" s="2" t="inlineStr">
        <is>
          <t>否</t>
        </is>
      </c>
      <c r="CP20" s="2" t="inlineStr">
        <is>
          <t>无</t>
        </is>
      </c>
    </row>
    <row r="21">
      <c r="A21" s="2" t="inlineStr">
        <is>
          <t>1510ecbf-3c2c-4b0d-86f7-506d3efcd3da</t>
        </is>
      </c>
      <c r="B21" s="2" t="inlineStr">
        <is>
          <t>D.欠饱和，没想起来给他布置工作的话很可能就是闲着</t>
        </is>
      </c>
      <c r="C21" s="2" t="inlineStr">
        <is>
          <t>市场开发部    戴翔宇    男    鲍玮玮</t>
        </is>
      </c>
      <c r="D21" s="2" t="inlineStr">
        <is>
          <t>Anonymous</t>
        </is>
      </c>
      <c r="E21" s="2" t="inlineStr">
        <is>
          <t>Anonymous</t>
        </is>
      </c>
      <c r="F21" s="2"/>
      <c r="G21" s="2" t="inlineStr">
        <is>
          <t>2026-05-25 16:04:09</t>
        </is>
      </c>
      <c r="H21" s="2" t="inlineStr">
        <is>
          <t>鲍玮玮</t>
        </is>
      </c>
      <c r="I21" s="2" t="inlineStr">
        <is>
          <t>342129198311270820</t>
        </is>
      </c>
      <c r="J21" s="2" t="inlineStr">
        <is>
          <t>女</t>
        </is>
      </c>
      <c r="K21" s="2" t="inlineStr">
        <is>
          <t>市场开发部</t>
        </is>
      </c>
      <c r="L21" s="2" t="inlineStr">
        <is>
          <t>2005-08-02</t>
        </is>
      </c>
      <c r="M21" s="2" t="inlineStr">
        <is>
          <t>安徽理工大学</t>
        </is>
      </c>
      <c r="N21" s="2" t="inlineStr">
        <is>
          <t>土建</t>
        </is>
      </c>
      <c r="O21" s="2" t="inlineStr">
        <is>
          <t>本科</t>
        </is>
      </c>
      <c r="P21" s="2" t="inlineStr">
        <is>
          <t>市场开发部</t>
        </is>
      </c>
      <c r="Q21" s="2" t="inlineStr">
        <is>
          <t>戴翔宇</t>
        </is>
      </c>
      <c r="R21" s="2" t="inlineStr">
        <is>
          <t>男</t>
        </is>
      </c>
      <c r="S21" s="2" t="inlineStr">
        <is>
          <t>2018-08-01</t>
        </is>
      </c>
      <c r="T21" s="2" t="inlineStr">
        <is>
          <t>专业工程师</t>
        </is>
      </c>
      <c r="U21" s="2" t="inlineStr">
        <is>
          <t>东南大学成贤学院</t>
        </is>
      </c>
      <c r="V21" s="2" t="inlineStr">
        <is>
          <t>土建</t>
        </is>
      </c>
      <c r="W21" s="2" t="inlineStr">
        <is>
          <t>本科</t>
        </is>
      </c>
      <c r="X21" s="2" t="inlineStr">
        <is>
          <t>C.拖沓被动：需要主管反复催促，才能勉强按时交差。</t>
        </is>
      </c>
      <c r="Y21" s="2" t="inlineStr">
        <is>
          <t>C.看心情/状态：状态好时不错，状态差时漏洞百出。</t>
        </is>
      </c>
      <c r="Z21" s="2" t="inlineStr">
        <is>
          <t>D.费心费力：必须主管手把手教、盯着改，占用了主管大量的精力和时间。</t>
        </is>
      </c>
      <c r="AA21" s="2" t="inlineStr">
        <is>
          <t>C.只知其一：只知道自己怎么操作，不知道为什么要这么做。</t>
        </is>
      </c>
      <c r="AB21" s="2" t="inlineStr">
        <is>
          <t>B.尽力而为：能解决大部分问题，解决不了的会及时求助。</t>
        </is>
      </c>
      <c r="AC21" s="2" t="inlineStr">
        <is>
          <t>A.模范标兵：严于律己，从未在琐事上让主管费心。</t>
        </is>
      </c>
      <c r="AD21" s="2" t="inlineStr">
        <is>
          <t>B.偶尔思考：在主管启发下，能提出一些优化想法</t>
        </is>
      </c>
      <c r="AE21" s="2" t="inlineStr">
        <is>
          <t>B.正常沟通：能清晰表达需求，维持基本的协作。</t>
        </is>
      </c>
      <c r="AF21" s="2" t="inlineStr">
        <is>
          <t>C.偶尔断片：答应得好好的，但中间不反馈，非得主管去追。</t>
        </is>
      </c>
      <c r="AG21" s="2" t="inlineStr">
        <is>
          <t>B.稳定器：做好自己，不给团队添乱，是可靠的一员。</t>
        </is>
      </c>
      <c r="AH21" s="2" t="inlineStr">
        <is>
          <t>B.懂得求助：在尝试后会及时向主管或同事反馈，寻求资源支持。</t>
        </is>
      </c>
      <c r="AI21" s="2" t="inlineStr">
        <is>
          <t>B. 配合接受：主管安排了就干，不推辞。</t>
        </is>
      </c>
      <c r="AJ21" s="2" t="inlineStr">
        <is>
          <t>C.较为配合：不抱怨，但压力较大时，工作质量会随之下滑。</t>
        </is>
      </c>
      <c r="AK21" s="2" t="inlineStr">
        <is>
          <t>B.照单全收：态度很好，虽然不一定完全理解，但会按要求改。</t>
        </is>
      </c>
      <c r="AL21" s="2" t="inlineStr">
        <is>
          <t>B.正常上手：经过简单培训或指导，能很快投入应用。</t>
        </is>
      </c>
      <c r="AM21" s="2" t="inlineStr">
        <is>
          <t>B.愿意传帮带：平时爱分享避坑指南，能带徒弟。</t>
        </is>
      </c>
      <c r="AN21" s="2" t="inlineStr">
        <is>
          <t>C.中规中矩：刚好达标，替代性较强。</t>
        </is>
      </c>
      <c r="AO21" s="2" t="inlineStr">
        <is>
          <t>C.熟练工：能胜任重复性工作，但很难承担更高阶的挑战。</t>
        </is>
      </c>
      <c r="AP21" s="2" t="inlineStr">
        <is>
          <t>C.正常更替：走就走吧，招个新人培养一下也没什么区别。</t>
        </is>
      </c>
      <c r="AQ21" s="2" t="inlineStr">
        <is>
          <t>C</t>
        </is>
      </c>
      <c r="AR21" s="2" t="inlineStr">
        <is>
          <t>C</t>
        </is>
      </c>
      <c r="AS21" s="2" t="inlineStr">
        <is>
          <t>一致</t>
        </is>
      </c>
      <c r="AT21" s="2" t="inlineStr">
        <is>
          <t>C</t>
        </is>
      </c>
      <c r="AU21" s="2" t="inlineStr">
        <is>
          <t>2档</t>
        </is>
      </c>
      <c r="AV21" s="3" t="n">
        <v>6300</v>
      </c>
      <c r="AW21" s="3" t="n">
        <v>5040</v>
      </c>
      <c r="AX21" s="3" t="n">
        <v>7560</v>
      </c>
      <c r="AY21" s="2" t="inlineStr">
        <is>
          <t>D</t>
        </is>
      </c>
      <c r="AZ21" s="2" t="inlineStr">
        <is>
          <t>该员工纪律表现良好,学习能力尚可，但工作责任心不强，主动性不足，技术能力一般，存在拖延被动情况，需主管反复催促才能交差，交付质量问题较多，需主管手把手跟进，占用较多管理精力；建议后续重点提升工作技能，主动性与闭环反馈意识，建立自主跟进与自查机制，同时主动拓展业务全局认知，减少对主管的依赖，提升交付稳定性与岗位价值。</t>
        </is>
      </c>
      <c r="BA21" s="7" t="n">
        <v>2</v>
      </c>
      <c r="BB21" s="7" t="n">
        <v>2</v>
      </c>
      <c r="BC21" s="7" t="n">
        <v>1</v>
      </c>
      <c r="BD21" s="7" t="n">
        <v>2</v>
      </c>
      <c r="BE21" s="7" t="n">
        <v>4</v>
      </c>
      <c r="BF21" s="7" t="n">
        <v>5</v>
      </c>
      <c r="BG21" s="7" t="n">
        <v>4</v>
      </c>
      <c r="BH21" s="7" t="n">
        <v>3.5</v>
      </c>
      <c r="BI21" s="7" t="n">
        <v>2</v>
      </c>
      <c r="BJ21" s="7" t="n">
        <v>4</v>
      </c>
      <c r="BK21" s="7" t="n">
        <v>3</v>
      </c>
      <c r="BL21" s="7" t="n">
        <v>4</v>
      </c>
      <c r="BM21" s="7" t="n">
        <v>2</v>
      </c>
      <c r="BN21" s="7" t="n">
        <v>3</v>
      </c>
      <c r="BO21" s="7" t="n">
        <v>3</v>
      </c>
      <c r="BP21" s="7" t="n">
        <v>4</v>
      </c>
      <c r="BQ21" s="7" t="n">
        <v>4</v>
      </c>
      <c r="BR21" s="7" t="n">
        <v>3</v>
      </c>
      <c r="BS21" s="7" t="n">
        <v>3</v>
      </c>
      <c r="BT21" s="7" t="n">
        <v>3</v>
      </c>
      <c r="BU21" s="7" t="n">
        <v>61.5</v>
      </c>
      <c r="BV21" s="2"/>
      <c r="BW21" s="2"/>
      <c r="BX21" s="2"/>
      <c r="BY21" s="6">
        <f>HYPERLINK("https://www.h3yun.com/Form/Attachments/?schemacode=D148357733993cc00c048ad9898e53f5f82cbb9&amp;bizObjectId=1510ecbf-3c2c-4b0d-86f7-506d3efcd3da&amp;name=F0000016","点击查看")</f>
        <v>0</v>
      </c>
      <c r="BZ21" s="2" t="inlineStr">
        <is>
          <t>2026-05-25 16:04:09</t>
        </is>
      </c>
      <c r="CA21" s="2"/>
      <c r="CB21" s="2" t="inlineStr">
        <is>
          <t>已提交</t>
        </is>
      </c>
      <c r="CC21" s="2" t="inlineStr">
        <is>
          <t>无</t>
        </is>
      </c>
      <c r="CD21" s="2" t="inlineStr">
        <is>
          <t>无</t>
        </is>
      </c>
      <c r="CE21" s="2" t="inlineStr">
        <is>
          <t>无</t>
        </is>
      </c>
      <c r="CF21" s="2"/>
      <c r="CG21" s="2" t="inlineStr">
        <is>
          <t>320112199512240419</t>
        </is>
      </c>
      <c r="CH21" s="2" t="inlineStr">
        <is>
          <t>已生效</t>
        </is>
      </c>
      <c r="CI21" s="2" t="inlineStr">
        <is>
          <t>5968def3-3e35-47ac-9f36-17586532666a</t>
        </is>
      </c>
      <c r="CJ21" s="3" t="n">
        <v>1</v>
      </c>
      <c r="CK21" s="2" t="inlineStr">
        <is>
          <t>该成员存在一线工作履历</t>
        </is>
      </c>
      <c r="CL21" s="2" t="inlineStr">
        <is>
          <t>该成员存在一线工作履历</t>
        </is>
      </c>
      <c r="CM21" s="2" t="inlineStr">
        <is>
          <t>南化建司劳2017-1号文-南京南化建设有限公司施工一线专业序列人员分级管理规定</t>
        </is>
      </c>
      <c r="CN21" s="2" t="inlineStr">
        <is>
          <t>第三章第6条D类</t>
        </is>
      </c>
      <c r="CO21" s="2" t="inlineStr">
        <is>
          <t>是</t>
        </is>
      </c>
      <c r="CP21" s="2" t="inlineStr">
        <is>
          <t>/</t>
        </is>
      </c>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t="inlineStr">
        <is>
          <t>745b924f-ad5f-498c-ba6c-dc4bc065aa8f</t>
        </is>
      </c>
      <c r="CJ22" s="3" t="n">
        <v>2</v>
      </c>
      <c r="CK22" s="2" t="inlineStr">
        <is>
          <t>近五年内该成员存在一线工作履历</t>
        </is>
      </c>
      <c r="CL22" s="2" t="inlineStr">
        <is>
          <t>近五年内该成员存在一线工作履历</t>
        </is>
      </c>
      <c r="CM22" s="2" t="inlineStr">
        <is>
          <t>南化建司劳2017-1号文-南京南化建设有限公司施工一线专业序列人员分级管理规定</t>
        </is>
      </c>
      <c r="CN22" s="2" t="inlineStr">
        <is>
          <t>第三章第6条D类</t>
        </is>
      </c>
      <c r="CO22" s="2" t="inlineStr">
        <is>
          <t>是</t>
        </is>
      </c>
      <c r="CP22" s="2" t="inlineStr">
        <is>
          <t>/</t>
        </is>
      </c>
    </row>
    <row r="23">
      <c r="A23" s="2" t="inlineStr">
        <is>
          <t>2885d61a-6e41-495d-afcd-3fea244920f9</t>
        </is>
      </c>
      <c r="B23" s="2" t="inlineStr">
        <is>
          <t>B.满负荷，平时工作就很忙，偶尔因为非突发时间也要加班</t>
        </is>
      </c>
      <c r="C23" s="2" t="inlineStr">
        <is>
          <t>市场开发部    夏凤琴    女    荀月娥</t>
        </is>
      </c>
      <c r="D23" s="2" t="inlineStr">
        <is>
          <t>Anonymous</t>
        </is>
      </c>
      <c r="E23" s="2" t="inlineStr">
        <is>
          <t>Anonymous</t>
        </is>
      </c>
      <c r="F23" s="2"/>
      <c r="G23" s="2" t="inlineStr">
        <is>
          <t>2026-05-25 16:01:29</t>
        </is>
      </c>
      <c r="H23" s="2" t="inlineStr">
        <is>
          <t>荀月娥</t>
        </is>
      </c>
      <c r="I23" s="2" t="inlineStr">
        <is>
          <t>32091119760925062X</t>
        </is>
      </c>
      <c r="J23" s="2" t="inlineStr">
        <is>
          <t>女</t>
        </is>
      </c>
      <c r="K23" s="2" t="inlineStr">
        <is>
          <t>市场开发部</t>
        </is>
      </c>
      <c r="L23" s="2" t="inlineStr">
        <is>
          <t>1999-08-12</t>
        </is>
      </c>
      <c r="M23" s="2" t="inlineStr">
        <is>
          <t>沈阳化工学院</t>
        </is>
      </c>
      <c r="N23" s="2" t="inlineStr">
        <is>
          <t>化机</t>
        </is>
      </c>
      <c r="O23" s="2" t="inlineStr">
        <is>
          <t>本科</t>
        </is>
      </c>
      <c r="P23" s="2" t="inlineStr">
        <is>
          <t>市场开发部</t>
        </is>
      </c>
      <c r="Q23" s="2" t="inlineStr">
        <is>
          <t>夏凤琴</t>
        </is>
      </c>
      <c r="R23" s="2" t="inlineStr">
        <is>
          <t>女</t>
        </is>
      </c>
      <c r="S23" s="2" t="inlineStr">
        <is>
          <t>2004-08-05</t>
        </is>
      </c>
      <c r="T23" s="2" t="inlineStr">
        <is>
          <t>专业工程师</t>
        </is>
      </c>
      <c r="U23" s="2" t="inlineStr">
        <is>
          <t>安徽理工大学</t>
        </is>
      </c>
      <c r="V23" s="2"/>
      <c r="W23" s="2" t="inlineStr">
        <is>
          <t>大专</t>
        </is>
      </c>
      <c r="X23" s="2" t="inlineStr">
        <is>
          <t>A.积极高效：经常提前完成，且质量超出预期。</t>
        </is>
      </c>
      <c r="Y23" s="2" t="inlineStr">
        <is>
          <t>A.始终如一：无论任务大小，交付件标准都很高。</t>
        </is>
      </c>
      <c r="Z23" s="2" t="inlineStr">
        <is>
          <t>B.比较省心：只需定期同步一下进度，不需要主管盯着细节，能独立把事情办成。</t>
        </is>
      </c>
      <c r="AA23" s="2" t="inlineStr">
        <is>
          <t>B.清楚岗位：对自己岗位的活儿很门清，略知上下游。</t>
        </is>
      </c>
      <c r="AB23" s="2" t="inlineStr">
        <is>
          <t>B.尽力而为：能解决大部分问题，解决不了的会及时求助。</t>
        </is>
      </c>
      <c r="AC23" s="2" t="inlineStr">
        <is>
          <t>A.模范标兵：严于律己，从未在琐事上让主管费心。</t>
        </is>
      </c>
      <c r="AD23" s="2" t="inlineStr">
        <is>
          <t>A.持续优化：经常提出改进流程、提升效率的实用建议</t>
        </is>
      </c>
      <c r="AE23" s="2" t="inlineStr">
        <is>
          <t>B.正常沟通：能清晰表达需求，维持基本的协作。</t>
        </is>
      </c>
      <c r="AF23" s="2" t="inlineStr">
        <is>
          <t>B.有问有答：问到时能说清楚进度，基本能做到及时反馈。</t>
        </is>
      </c>
      <c r="AG23" s="2" t="inlineStr">
        <is>
          <t>B.稳定器：做好自己，不给团队添乱，是可靠的一员。</t>
        </is>
      </c>
      <c r="AH23" s="2" t="inlineStr">
        <is>
          <t>B.懂得求助：在尝试后会及时向主管或同事反馈，寻求资源支持。</t>
        </is>
      </c>
      <c r="AI23" s="2" t="inlineStr">
        <is>
          <t>B. 配合接受：主管安排了就干，不推辞。</t>
        </is>
      </c>
      <c r="AJ23" s="2" t="inlineStr">
        <is>
          <t>B.配合度高：虽然有压力，但能服从大局，咬牙顶上去，且质量尚可。</t>
        </is>
      </c>
      <c r="AK23" s="2" t="inlineStr">
        <is>
          <t>A.虚心求教：能听进去，并积极探讨更科学的方法。</t>
        </is>
      </c>
      <c r="AL23" s="2" t="inlineStr">
        <is>
          <t>B.正常上手：经过简单培训或指导，能很快投入应用。</t>
        </is>
      </c>
      <c r="AM23" s="2" t="inlineStr">
        <is>
          <t>B.愿意传帮带：平时爱分享避坑指南，能带徒弟。</t>
        </is>
      </c>
      <c r="AN23" s="2" t="inlineStr">
        <is>
          <t>B.中上水平：高于平均线，是团队的中流砥柱。</t>
        </is>
      </c>
      <c r="AO23" s="2" t="inlineStr">
        <is>
          <t>B.业务骨干：是团队不可或缺的腰部力量。</t>
        </is>
      </c>
      <c r="AP23" s="2" t="inlineStr">
        <is>
          <t>B.有点可惜：是个好手，需要费心再找一个相同水准的。</t>
        </is>
      </c>
      <c r="AQ23" s="2" t="inlineStr">
        <is>
          <t>B</t>
        </is>
      </c>
      <c r="AR23" s="2" t="inlineStr">
        <is>
          <t>A</t>
        </is>
      </c>
      <c r="AS23" s="2" t="inlineStr">
        <is>
          <t>不一致</t>
        </is>
      </c>
      <c r="AT23" s="2" t="inlineStr">
        <is>
          <t>A</t>
        </is>
      </c>
      <c r="AU23" s="2" t="inlineStr">
        <is>
          <t>5档</t>
        </is>
      </c>
      <c r="AV23" s="3" t="n">
        <v>9400</v>
      </c>
      <c r="AW23" s="3" t="n">
        <v>7520</v>
      </c>
      <c r="AX23" s="3" t="n">
        <v>11280</v>
      </c>
      <c r="AY23" s="2" t="inlineStr">
        <is>
          <t>B</t>
        </is>
      </c>
      <c r="AZ23" s="2" t="inlineStr">
        <is>
          <t>业务能力强，能保质保量超预期完成分配任务。</t>
        </is>
      </c>
      <c r="BA23" s="7" t="n">
        <v>5</v>
      </c>
      <c r="BB23" s="7" t="n">
        <v>5</v>
      </c>
      <c r="BC23" s="7" t="n">
        <v>4</v>
      </c>
      <c r="BD23" s="7" t="n">
        <v>4</v>
      </c>
      <c r="BE23" s="7" t="n">
        <v>4</v>
      </c>
      <c r="BF23" s="7" t="n">
        <v>5</v>
      </c>
      <c r="BG23" s="7" t="n">
        <v>5</v>
      </c>
      <c r="BH23" s="7" t="n">
        <v>3.5</v>
      </c>
      <c r="BI23" s="7" t="n">
        <v>4</v>
      </c>
      <c r="BJ23" s="7" t="n">
        <v>4</v>
      </c>
      <c r="BK23" s="7" t="n">
        <v>3</v>
      </c>
      <c r="BL23" s="7" t="n">
        <v>4</v>
      </c>
      <c r="BM23" s="7" t="n">
        <v>4</v>
      </c>
      <c r="BN23" s="7" t="n">
        <v>4</v>
      </c>
      <c r="BO23" s="7" t="n">
        <v>5</v>
      </c>
      <c r="BP23" s="7" t="n">
        <v>4</v>
      </c>
      <c r="BQ23" s="7" t="n">
        <v>4</v>
      </c>
      <c r="BR23" s="7" t="n">
        <v>4</v>
      </c>
      <c r="BS23" s="7" t="n">
        <v>4</v>
      </c>
      <c r="BT23" s="7" t="n">
        <v>4</v>
      </c>
      <c r="BU23" s="7" t="n">
        <v>83.5</v>
      </c>
      <c r="BV23" s="2"/>
      <c r="BW23" s="2"/>
      <c r="BX23" s="2"/>
      <c r="BY23" s="6">
        <f>HYPERLINK("https://www.h3yun.com/Form/Attachments/?schemacode=D148357733993cc00c048ad9898e53f5f82cbb9&amp;bizObjectId=2885d61a-6e41-495d-afcd-3fea244920f9&amp;name=F0000016","点击查看")</f>
        <v>0</v>
      </c>
      <c r="BZ23" s="2" t="inlineStr">
        <is>
          <t>2026-05-25 16:01:29</t>
        </is>
      </c>
      <c r="CA23" s="2"/>
      <c r="CB23" s="2" t="inlineStr">
        <is>
          <t>已提交</t>
        </is>
      </c>
      <c r="CC23" s="2" t="inlineStr">
        <is>
          <t>工程师</t>
        </is>
      </c>
      <c r="CD23" s="2" t="inlineStr">
        <is>
          <t>一建</t>
        </is>
      </c>
      <c r="CE23" s="2" t="inlineStr">
        <is>
          <t>无</t>
        </is>
      </c>
      <c r="CF23" s="2"/>
      <c r="CG23" s="2" t="inlineStr">
        <is>
          <t>341221198101304125</t>
        </is>
      </c>
      <c r="CH23" s="2" t="inlineStr">
        <is>
          <t>已生效</t>
        </is>
      </c>
      <c r="CI23" s="2" t="inlineStr">
        <is>
          <t>b1d3c164-bdbc-4a36-91ed-c16b957bb4c3</t>
        </is>
      </c>
      <c r="CJ23" s="3" t="n">
        <v>1</v>
      </c>
      <c r="CK23" s="2" t="inlineStr">
        <is>
          <t>近三年至少担任过一个合同额1500万元以上项目相应岗位的主管</t>
        </is>
      </c>
      <c r="CL23" s="2" t="inlineStr">
        <is>
          <t>近三年至少担任过一个合同额1500万元以上项目相应岗位的主管</t>
        </is>
      </c>
      <c r="CM23" s="2" t="inlineStr">
        <is>
          <t>南化建司劳2017-1号文-南京南化建设有限公司施工一线专业序列人员分级管理规定</t>
        </is>
      </c>
      <c r="CN23" s="2" t="inlineStr">
        <is>
          <t>第三章第2条B类</t>
        </is>
      </c>
      <c r="CO23" s="2" t="inlineStr">
        <is>
          <t>否</t>
        </is>
      </c>
      <c r="CP23" s="2" t="inlineStr">
        <is>
          <t>无</t>
        </is>
      </c>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t="inlineStr">
        <is>
          <t>18894085-2eeb-413b-b52d-39093a4d6cf3</t>
        </is>
      </c>
      <c r="CJ24" s="3" t="n">
        <v>2</v>
      </c>
      <c r="CK24" s="2" t="inlineStr">
        <is>
          <t>公司二级单位或公司职能部门推荐</t>
        </is>
      </c>
      <c r="CL24" s="2" t="inlineStr">
        <is>
          <t>公司二级单位或公司职能部门推荐</t>
        </is>
      </c>
      <c r="CM24" s="2" t="inlineStr">
        <is>
          <t>南化建司劳2017-1号文-南京南化建设有限公司施工一线专业序列人员分级管理规定</t>
        </is>
      </c>
      <c r="CN24" s="2" t="inlineStr">
        <is>
          <t>第三章第2条B类</t>
        </is>
      </c>
      <c r="CO24" s="2" t="inlineStr">
        <is>
          <t>否</t>
        </is>
      </c>
      <c r="CP24" s="2" t="inlineStr">
        <is>
          <t>无</t>
        </is>
      </c>
    </row>
    <row r="25">
      <c r="A25" s="2" t="inlineStr">
        <is>
          <t>59d1dfe2-cd92-43a5-a914-c9823a06636a</t>
        </is>
      </c>
      <c r="B25" s="2" t="inlineStr">
        <is>
          <t>B.满负荷，平时工作就很忙，偶尔因为非突发时间也要加班</t>
        </is>
      </c>
      <c r="C25" s="2" t="inlineStr">
        <is>
          <t>市场开发部    李兰兰    女    荀月娥</t>
        </is>
      </c>
      <c r="D25" s="2" t="inlineStr">
        <is>
          <t>Anonymous</t>
        </is>
      </c>
      <c r="E25" s="2" t="inlineStr">
        <is>
          <t>Anonymous</t>
        </is>
      </c>
      <c r="F25" s="2"/>
      <c r="G25" s="2" t="inlineStr">
        <is>
          <t>2026-05-26 18:42:01</t>
        </is>
      </c>
      <c r="H25" s="2" t="inlineStr">
        <is>
          <t>荀月娥</t>
        </is>
      </c>
      <c r="I25" s="2" t="inlineStr">
        <is>
          <t>32091119760925062X</t>
        </is>
      </c>
      <c r="J25" s="2" t="inlineStr">
        <is>
          <t>女</t>
        </is>
      </c>
      <c r="K25" s="2" t="inlineStr">
        <is>
          <t>市场开发部</t>
        </is>
      </c>
      <c r="L25" s="2" t="inlineStr">
        <is>
          <t>1999-08-12</t>
        </is>
      </c>
      <c r="M25" s="2" t="inlineStr">
        <is>
          <t>沈阳化工学院</t>
        </is>
      </c>
      <c r="N25" s="2" t="inlineStr">
        <is>
          <t>化机</t>
        </is>
      </c>
      <c r="O25" s="2" t="inlineStr">
        <is>
          <t>本科</t>
        </is>
      </c>
      <c r="P25" s="2" t="inlineStr">
        <is>
          <t>市场开发部</t>
        </is>
      </c>
      <c r="Q25" s="2" t="inlineStr">
        <is>
          <t>李兰兰</t>
        </is>
      </c>
      <c r="R25" s="2" t="inlineStr">
        <is>
          <t>女</t>
        </is>
      </c>
      <c r="S25" s="2" t="inlineStr">
        <is>
          <t>2005-08-01</t>
        </is>
      </c>
      <c r="T25" s="2" t="inlineStr">
        <is>
          <t>主管工程师</t>
        </is>
      </c>
      <c r="U25" s="2" t="inlineStr">
        <is>
          <t>安徽理工大学</t>
        </is>
      </c>
      <c r="V25" s="2" t="inlineStr">
        <is>
          <t>化机</t>
        </is>
      </c>
      <c r="W25" s="2" t="inlineStr">
        <is>
          <t>大专</t>
        </is>
      </c>
      <c r="X25" s="2" t="inlineStr">
        <is>
          <t>A.积极高效：经常提前完成，且质量超出预期。</t>
        </is>
      </c>
      <c r="Y25" s="2" t="inlineStr">
        <is>
          <t>A.始终如一：无论任务大小，交付件标准都很高。</t>
        </is>
      </c>
      <c r="Z25" s="2" t="inlineStr">
        <is>
          <t>B.比较省心：只需定期同步一下进度，不需要主管盯着细节，能独立把事情办成。</t>
        </is>
      </c>
      <c r="AA25" s="2" t="inlineStr">
        <is>
          <t>A.全局视野：了解上下游，能站在全业务链条考虑问题。</t>
        </is>
      </c>
      <c r="AB25" s="2" t="inlineStr">
        <is>
          <t>A.攻坚克难：会想尽一切办法钻研，直至彻底解决。</t>
        </is>
      </c>
      <c r="AC25" s="2" t="inlineStr">
        <is>
          <t>A.模范标兵：严于律己，从未在琐事上让主管费心。</t>
        </is>
      </c>
      <c r="AD25" s="2" t="inlineStr">
        <is>
          <t>A.持续优化：经常提出改进流程、提升效率的实用建议</t>
        </is>
      </c>
      <c r="AE25" s="2" t="inlineStr">
        <is>
          <t>B.正常沟通：能清晰表达需求，维持基本的协作。</t>
        </is>
      </c>
      <c r="AF25" s="2" t="inlineStr">
        <is>
          <t>A.完美闭环：进展、难点、结果都会主动汇报，无需催促。</t>
        </is>
      </c>
      <c r="AG25" s="2" t="inlineStr">
        <is>
          <t>A.动力源：像小太阳，主动分享、帮人解惑，带活团队。</t>
        </is>
      </c>
      <c r="AH25" s="2" t="inlineStr">
        <is>
          <t>A.整合高手：能迅速找到能帮上忙的人和资源，借力打力解决问题。</t>
        </is>
      </c>
      <c r="AI25" s="2" t="inlineStr">
        <is>
          <t>B. 配合接受：主管安排了就干，不推辞。</t>
        </is>
      </c>
      <c r="AJ25" s="2" t="inlineStr">
        <is>
          <t>A.越战越勇：能扛住压力，保持冷静，高效处理紧急事务。</t>
        </is>
      </c>
      <c r="AK25" s="2" t="inlineStr">
        <is>
          <t>A.虚心求教：能听进去，并积极探讨更科学的方法。</t>
        </is>
      </c>
      <c r="AL25" s="2" t="inlineStr">
        <is>
          <t>A.极速掌握：自学能力极强，很快就能成为该领域的“百晓生”。</t>
        </is>
      </c>
      <c r="AM25" s="2" t="inlineStr">
        <is>
          <t>B.愿意传帮带：平时爱分享避坑指南，能带徒弟。</t>
        </is>
      </c>
      <c r="AN25" s="2" t="inlineStr">
        <is>
          <t>A.第一梯队（Top 10%）：部门的标杆。</t>
        </is>
      </c>
      <c r="AO25" s="2" t="inlineStr">
        <is>
          <t>B.业务骨干：是团队不可或缺的腰部力量。</t>
        </is>
      </c>
      <c r="AP25" s="2" t="inlineStr">
        <is>
          <t>B.有点可惜：是个好手，需要费心再找一个相同水准的。</t>
        </is>
      </c>
      <c r="AQ25" s="2" t="inlineStr">
        <is>
          <t>A</t>
        </is>
      </c>
      <c r="AR25" s="2" t="inlineStr">
        <is>
          <t>S</t>
        </is>
      </c>
      <c r="AS25" s="2" t="inlineStr">
        <is>
          <t>不一致</t>
        </is>
      </c>
      <c r="AT25" s="2" t="inlineStr">
        <is>
          <t>S</t>
        </is>
      </c>
      <c r="AU25" s="2" t="inlineStr">
        <is>
          <t>5档</t>
        </is>
      </c>
      <c r="AV25" s="3" t="n">
        <v>10400</v>
      </c>
      <c r="AW25" s="3" t="n">
        <v>8320</v>
      </c>
      <c r="AX25" s="3" t="n">
        <v>12480</v>
      </c>
      <c r="AY25" s="2" t="inlineStr">
        <is>
          <t>A</t>
        </is>
      </c>
      <c r="AZ25" s="2" t="inlineStr">
        <is>
          <t>该员工工作能力强，能积极高效完成各项工作。</t>
        </is>
      </c>
      <c r="BA25" s="7" t="n">
        <v>5</v>
      </c>
      <c r="BB25" s="7" t="n">
        <v>5</v>
      </c>
      <c r="BC25" s="7" t="n">
        <v>4</v>
      </c>
      <c r="BD25" s="7" t="n">
        <v>5</v>
      </c>
      <c r="BE25" s="7" t="n">
        <v>5</v>
      </c>
      <c r="BF25" s="7" t="n">
        <v>5</v>
      </c>
      <c r="BG25" s="7" t="n">
        <v>5</v>
      </c>
      <c r="BH25" s="7" t="n">
        <v>3.5</v>
      </c>
      <c r="BI25" s="7" t="n">
        <v>5</v>
      </c>
      <c r="BJ25" s="7" t="n">
        <v>5</v>
      </c>
      <c r="BK25" s="7" t="n">
        <v>5</v>
      </c>
      <c r="BL25" s="7" t="n">
        <v>4</v>
      </c>
      <c r="BM25" s="7" t="n">
        <v>4</v>
      </c>
      <c r="BN25" s="7" t="n">
        <v>5</v>
      </c>
      <c r="BO25" s="7" t="n">
        <v>5</v>
      </c>
      <c r="BP25" s="7" t="n">
        <v>5</v>
      </c>
      <c r="BQ25" s="7" t="n">
        <v>4</v>
      </c>
      <c r="BR25" s="7" t="n">
        <v>5</v>
      </c>
      <c r="BS25" s="7" t="n">
        <v>4</v>
      </c>
      <c r="BT25" s="7" t="n">
        <v>4</v>
      </c>
      <c r="BU25" s="7" t="n">
        <v>92.5</v>
      </c>
      <c r="BV25" s="2"/>
      <c r="BW25" s="2"/>
      <c r="BX25" s="2"/>
      <c r="BY25" s="6">
        <f>HYPERLINK("https://www.h3yun.com/Form/Attachments/?schemacode=D148357733993cc00c048ad9898e53f5f82cbb9&amp;bizObjectId=59d1dfe2-cd92-43a5-a914-c9823a06636a&amp;name=F0000016","点击查看")</f>
        <v>0</v>
      </c>
      <c r="BZ25" s="2" t="inlineStr">
        <is>
          <t>2026-05-25 15:55:18</t>
        </is>
      </c>
      <c r="CA25" s="2"/>
      <c r="CB25" s="2" t="inlineStr">
        <is>
          <t>已提交</t>
        </is>
      </c>
      <c r="CC25" s="2" t="inlineStr">
        <is>
          <t>高级工程师</t>
        </is>
      </c>
      <c r="CD25" s="2" t="inlineStr">
        <is>
          <t>一建</t>
        </is>
      </c>
      <c r="CE25" s="2" t="inlineStr">
        <is>
          <t>无</t>
        </is>
      </c>
      <c r="CF25" s="2"/>
      <c r="CG25" s="2" t="inlineStr">
        <is>
          <t>340323198206144727</t>
        </is>
      </c>
      <c r="CH25" s="2" t="inlineStr">
        <is>
          <t>已生效</t>
        </is>
      </c>
      <c r="CI25" s="2" t="inlineStr">
        <is>
          <t>9eaec713-6a92-4a8f-a354-1d32a43811ed</t>
        </is>
      </c>
      <c r="CJ25" s="3" t="n">
        <v>1</v>
      </c>
      <c r="CK25" s="2" t="inlineStr">
        <is>
          <t>近三年至少担任过一个合同额 2000万元以上项目的项目经理、施工经理、技术负责人(项目总工程师)、安全经理、质量经理、采购经理、合同控制经理、设计经理等关键岗位中的一个</t>
        </is>
      </c>
      <c r="CL25" s="2" t="inlineStr">
        <is>
          <t>近三年至少担任过一个合同额 2000万元以上项目的项目经理、施工经理、技术负责人(项目总工程师)、安全经理、质量经理、采购经理、合同控制经理、设计经理等关键岗位中的一个</t>
        </is>
      </c>
      <c r="CM25" s="2" t="inlineStr">
        <is>
          <t>南化建司劳2017-1号文-南京南化建设有限公司施工一线专业序列人员分级管理规定</t>
        </is>
      </c>
      <c r="CN25" s="2" t="inlineStr">
        <is>
          <t>第三章第1条A类</t>
        </is>
      </c>
      <c r="CO25" s="2" t="inlineStr">
        <is>
          <t>否</t>
        </is>
      </c>
      <c r="CP25" s="2" t="inlineStr">
        <is>
          <t>无</t>
        </is>
      </c>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t="inlineStr">
        <is>
          <t>d9f3ebe2-4a90-4797-897b-a359cd6b538b</t>
        </is>
      </c>
      <c r="CJ26" s="3" t="n">
        <v>2</v>
      </c>
      <c r="CK26" s="2" t="inlineStr">
        <is>
          <t>公司二级单位或公司职能部门推荐</t>
        </is>
      </c>
      <c r="CL26" s="2" t="inlineStr">
        <is>
          <t>公司二级单位或公司职能部门推荐</t>
        </is>
      </c>
      <c r="CM26" s="2" t="inlineStr">
        <is>
          <t>南化建司劳2017-1号文-南京南化建设有限公司施工一线专业序列人员分级管理规定</t>
        </is>
      </c>
      <c r="CN26" s="2" t="inlineStr">
        <is>
          <t>第三章第1条A类</t>
        </is>
      </c>
      <c r="CO26" s="2" t="inlineStr">
        <is>
          <t>否</t>
        </is>
      </c>
      <c r="CP26" s="2" t="inlineStr">
        <is>
          <t>无</t>
        </is>
      </c>
    </row>
    <row r="27">
      <c r="A27" s="2" t="inlineStr">
        <is>
          <t>07c11479-88ba-4b61-a3b1-95dc55f2f2c2</t>
        </is>
      </c>
      <c r="B27" s="2" t="inlineStr">
        <is>
          <t>C.均衡，工作负荷一般，按部就班完成工作，除了突发时间几乎不用加班</t>
        </is>
      </c>
      <c r="C27" s="2" t="inlineStr">
        <is>
          <t>市场开发部    刘辰宏    男    鲍玮玮</t>
        </is>
      </c>
      <c r="D27" s="2" t="inlineStr">
        <is>
          <t>Anonymous</t>
        </is>
      </c>
      <c r="E27" s="2" t="inlineStr">
        <is>
          <t>Anonymous</t>
        </is>
      </c>
      <c r="F27" s="2"/>
      <c r="G27" s="2" t="inlineStr">
        <is>
          <t>2026-05-25 15:47:39</t>
        </is>
      </c>
      <c r="H27" s="2" t="inlineStr">
        <is>
          <t>鲍玮玮</t>
        </is>
      </c>
      <c r="I27" s="2" t="inlineStr">
        <is>
          <t>342129198311270820</t>
        </is>
      </c>
      <c r="J27" s="2" t="inlineStr">
        <is>
          <t>女</t>
        </is>
      </c>
      <c r="K27" s="2" t="inlineStr">
        <is>
          <t>市场开发部</t>
        </is>
      </c>
      <c r="L27" s="2" t="inlineStr">
        <is>
          <t>2005-08-02</t>
        </is>
      </c>
      <c r="M27" s="2" t="inlineStr">
        <is>
          <t>安徽理工大学</t>
        </is>
      </c>
      <c r="N27" s="2" t="inlineStr">
        <is>
          <t>土建</t>
        </is>
      </c>
      <c r="O27" s="2" t="inlineStr">
        <is>
          <t>本科</t>
        </is>
      </c>
      <c r="P27" s="2" t="inlineStr">
        <is>
          <t>市场开发部</t>
        </is>
      </c>
      <c r="Q27" s="2" t="inlineStr">
        <is>
          <t>刘辰宏</t>
        </is>
      </c>
      <c r="R27" s="2" t="inlineStr">
        <is>
          <t>男</t>
        </is>
      </c>
      <c r="S27" s="2" t="inlineStr">
        <is>
          <t>2020-08-01</t>
        </is>
      </c>
      <c r="T27" s="2" t="inlineStr">
        <is>
          <t>技术助理(二)</t>
        </is>
      </c>
      <c r="U27" s="2" t="inlineStr">
        <is>
          <t>南京科技职业学院</t>
        </is>
      </c>
      <c r="V27" s="2" t="inlineStr">
        <is>
          <t>土建</t>
        </is>
      </c>
      <c r="W27" s="2" t="inlineStr">
        <is>
          <t>大专</t>
        </is>
      </c>
      <c r="X27" s="2" t="inlineStr">
        <is>
          <t>A.积极高效：经常提前完成，且质量超出预期。</t>
        </is>
      </c>
      <c r="Y27" s="2" t="inlineStr">
        <is>
          <t>B.基本稳定：偶有小瑕疵，但不影响整体使用。</t>
        </is>
      </c>
      <c r="Z27" s="2" t="inlineStr">
        <is>
          <t>C.正常跟进：需要主管盯着节点、偶尔提醒进度，或者在跑偏时帮着拽回来。</t>
        </is>
      </c>
      <c r="AA27" s="2" t="inlineStr">
        <is>
          <t>B.清楚岗位：对自己岗位的活儿很门清，略知上下游。</t>
        </is>
      </c>
      <c r="AB27" s="2" t="inlineStr">
        <is>
          <t>B.尽力而为：能解决大部分问题，解决不了的会及时求助。</t>
        </is>
      </c>
      <c r="AC27" s="2" t="inlineStr">
        <is>
          <t>A.模范标兵：严于律己，从未在琐事上让主管费心。</t>
        </is>
      </c>
      <c r="AD27" s="2" t="inlineStr">
        <is>
          <t>B.偶尔思考：在主管启发下，能提出一些优化想法</t>
        </is>
      </c>
      <c r="AE27" s="2" t="inlineStr">
        <is>
          <t>B.正常沟通：能清晰表达需求，维持基本的协作。</t>
        </is>
      </c>
      <c r="AF27" s="2" t="inlineStr">
        <is>
          <t>B.有问有答：问到时能说清楚进度，基本能做到及时反馈。</t>
        </is>
      </c>
      <c r="AG27" s="2" t="inlineStr">
        <is>
          <t>B.稳定器：做好自己，不给团队添乱，是可靠的一员。</t>
        </is>
      </c>
      <c r="AH27" s="2" t="inlineStr">
        <is>
          <t>B.懂得求助：在尝试后会及时向主管或同事反馈，寻求资源支持。</t>
        </is>
      </c>
      <c r="AI27" s="2" t="inlineStr">
        <is>
          <t>B. 配合接受：主管安排了就干，不推辞。</t>
        </is>
      </c>
      <c r="AJ27" s="2" t="inlineStr">
        <is>
          <t>B.配合度高：虽然有压力，但能服从大局，咬牙顶上去，且质量尚可。</t>
        </is>
      </c>
      <c r="AK27" s="2" t="inlineStr">
        <is>
          <t>B.照单全收：态度很好，虽然不一定完全理解，但会按要求改。</t>
        </is>
      </c>
      <c r="AL27" s="2" t="inlineStr">
        <is>
          <t>B.正常上手：经过简单培训或指导，能很快投入应用。</t>
        </is>
      </c>
      <c r="AM27" s="2" t="inlineStr">
        <is>
          <t>B.愿意传帮带：平时爱分享避坑指南，能带徒弟。</t>
        </is>
      </c>
      <c r="AN27" s="2" t="inlineStr">
        <is>
          <t>B.中上水平：高于平均线，是团队的中流砥柱。</t>
        </is>
      </c>
      <c r="AO27" s="2" t="inlineStr">
        <is>
          <t>B.业务骨干：是团队不可或缺的腰部力量。</t>
        </is>
      </c>
      <c r="AP27" s="2" t="inlineStr">
        <is>
          <t>B.有点可惜：是个好手，需要费心再找一个相同水准的。</t>
        </is>
      </c>
      <c r="AQ27" s="2" t="inlineStr">
        <is>
          <t>B</t>
        </is>
      </c>
      <c r="AR27" s="2" t="inlineStr">
        <is>
          <t>A</t>
        </is>
      </c>
      <c r="AS27" s="2" t="inlineStr">
        <is>
          <t>不一致</t>
        </is>
      </c>
      <c r="AT27" s="2" t="inlineStr">
        <is>
          <t>A</t>
        </is>
      </c>
      <c r="AU27" s="2" t="inlineStr">
        <is>
          <t>3档</t>
        </is>
      </c>
      <c r="AV27" s="3" t="n">
        <v>9000</v>
      </c>
      <c r="AW27" s="3" t="n">
        <v>7200</v>
      </c>
      <c r="AX27" s="3" t="n">
        <v>10800</v>
      </c>
      <c r="AY27" s="2" t="inlineStr">
        <is>
          <t>B</t>
        </is>
      </c>
      <c r="AZ27" s="2" t="inlineStr">
        <is>
          <t>该员工是团队中稳定可靠的业务骨干，日常工作较高效，交付质量整体稳定，偶有小瑕疵但不影响使用。任务推进中需主管适度跟进节点，但整体可控；面对业务难点能尽力解决，超出能力范围时会及时求助。纪律表现优异，面对边缘任务能主动配合不推诿，跨部门沟通顺畅，反馈意识良好，在团队中扮演稳定器角色。工作负荷均衡，面对高压场景能服从大局、咬牙顶上，接受批评建议态度端正，整改执行力强。学习能力良好，新业务上手快，岗位胜任力处于中上水平，是团队不可或缺的腰部力量。建议后续工作进一步拓展业务全局视野，强化任务闭环管理，提升主动优化意识，向更成熟的骨干员工迈进。</t>
        </is>
      </c>
      <c r="BA27" s="7" t="n">
        <v>5</v>
      </c>
      <c r="BB27" s="7" t="n">
        <v>4</v>
      </c>
      <c r="BC27" s="7" t="n">
        <v>3</v>
      </c>
      <c r="BD27" s="7" t="n">
        <v>4</v>
      </c>
      <c r="BE27" s="7" t="n">
        <v>4</v>
      </c>
      <c r="BF27" s="7" t="n">
        <v>5</v>
      </c>
      <c r="BG27" s="7" t="n">
        <v>4</v>
      </c>
      <c r="BH27" s="7" t="n">
        <v>3.5</v>
      </c>
      <c r="BI27" s="7" t="n">
        <v>4</v>
      </c>
      <c r="BJ27" s="7" t="n">
        <v>4</v>
      </c>
      <c r="BK27" s="7" t="n">
        <v>3</v>
      </c>
      <c r="BL27" s="7" t="n">
        <v>4</v>
      </c>
      <c r="BM27" s="7" t="n">
        <v>3</v>
      </c>
      <c r="BN27" s="7" t="n">
        <v>4</v>
      </c>
      <c r="BO27" s="7" t="n">
        <v>3</v>
      </c>
      <c r="BP27" s="7" t="n">
        <v>4</v>
      </c>
      <c r="BQ27" s="7" t="n">
        <v>4</v>
      </c>
      <c r="BR27" s="7" t="n">
        <v>4</v>
      </c>
      <c r="BS27" s="7" t="n">
        <v>4</v>
      </c>
      <c r="BT27" s="7" t="n">
        <v>4</v>
      </c>
      <c r="BU27" s="7" t="n">
        <v>77.5</v>
      </c>
      <c r="BV27" s="2"/>
      <c r="BW27" s="2"/>
      <c r="BX27" s="2"/>
      <c r="BY27" s="6">
        <f>HYPERLINK("https://www.h3yun.com/Form/Attachments/?schemacode=D148357733993cc00c048ad9898e53f5f82cbb9&amp;bizObjectId=07c11479-88ba-4b61-a3b1-95dc55f2f2c2&amp;name=F0000016","点击查看")</f>
        <v>0</v>
      </c>
      <c r="BZ27" s="2" t="inlineStr">
        <is>
          <t>2026-05-25 15:47:39</t>
        </is>
      </c>
      <c r="CA27" s="2"/>
      <c r="CB27" s="2" t="inlineStr">
        <is>
          <t>已提交</t>
        </is>
      </c>
      <c r="CC27" s="2" t="inlineStr">
        <is>
          <t>助理工程师</t>
        </is>
      </c>
      <c r="CD27" s="2" t="inlineStr">
        <is>
          <t>无</t>
        </is>
      </c>
      <c r="CE27" s="2" t="inlineStr">
        <is>
          <t>无</t>
        </is>
      </c>
      <c r="CF27" s="2"/>
      <c r="CG27" s="2" t="inlineStr">
        <is>
          <t>320683199906306030</t>
        </is>
      </c>
      <c r="CH27" s="2" t="inlineStr">
        <is>
          <t>已生效</t>
        </is>
      </c>
      <c r="CI27" s="2" t="inlineStr">
        <is>
          <t>72a05649-e717-4380-a6be-06337d805cb3</t>
        </is>
      </c>
      <c r="CJ27" s="3" t="n">
        <v>1</v>
      </c>
      <c r="CK27" s="2" t="inlineStr">
        <is>
          <t>近三年至少担任过一个合同额1500万元以上项目相应岗位的主管</t>
        </is>
      </c>
      <c r="CL27" s="2" t="inlineStr">
        <is>
          <t>近三年至少担任过一个合同额1500万元以上项目相应岗位的主管</t>
        </is>
      </c>
      <c r="CM27" s="2" t="inlineStr">
        <is>
          <t>南化建司劳2017-1号文-南京南化建设有限公司施工一线专业序列人员分级管理规定</t>
        </is>
      </c>
      <c r="CN27" s="2" t="inlineStr">
        <is>
          <t>第三章第2条B类</t>
        </is>
      </c>
      <c r="CO27" s="2" t="inlineStr">
        <is>
          <t>否</t>
        </is>
      </c>
      <c r="CP27" s="2" t="inlineStr">
        <is>
          <t>/</t>
        </is>
      </c>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t="inlineStr">
        <is>
          <t>e0ad1afc-7692-493a-ab01-744b8ad899ff</t>
        </is>
      </c>
      <c r="CJ28" s="3" t="n">
        <v>2</v>
      </c>
      <c r="CK28" s="2" t="inlineStr">
        <is>
          <t>公司二级单位或公司职能部门推荐</t>
        </is>
      </c>
      <c r="CL28" s="2" t="inlineStr">
        <is>
          <t>公司二级单位或公司职能部门推荐</t>
        </is>
      </c>
      <c r="CM28" s="2" t="inlineStr">
        <is>
          <t>南化建司劳2017-1号文-南京南化建设有限公司施工一线专业序列人员分级管理规定</t>
        </is>
      </c>
      <c r="CN28" s="2" t="inlineStr">
        <is>
          <t>第三章第2条B类</t>
        </is>
      </c>
      <c r="CO28" s="2" t="inlineStr">
        <is>
          <t>否</t>
        </is>
      </c>
      <c r="CP28" s="2" t="inlineStr">
        <is>
          <t>/</t>
        </is>
      </c>
    </row>
    <row r="29">
      <c r="A29" s="2" t="inlineStr">
        <is>
          <t>8e940355-ca81-4cc4-80b7-f70a7e0bfd76</t>
        </is>
      </c>
      <c r="B29" s="2" t="inlineStr">
        <is>
          <t>B.满负荷，平时工作就很忙，偶尔因为非突发时间也要加班</t>
        </is>
      </c>
      <c r="C29" s="2" t="inlineStr">
        <is>
          <t>市场开发部    李汶铖    男    黄丙涛</t>
        </is>
      </c>
      <c r="D29" s="2" t="inlineStr">
        <is>
          <t>Anonymous</t>
        </is>
      </c>
      <c r="E29" s="2" t="inlineStr">
        <is>
          <t>Anonymous</t>
        </is>
      </c>
      <c r="F29" s="2"/>
      <c r="G29" s="2" t="inlineStr">
        <is>
          <t>2026-05-26 09:21:05</t>
        </is>
      </c>
      <c r="H29" s="2" t="inlineStr">
        <is>
          <t>黄丙涛</t>
        </is>
      </c>
      <c r="I29" s="2" t="inlineStr">
        <is>
          <t>342401199007161894</t>
        </is>
      </c>
      <c r="J29" s="2" t="inlineStr">
        <is>
          <t>男</t>
        </is>
      </c>
      <c r="K29" s="2" t="inlineStr">
        <is>
          <t>市场开发部</t>
        </is>
      </c>
      <c r="L29" s="2" t="inlineStr">
        <is>
          <t>2012-07-01</t>
        </is>
      </c>
      <c r="M29" s="2" t="inlineStr">
        <is>
          <t>安徽理工大学</t>
        </is>
      </c>
      <c r="N29" s="2" t="inlineStr">
        <is>
          <t>过程装备与控制过程</t>
        </is>
      </c>
      <c r="O29" s="2" t="inlineStr">
        <is>
          <t>本科</t>
        </is>
      </c>
      <c r="P29" s="2" t="inlineStr">
        <is>
          <t>市场开发部</t>
        </is>
      </c>
      <c r="Q29" s="2" t="inlineStr">
        <is>
          <t>李汶铖</t>
        </is>
      </c>
      <c r="R29" s="2" t="inlineStr">
        <is>
          <t>男</t>
        </is>
      </c>
      <c r="S29" s="2" t="inlineStr">
        <is>
          <t>2017-08-01</t>
        </is>
      </c>
      <c r="T29" s="2" t="inlineStr">
        <is>
          <t>专业工程师</t>
        </is>
      </c>
      <c r="U29" s="2" t="inlineStr">
        <is>
          <t>南京大学金陵学院</t>
        </is>
      </c>
      <c r="V29" s="2" t="inlineStr">
        <is>
          <t>土建</t>
        </is>
      </c>
      <c r="W29" s="2" t="inlineStr">
        <is>
          <t>本科</t>
        </is>
      </c>
      <c r="X29" s="2" t="inlineStr">
        <is>
          <t>A.积极高效：经常提前完成，且质量超出预期。</t>
        </is>
      </c>
      <c r="Y29" s="2" t="inlineStr">
        <is>
          <t>A.始终如一：无论任务大小，交付件标准都很高。</t>
        </is>
      </c>
      <c r="Z29" s="2" t="inlineStr">
        <is>
          <t>A.极其省心：只需交代目标，剩下的一律不用管，最后不仅能准时交付，甚至能超出预期。</t>
        </is>
      </c>
      <c r="AA29" s="2" t="inlineStr">
        <is>
          <t>A.全局视野：了解上下游，能站在全业务链条考虑问题。</t>
        </is>
      </c>
      <c r="AB29" s="2" t="inlineStr">
        <is>
          <t>A.攻坚克难：会想尽一切办法钻研，直至彻底解决。</t>
        </is>
      </c>
      <c r="AC29" s="2" t="inlineStr">
        <is>
          <t>A.模范标兵：严于律己，从未在琐事上让主管费心。</t>
        </is>
      </c>
      <c r="AD29" s="2" t="inlineStr">
        <is>
          <t>A.持续优化：经常提出改进流程、提升效率的实用建议</t>
        </is>
      </c>
      <c r="AE29" s="2" t="inlineStr">
        <is>
          <t>B.正常沟通：能清晰表达需求，维持基本的协作。</t>
        </is>
      </c>
      <c r="AF29" s="2" t="inlineStr">
        <is>
          <t>A.完美闭环：进展、难点、结果都会主动汇报，无需催促。</t>
        </is>
      </c>
      <c r="AG29" s="2" t="inlineStr">
        <is>
          <t>B.稳定器：做好自己，不给团队添乱，是可靠的一员。</t>
        </is>
      </c>
      <c r="AH29" s="2" t="inlineStr">
        <is>
          <t>B.懂得求助：在尝试后会及时向主管或同事反馈，寻求资源支持。</t>
        </is>
      </c>
      <c r="AI29" s="2" t="inlineStr">
        <is>
          <t>B. 配合接受：主管安排了就干，不推辞。</t>
        </is>
      </c>
      <c r="AJ29" s="2" t="inlineStr">
        <is>
          <t>B.配合度高：虽然有压力，但能服从大局，咬牙顶上去，且质量尚可。</t>
        </is>
      </c>
      <c r="AK29" s="2" t="inlineStr">
        <is>
          <t>A.虚心求教：能听进去，并积极探讨更科学的方法。</t>
        </is>
      </c>
      <c r="AL29" s="2" t="inlineStr">
        <is>
          <t>A.极速掌握：自学能力极强，很快就能成为该领域的“百晓生”。</t>
        </is>
      </c>
      <c r="AM29" s="2" t="inlineStr">
        <is>
          <t>B.愿意传帮带：平时爱分享避坑指南，能带徒弟。</t>
        </is>
      </c>
      <c r="AN29" s="2" t="inlineStr">
        <is>
          <t>B.中上水平：高于平均线，是团队的中流砥柱。</t>
        </is>
      </c>
      <c r="AO29" s="2" t="inlineStr">
        <is>
          <t>B.业务骨干：是团队不可或缺的腰部力量。</t>
        </is>
      </c>
      <c r="AP29" s="2" t="inlineStr">
        <is>
          <t>B.有点可惜：是个好手，需要费心再找一个相同水准的。</t>
        </is>
      </c>
      <c r="AQ29" s="2" t="inlineStr">
        <is>
          <t>A</t>
        </is>
      </c>
      <c r="AR29" s="2" t="inlineStr">
        <is>
          <t>A</t>
        </is>
      </c>
      <c r="AS29" s="2" t="inlineStr">
        <is>
          <t>一致</t>
        </is>
      </c>
      <c r="AT29" s="2" t="inlineStr">
        <is>
          <t>A</t>
        </is>
      </c>
      <c r="AU29" s="2" t="inlineStr">
        <is>
          <t>4档</t>
        </is>
      </c>
      <c r="AV29" s="3" t="n">
        <v>9200</v>
      </c>
      <c r="AW29" s="3" t="n">
        <v>7360</v>
      </c>
      <c r="AX29" s="3" t="n">
        <v>11040</v>
      </c>
      <c r="AY29" s="2" t="inlineStr">
        <is>
          <t>B</t>
        </is>
      </c>
      <c r="AZ29" s="2" t="inlineStr">
        <is>
          <t>该员工具备一定的自主思考能力，沟通协调能力尚可，在标书编制和进度计划编制等工作中能够完成，具备一定的发现问题的能力</t>
        </is>
      </c>
      <c r="BA29" s="7" t="n">
        <v>5</v>
      </c>
      <c r="BB29" s="7" t="n">
        <v>5</v>
      </c>
      <c r="BC29" s="7" t="n">
        <v>5</v>
      </c>
      <c r="BD29" s="7" t="n">
        <v>5</v>
      </c>
      <c r="BE29" s="7" t="n">
        <v>5</v>
      </c>
      <c r="BF29" s="7" t="n">
        <v>5</v>
      </c>
      <c r="BG29" s="7" t="n">
        <v>5</v>
      </c>
      <c r="BH29" s="7" t="n">
        <v>3.5</v>
      </c>
      <c r="BI29" s="7" t="n">
        <v>5</v>
      </c>
      <c r="BJ29" s="7" t="n">
        <v>4</v>
      </c>
      <c r="BK29" s="7" t="n">
        <v>3</v>
      </c>
      <c r="BL29" s="7" t="n">
        <v>4</v>
      </c>
      <c r="BM29" s="7" t="n">
        <v>4</v>
      </c>
      <c r="BN29" s="7" t="n">
        <v>4</v>
      </c>
      <c r="BO29" s="7" t="n">
        <v>5</v>
      </c>
      <c r="BP29" s="7" t="n">
        <v>5</v>
      </c>
      <c r="BQ29" s="7" t="n">
        <v>4</v>
      </c>
      <c r="BR29" s="7" t="n">
        <v>4</v>
      </c>
      <c r="BS29" s="7" t="n">
        <v>4</v>
      </c>
      <c r="BT29" s="7" t="n">
        <v>4</v>
      </c>
      <c r="BU29" s="7" t="n">
        <v>88.5</v>
      </c>
      <c r="BV29" s="2" t="inlineStr">
        <is>
          <t>A.需要存在，不可去除</t>
        </is>
      </c>
      <c r="BW29" s="2"/>
      <c r="BX29" s="2"/>
      <c r="BY29" s="6">
        <f>HYPERLINK("https://www.h3yun.com/Form/Attachments/?schemacode=D148357733993cc00c048ad9898e53f5f82cbb9&amp;bizObjectId=8e940355-ca81-4cc4-80b7-f70a7e0bfd76&amp;name=F0000016","点击查看")</f>
        <v>0</v>
      </c>
      <c r="BZ29" s="2" t="inlineStr">
        <is>
          <t>2026-05-25 15:45:50</t>
        </is>
      </c>
      <c r="CA29" s="2"/>
      <c r="CB29" s="2" t="inlineStr">
        <is>
          <t>已提交</t>
        </is>
      </c>
      <c r="CC29" s="2" t="inlineStr">
        <is>
          <t>工程师</t>
        </is>
      </c>
      <c r="CD29" s="2" t="inlineStr">
        <is>
          <t>二建、初会</t>
        </is>
      </c>
      <c r="CE29" s="2" t="inlineStr">
        <is>
          <t>无</t>
        </is>
      </c>
      <c r="CF29" s="2"/>
      <c r="CG29" s="2" t="inlineStr">
        <is>
          <t>320981199502115717</t>
        </is>
      </c>
      <c r="CH29" s="2" t="inlineStr">
        <is>
          <t>已生效</t>
        </is>
      </c>
      <c r="CI29" s="2" t="inlineStr">
        <is>
          <t>bf3544ca-ebb5-449e-8225-0ba5413294eb</t>
        </is>
      </c>
      <c r="CJ29" s="3" t="n">
        <v>1</v>
      </c>
      <c r="CK29" s="2" t="inlineStr">
        <is>
          <t>近三年至少担任过一个合同额1500万元以上项目相应岗位的主管</t>
        </is>
      </c>
      <c r="CL29" s="2" t="inlineStr">
        <is>
          <t>近三年至少担任过一个合同额1500万元以上项目相应岗位的主管</t>
        </is>
      </c>
      <c r="CM29" s="2" t="inlineStr">
        <is>
          <t>南化建司劳2017-1号文-南京南化建设有限公司施工一线专业序列人员分级管理规定</t>
        </is>
      </c>
      <c r="CN29" s="2" t="inlineStr">
        <is>
          <t>第三章第2条B类</t>
        </is>
      </c>
      <c r="CO29" s="2" t="inlineStr">
        <is>
          <t>否</t>
        </is>
      </c>
      <c r="CP29" s="2" t="inlineStr">
        <is>
          <t>/</t>
        </is>
      </c>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t="inlineStr">
        <is>
          <t>97301d62-02f7-415a-b7f0-9618f6c6c153</t>
        </is>
      </c>
      <c r="CJ30" s="3" t="n">
        <v>2</v>
      </c>
      <c r="CK30" s="2" t="inlineStr">
        <is>
          <t>公司二级单位或公司职能部门推荐</t>
        </is>
      </c>
      <c r="CL30" s="2" t="inlineStr">
        <is>
          <t>公司二级单位或公司职能部门推荐</t>
        </is>
      </c>
      <c r="CM30" s="2" t="inlineStr">
        <is>
          <t>南化建司劳2017-1号文-南京南化建设有限公司施工一线专业序列人员分级管理规定</t>
        </is>
      </c>
      <c r="CN30" s="2" t="inlineStr">
        <is>
          <t>第三章第2条B类</t>
        </is>
      </c>
      <c r="CO30" s="2" t="inlineStr">
        <is>
          <t>是</t>
        </is>
      </c>
      <c r="CP30" s="2" t="inlineStr">
        <is>
          <t>/</t>
        </is>
      </c>
    </row>
    <row r="31">
      <c r="A31" s="2" t="inlineStr">
        <is>
          <t>34be3200-a4c3-4ae5-ba4f-2f730cdcb5f4</t>
        </is>
      </c>
      <c r="B31" s="2" t="inlineStr">
        <is>
          <t>A.超负荷，平时工作就很忙，经常还要加班</t>
        </is>
      </c>
      <c r="C31" s="2" t="inlineStr">
        <is>
          <t>市场开发部    戈仕骏    男    黄丙涛</t>
        </is>
      </c>
      <c r="D31" s="2" t="inlineStr">
        <is>
          <t>Anonymous</t>
        </is>
      </c>
      <c r="E31" s="2" t="inlineStr">
        <is>
          <t>Anonymous</t>
        </is>
      </c>
      <c r="F31" s="2"/>
      <c r="G31" s="2" t="inlineStr">
        <is>
          <t>2026-05-26 09:21:25</t>
        </is>
      </c>
      <c r="H31" s="2" t="inlineStr">
        <is>
          <t>黄丙涛</t>
        </is>
      </c>
      <c r="I31" s="2" t="inlineStr">
        <is>
          <t>342401199007161894</t>
        </is>
      </c>
      <c r="J31" s="2" t="inlineStr">
        <is>
          <t>男</t>
        </is>
      </c>
      <c r="K31" s="2" t="inlineStr">
        <is>
          <t>市场开发部</t>
        </is>
      </c>
      <c r="L31" s="2" t="inlineStr">
        <is>
          <t>2012-07-01</t>
        </is>
      </c>
      <c r="M31" s="2" t="inlineStr">
        <is>
          <t>安徽理工大学</t>
        </is>
      </c>
      <c r="N31" s="2" t="inlineStr">
        <is>
          <t>过程装备与控制过程</t>
        </is>
      </c>
      <c r="O31" s="2" t="inlineStr">
        <is>
          <t>本科</t>
        </is>
      </c>
      <c r="P31" s="2" t="inlineStr">
        <is>
          <t>市场开发部</t>
        </is>
      </c>
      <c r="Q31" s="2" t="inlineStr">
        <is>
          <t>戈仕骏</t>
        </is>
      </c>
      <c r="R31" s="2" t="inlineStr">
        <is>
          <t>男</t>
        </is>
      </c>
      <c r="S31" s="2" t="inlineStr">
        <is>
          <t>2021-01-01</t>
        </is>
      </c>
      <c r="T31" s="2" t="inlineStr">
        <is>
          <t>技术助理(一)</t>
        </is>
      </c>
      <c r="U31" s="2" t="inlineStr">
        <is>
          <t>首都师范大学</t>
        </is>
      </c>
      <c r="V31" s="2" t="inlineStr">
        <is>
          <t>其他</t>
        </is>
      </c>
      <c r="W31" s="2" t="inlineStr">
        <is>
          <t>本科</t>
        </is>
      </c>
      <c r="X31" s="2" t="inlineStr">
        <is>
          <t>A.积极高效：经常提前完成，且质量超出预期。</t>
        </is>
      </c>
      <c r="Y31" s="2" t="inlineStr">
        <is>
          <t>A.始终如一：无论任务大小，交付件标准都很高。</t>
        </is>
      </c>
      <c r="Z31" s="2" t="inlineStr">
        <is>
          <t>A.极其省心：只需交代目标，剩下的一律不用管，最后不仅能准时交付，甚至能超出预期。</t>
        </is>
      </c>
      <c r="AA31" s="2" t="inlineStr">
        <is>
          <t>A.全局视野：了解上下游，能站在全业务链条考虑问题。</t>
        </is>
      </c>
      <c r="AB31" s="2" t="inlineStr">
        <is>
          <t>A.攻坚克难：会想尽一切办法钻研，直至彻底解决。</t>
        </is>
      </c>
      <c r="AC31" s="2" t="inlineStr">
        <is>
          <t>A.模范标兵：严于律己，从未在琐事上让主管费心。</t>
        </is>
      </c>
      <c r="AD31" s="2" t="inlineStr">
        <is>
          <t>A.持续优化：经常提出改进流程、提升效率的实用建议</t>
        </is>
      </c>
      <c r="AE31" s="2" t="inlineStr">
        <is>
          <t>A.推进力极强：能搞定不同性格的人，让对方配合。</t>
        </is>
      </c>
      <c r="AF31" s="2" t="inlineStr">
        <is>
          <t>A.完美闭环：进展、难点、结果都会主动汇报，无需催促。</t>
        </is>
      </c>
      <c r="AG31" s="2" t="inlineStr">
        <is>
          <t>A.动力源：像小太阳，主动分享、帮人解惑，带活团队。</t>
        </is>
      </c>
      <c r="AH31" s="2" t="inlineStr">
        <is>
          <t>A.整合高手：能迅速找到能帮上忙的人和资源，借力打力解决问题。</t>
        </is>
      </c>
      <c r="AI31" s="2" t="inlineStr">
        <is>
          <t>A. 主动揽活：只要对团队有利，先接过来干了再说。</t>
        </is>
      </c>
      <c r="AJ31" s="2" t="inlineStr">
        <is>
          <t>A.越战越勇：能扛住压力，保持冷静，高效处理紧急事务。</t>
        </is>
      </c>
      <c r="AK31" s="2" t="inlineStr">
        <is>
          <t>A.虚心求教：能听进去，并积极探讨更科学的方法。</t>
        </is>
      </c>
      <c r="AL31" s="2" t="inlineStr">
        <is>
          <t>A.极速掌握：自学能力极强，很快就能成为该领域的“百晓生”。</t>
        </is>
      </c>
      <c r="AM31" s="2" t="inlineStr">
        <is>
          <t>B.愿意传帮带：平时爱分享避坑指南，能带徒弟。</t>
        </is>
      </c>
      <c r="AN31" s="2" t="inlineStr">
        <is>
          <t>A.第一梯队（Top 10%）：部门的标杆。</t>
        </is>
      </c>
      <c r="AO31" s="2" t="inlineStr">
        <is>
          <t>A.核心管理/专家：具备成为部门负责人或顶尖专家的潜质。</t>
        </is>
      </c>
      <c r="AP31" s="2" t="inlineStr">
        <is>
          <t>A.晴天霹雳：极其遗憾，会不惜代价挽留，他是部门的支柱。</t>
        </is>
      </c>
      <c r="AQ31" s="2" t="inlineStr">
        <is>
          <t>S</t>
        </is>
      </c>
      <c r="AR31" s="2" t="inlineStr">
        <is>
          <t>A</t>
        </is>
      </c>
      <c r="AS31" s="2" t="inlineStr">
        <is>
          <t>不一致</t>
        </is>
      </c>
      <c r="AT31" s="2" t="inlineStr">
        <is>
          <t>A</t>
        </is>
      </c>
      <c r="AU31" s="2" t="inlineStr">
        <is>
          <t>5档</t>
        </is>
      </c>
      <c r="AV31" s="3" t="n">
        <v>9400</v>
      </c>
      <c r="AW31" s="3" t="n">
        <v>7520</v>
      </c>
      <c r="AX31" s="3" t="n">
        <v>11280</v>
      </c>
      <c r="AY31" s="2" t="inlineStr">
        <is>
          <t>B</t>
        </is>
      </c>
      <c r="AZ31" s="2" t="inlineStr">
        <is>
          <t>该员工在投标工作中投标软件使用，商务标技术标编制方面已经相当熟练，且在投标过程中遇到的问题也已具备独立解决的能力，且具备了一定的大局观，能够对风险进行评判。</t>
        </is>
      </c>
      <c r="BA31" s="7" t="n">
        <v>5</v>
      </c>
      <c r="BB31" s="7" t="n">
        <v>5</v>
      </c>
      <c r="BC31" s="7" t="n">
        <v>5</v>
      </c>
      <c r="BD31" s="7" t="n">
        <v>5</v>
      </c>
      <c r="BE31" s="7" t="n">
        <v>5</v>
      </c>
      <c r="BF31" s="7" t="n">
        <v>5</v>
      </c>
      <c r="BG31" s="7" t="n">
        <v>5</v>
      </c>
      <c r="BH31" s="7" t="n">
        <v>5</v>
      </c>
      <c r="BI31" s="7" t="n">
        <v>5</v>
      </c>
      <c r="BJ31" s="7" t="n">
        <v>5</v>
      </c>
      <c r="BK31" s="7" t="n">
        <v>5</v>
      </c>
      <c r="BL31" s="7" t="n">
        <v>5</v>
      </c>
      <c r="BM31" s="7" t="n">
        <v>5</v>
      </c>
      <c r="BN31" s="7" t="n">
        <v>5</v>
      </c>
      <c r="BO31" s="7" t="n">
        <v>5</v>
      </c>
      <c r="BP31" s="7" t="n">
        <v>5</v>
      </c>
      <c r="BQ31" s="7" t="n">
        <v>4</v>
      </c>
      <c r="BR31" s="7" t="n">
        <v>5</v>
      </c>
      <c r="BS31" s="7" t="n">
        <v>5</v>
      </c>
      <c r="BT31" s="7" t="n">
        <v>5</v>
      </c>
      <c r="BU31" s="7" t="n">
        <v>99</v>
      </c>
      <c r="BV31" s="2" t="inlineStr">
        <is>
          <t>A.需要存在，不可去除</t>
        </is>
      </c>
      <c r="BW31" s="2"/>
      <c r="BX31" s="2"/>
      <c r="BY31" s="6">
        <f>HYPERLINK("https://www.h3yun.com/Form/Attachments/?schemacode=D148357733993cc00c048ad9898e53f5f82cbb9&amp;bizObjectId=34be3200-a4c3-4ae5-ba4f-2f730cdcb5f4&amp;name=F0000016","点击查看")</f>
        <v>0</v>
      </c>
      <c r="BZ31" s="2" t="inlineStr">
        <is>
          <t>2026-05-25 15:40:15</t>
        </is>
      </c>
      <c r="CA31" s="2"/>
      <c r="CB31" s="2" t="inlineStr">
        <is>
          <t>已提交</t>
        </is>
      </c>
      <c r="CC31" s="2" t="inlineStr">
        <is>
          <t>助理工程师</t>
        </is>
      </c>
      <c r="CD31" s="2" t="inlineStr">
        <is>
          <t>pe焊工</t>
        </is>
      </c>
      <c r="CE31" s="2" t="inlineStr">
        <is>
          <t>/</t>
        </is>
      </c>
      <c r="CF31" s="2"/>
      <c r="CG31" s="2" t="inlineStr">
        <is>
          <t>320112199403291612</t>
        </is>
      </c>
      <c r="CH31" s="2" t="inlineStr">
        <is>
          <t>已生效</t>
        </is>
      </c>
      <c r="CI31" s="2" t="inlineStr">
        <is>
          <t>509371d2-fa03-4f7a-8ed2-df111a12bbf8</t>
        </is>
      </c>
      <c r="CJ31" s="3" t="n">
        <v>1</v>
      </c>
      <c r="CK31" s="2" t="inlineStr">
        <is>
          <t>近三年至少担任过一个合同额1500万元以上项目相应岗位的主管</t>
        </is>
      </c>
      <c r="CL31" s="2" t="inlineStr">
        <is>
          <t>近三年至少担任过一个合同额1500万元以上项目相应岗位的主管</t>
        </is>
      </c>
      <c r="CM31" s="2" t="inlineStr">
        <is>
          <t>南化建司劳2017-1号文-南京南化建设有限公司施工一线专业序列人员分级管理规定</t>
        </is>
      </c>
      <c r="CN31" s="2" t="inlineStr">
        <is>
          <t>第三章第2条B类</t>
        </is>
      </c>
      <c r="CO31" s="2" t="inlineStr">
        <is>
          <t>是</t>
        </is>
      </c>
      <c r="CP31" s="2" t="inlineStr">
        <is>
          <t>镇江优利德项目</t>
        </is>
      </c>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t="inlineStr">
        <is>
          <t>e10d127c-34e4-408e-a02c-a6076a3db4ca</t>
        </is>
      </c>
      <c r="CJ32" s="3" t="n">
        <v>2</v>
      </c>
      <c r="CK32" s="2" t="inlineStr">
        <is>
          <t>公司二级单位或公司职能部门推荐</t>
        </is>
      </c>
      <c r="CL32" s="2" t="inlineStr">
        <is>
          <t>公司二级单位或公司职能部门推荐</t>
        </is>
      </c>
      <c r="CM32" s="2" t="inlineStr">
        <is>
          <t>南化建司劳2017-1号文-南京南化建设有限公司施工一线专业序列人员分级管理规定</t>
        </is>
      </c>
      <c r="CN32" s="2" t="inlineStr">
        <is>
          <t>第三章第2条B类</t>
        </is>
      </c>
      <c r="CO32" s="2" t="inlineStr">
        <is>
          <t>是</t>
        </is>
      </c>
      <c r="CP32" s="2" t="inlineStr">
        <is>
          <t>/</t>
        </is>
      </c>
    </row>
    <row r="33">
      <c r="A33" s="2" t="inlineStr">
        <is>
          <t>5bdf56e2-16a1-4a47-90ed-8c36f2d2702c</t>
        </is>
      </c>
      <c r="B33" s="2" t="inlineStr">
        <is>
          <t>E.非饱和，事情很少，也不好怎么给他布置工作</t>
        </is>
      </c>
      <c r="C33" s="2" t="inlineStr">
        <is>
          <t>合同管理部    倪铭琦    男    袁雯雯</t>
        </is>
      </c>
      <c r="D33" s="2" t="inlineStr">
        <is>
          <t>Anonymous</t>
        </is>
      </c>
      <c r="E33" s="2" t="inlineStr">
        <is>
          <t>Anonymous</t>
        </is>
      </c>
      <c r="F33" s="2"/>
      <c r="G33" s="2" t="inlineStr">
        <is>
          <t>2026-05-25 10:56:15</t>
        </is>
      </c>
      <c r="H33" s="2" t="inlineStr">
        <is>
          <t>袁雯雯</t>
        </is>
      </c>
      <c r="I33" s="2" t="inlineStr">
        <is>
          <t>320482198709030803</t>
        </is>
      </c>
      <c r="J33" s="2" t="inlineStr">
        <is>
          <t>女</t>
        </is>
      </c>
      <c r="K33" s="2" t="inlineStr">
        <is>
          <t>合同管理部</t>
        </is>
      </c>
      <c r="L33" s="2" t="inlineStr">
        <is>
          <t>2009-08-24</t>
        </is>
      </c>
      <c r="M33" s="2" t="inlineStr">
        <is>
          <t>南京航空航天大学</t>
        </is>
      </c>
      <c r="N33" s="2" t="inlineStr">
        <is>
          <t>电气</t>
        </is>
      </c>
      <c r="O33" s="2" t="inlineStr">
        <is>
          <t>本科</t>
        </is>
      </c>
      <c r="P33" s="2" t="inlineStr">
        <is>
          <t>合同管理部</t>
        </is>
      </c>
      <c r="Q33" s="2" t="inlineStr">
        <is>
          <t>倪铭琦</t>
        </is>
      </c>
      <c r="R33" s="2" t="inlineStr">
        <is>
          <t>男</t>
        </is>
      </c>
      <c r="S33" s="2" t="inlineStr">
        <is>
          <t>1989-08-01</t>
        </is>
      </c>
      <c r="T33" s="2" t="inlineStr">
        <is>
          <t>专业工程师</t>
        </is>
      </c>
      <c r="U33" s="2" t="inlineStr">
        <is>
          <t>扬州大学</t>
        </is>
      </c>
      <c r="V33" s="2" t="inlineStr">
        <is>
          <t>土建</t>
        </is>
      </c>
      <c r="W33" s="2" t="inlineStr">
        <is>
          <t>大专</t>
        </is>
      </c>
      <c r="X33" s="2" t="inlineStr">
        <is>
          <t>C.拖沓被动：需要主管反复催促，才能勉强按时交差。</t>
        </is>
      </c>
      <c r="Y33" s="2" t="inlineStr">
        <is>
          <t>C.看心情/状态：状态好时不错，状态差时漏洞百出。</t>
        </is>
      </c>
      <c r="Z33" s="2" t="inlineStr">
        <is>
          <t>C.正常跟进：需要主管盯着节点、偶尔提醒进度，或者在跑偏时帮着拽回来。</t>
        </is>
      </c>
      <c r="AA33" s="2" t="inlineStr">
        <is>
          <t>C.只知其一：只知道自己怎么操作，不知道为什么要这么做。</t>
        </is>
      </c>
      <c r="AB33" s="2" t="inlineStr">
        <is>
          <t>E.过去一年未曾安排其执行过较难的收尾工作。</t>
        </is>
      </c>
      <c r="AC33" s="2" t="inlineStr">
        <is>
          <t>B.基本合规：偶尔迟到或忘打卡，提醒后能迅速改正。</t>
        </is>
      </c>
      <c r="AD33" s="2" t="inlineStr">
        <is>
          <t>C.照章办事：给多少干多少，完全按老规矩来，从不思考变革</t>
        </is>
      </c>
      <c r="AE33" s="2" t="inlineStr">
        <is>
          <t>B.正常沟通：能清晰表达需求，维持基本的协作。</t>
        </is>
      </c>
      <c r="AF33" s="2" t="inlineStr">
        <is>
          <t>C.偶尔断片：答应得好好的，但中间不反馈，非得主管去追。</t>
        </is>
      </c>
      <c r="AG33" s="2" t="inlineStr">
        <is>
          <t>C.旁观者：不关心团队，只关心自己的工作。</t>
        </is>
      </c>
      <c r="AH33" s="2" t="inlineStr">
        <is>
          <t>B.懂得求助：在尝试后会及时向主管或同事反馈，寻求资源支持。</t>
        </is>
      </c>
      <c r="AI33" s="2" t="inlineStr">
        <is>
          <t>C. 守好地盘：只管自己那一块，多一点都不想碰。</t>
        </is>
      </c>
      <c r="AJ33" s="2" t="inlineStr">
        <is>
          <t>E.直接掉链子：压力稍大就申请休假、逃避或工作完全失控。</t>
        </is>
      </c>
      <c r="AK33" s="2" t="inlineStr">
        <is>
          <t>E.过去一年没有和其沟通过类似问题。</t>
        </is>
      </c>
      <c r="AL33" s="2" t="inlineStr">
        <is>
          <t>D.拒绝更新：习惯待在舒适区，对新事物有抵触心理。</t>
        </is>
      </c>
      <c r="AM33" s="2" t="inlineStr">
        <is>
          <t>E.拒绝分享：确存在工作经验，但不愿意撰写总结文档或抵触与人分享。</t>
        </is>
      </c>
      <c r="AN33" s="2" t="inlineStr">
        <is>
          <t>C.中规中矩：刚好达标，替代性较强。</t>
        </is>
      </c>
      <c r="AO33" s="2" t="inlineStr">
        <is>
          <t>D.边缘化：目前水平已是上限，甚至有退步迹象。</t>
        </is>
      </c>
      <c r="AP33" s="2" t="inlineStr">
        <is>
          <t>E.如释重负：终于走了，刚好腾出名额招个更靠谱的人。</t>
        </is>
      </c>
      <c r="AQ33" s="2" t="inlineStr">
        <is>
          <t>F</t>
        </is>
      </c>
      <c r="AR33" s="2" t="inlineStr">
        <is>
          <t>C</t>
        </is>
      </c>
      <c r="AS33" s="2" t="inlineStr">
        <is>
          <t>不一致</t>
        </is>
      </c>
      <c r="AT33" s="2" t="inlineStr">
        <is>
          <t>C</t>
        </is>
      </c>
      <c r="AU33" s="2" t="inlineStr">
        <is>
          <t>3档</t>
        </is>
      </c>
      <c r="AV33" s="3" t="n">
        <v>6500</v>
      </c>
      <c r="AW33" s="3" t="n">
        <v>5200</v>
      </c>
      <c r="AX33" s="3" t="n">
        <v>7800</v>
      </c>
      <c r="AY33" s="2" t="inlineStr">
        <is>
          <t>D</t>
        </is>
      </c>
      <c r="AZ33" s="2" t="inlineStr">
        <is>
          <t>该员工有精神方面的问题，除了基地改造的工作让他去现场看看，帮忙审核一点土建工作量，其余基本不敢安排额外的工作。</t>
        </is>
      </c>
      <c r="BA33" s="7" t="n">
        <v>2</v>
      </c>
      <c r="BB33" s="7" t="n">
        <v>2</v>
      </c>
      <c r="BC33" s="7" t="n">
        <v>3</v>
      </c>
      <c r="BD33" s="7" t="n">
        <v>2</v>
      </c>
      <c r="BE33" s="7" t="n">
        <v>1</v>
      </c>
      <c r="BF33" s="7" t="n">
        <v>3.5</v>
      </c>
      <c r="BG33" s="7" t="n">
        <v>3</v>
      </c>
      <c r="BH33" s="7" t="n">
        <v>3.5</v>
      </c>
      <c r="BI33" s="7" t="n">
        <v>2</v>
      </c>
      <c r="BJ33" s="7" t="n">
        <v>2</v>
      </c>
      <c r="BK33" s="7" t="n">
        <v>3</v>
      </c>
      <c r="BL33" s="7" t="n">
        <v>3</v>
      </c>
      <c r="BM33" s="7" t="n">
        <v>1</v>
      </c>
      <c r="BN33" s="7" t="n">
        <v>0</v>
      </c>
      <c r="BO33" s="7" t="n">
        <v>1</v>
      </c>
      <c r="BP33" s="7" t="n">
        <v>0</v>
      </c>
      <c r="BQ33" s="7" t="n">
        <v>0</v>
      </c>
      <c r="BR33" s="7" t="n">
        <v>3</v>
      </c>
      <c r="BS33" s="7" t="n">
        <v>1</v>
      </c>
      <c r="BT33" s="7" t="n">
        <v>0</v>
      </c>
      <c r="BU33" s="7" t="n">
        <v>36</v>
      </c>
      <c r="BV33" s="2" t="inlineStr">
        <is>
          <t>B.存不存在均可</t>
        </is>
      </c>
      <c r="BW33" s="2"/>
      <c r="BX33" s="2"/>
      <c r="BY33" s="6">
        <f>HYPERLINK("https://www.h3yun.com/Form/Attachments/?schemacode=D148357733993cc00c048ad9898e53f5f82cbb9&amp;bizObjectId=5bdf56e2-16a1-4a47-90ed-8c36f2d2702c&amp;name=F0000016","点击查看")</f>
        <v>0</v>
      </c>
      <c r="BZ33" s="2" t="inlineStr">
        <is>
          <t>2026-05-22 17:12:46</t>
        </is>
      </c>
      <c r="CA33" s="2"/>
      <c r="CB33" s="2" t="inlineStr">
        <is>
          <t>已提交</t>
        </is>
      </c>
      <c r="CC33" s="2" t="inlineStr">
        <is>
          <t>工程师证书</t>
        </is>
      </c>
      <c r="CD33" s="2" t="inlineStr">
        <is>
          <t>一级建造师证书</t>
        </is>
      </c>
      <c r="CE33" s="2" t="inlineStr">
        <is>
          <t>无</t>
        </is>
      </c>
      <c r="CF33" s="2"/>
      <c r="CG33" s="2" t="inlineStr">
        <is>
          <t>320112197208130478</t>
        </is>
      </c>
      <c r="CH33" s="2" t="inlineStr">
        <is>
          <t>已生效</t>
        </is>
      </c>
      <c r="CI33" s="2" t="inlineStr">
        <is>
          <t>54843da0-be0d-4283-bc77-05f749236659</t>
        </is>
      </c>
      <c r="CJ33" s="3" t="n">
        <v>1</v>
      </c>
      <c r="CK33" s="2" t="inlineStr">
        <is>
          <t>该成员存在一线工作履历</t>
        </is>
      </c>
      <c r="CL33" s="2" t="inlineStr">
        <is>
          <t>该成员存在一线工作履历</t>
        </is>
      </c>
      <c r="CM33" s="2" t="inlineStr">
        <is>
          <t>南化建司劳2017-1号文-南京南化建设有限公司施工一线专业序列人员分级管理规定</t>
        </is>
      </c>
      <c r="CN33" s="2" t="inlineStr">
        <is>
          <t>第三章第6条D类</t>
        </is>
      </c>
      <c r="CO33" s="2" t="inlineStr">
        <is>
          <t>否</t>
        </is>
      </c>
      <c r="CP33" s="2" t="inlineStr">
        <is>
          <t>未到项目现场</t>
        </is>
      </c>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t="inlineStr">
        <is>
          <t>39b2d514-1055-4c54-beae-259d60ed18d0</t>
        </is>
      </c>
      <c r="CJ34" s="3" t="n">
        <v>2</v>
      </c>
      <c r="CK34" s="2" t="inlineStr">
        <is>
          <t>近五年内该成员存在一线工作履历</t>
        </is>
      </c>
      <c r="CL34" s="2" t="inlineStr">
        <is>
          <t>近五年内该成员存在一线工作履历</t>
        </is>
      </c>
      <c r="CM34" s="2" t="inlineStr">
        <is>
          <t>南化建司劳2017-1号文-南京南化建设有限公司施工一线专业序列人员分级管理规定</t>
        </is>
      </c>
      <c r="CN34" s="2" t="inlineStr">
        <is>
          <t>第三章第6条D类</t>
        </is>
      </c>
      <c r="CO34" s="2" t="inlineStr">
        <is>
          <t>否</t>
        </is>
      </c>
      <c r="CP34" s="2" t="inlineStr">
        <is>
          <t>没有对应的评价标准</t>
        </is>
      </c>
    </row>
    <row r="35">
      <c r="A35" s="2" t="inlineStr">
        <is>
          <t>5f5c0117-c631-4d0a-ad17-4d47fe703dbb</t>
        </is>
      </c>
      <c r="B35" s="2" t="inlineStr">
        <is>
          <t>D.欠饱和，没想起来给他布置工作的话很可能就是闲着</t>
        </is>
      </c>
      <c r="C35" s="2" t="inlineStr">
        <is>
          <t>合同管理部    赵振兴    男    袁雯雯</t>
        </is>
      </c>
      <c r="D35" s="2" t="inlineStr">
        <is>
          <t>Anonymous</t>
        </is>
      </c>
      <c r="E35" s="2" t="inlineStr">
        <is>
          <t>Anonymous</t>
        </is>
      </c>
      <c r="F35" s="2"/>
      <c r="G35" s="2" t="inlineStr">
        <is>
          <t>2026-05-25 10:56:15</t>
        </is>
      </c>
      <c r="H35" s="2" t="inlineStr">
        <is>
          <t>袁雯雯</t>
        </is>
      </c>
      <c r="I35" s="2" t="inlineStr">
        <is>
          <t>320482198709030803</t>
        </is>
      </c>
      <c r="J35" s="2" t="inlineStr">
        <is>
          <t>女</t>
        </is>
      </c>
      <c r="K35" s="2" t="inlineStr">
        <is>
          <t>合同管理部</t>
        </is>
      </c>
      <c r="L35" s="2" t="inlineStr">
        <is>
          <t>2009-08-24</t>
        </is>
      </c>
      <c r="M35" s="2" t="inlineStr">
        <is>
          <t>南京航空航天大学</t>
        </is>
      </c>
      <c r="N35" s="2" t="inlineStr">
        <is>
          <t>电气</t>
        </is>
      </c>
      <c r="O35" s="2" t="inlineStr">
        <is>
          <t>本科</t>
        </is>
      </c>
      <c r="P35" s="2" t="inlineStr">
        <is>
          <t>合同管理部</t>
        </is>
      </c>
      <c r="Q35" s="2" t="inlineStr">
        <is>
          <t>赵振兴</t>
        </is>
      </c>
      <c r="R35" s="2" t="inlineStr">
        <is>
          <t>男</t>
        </is>
      </c>
      <c r="S35" s="2" t="inlineStr">
        <is>
          <t>2004-08-04</t>
        </is>
      </c>
      <c r="T35" s="2" t="inlineStr">
        <is>
          <t>专业工程师</t>
        </is>
      </c>
      <c r="U35" s="2" t="inlineStr">
        <is>
          <t>安徽理工大学</t>
        </is>
      </c>
      <c r="V35" s="2" t="inlineStr">
        <is>
          <t>自动化</t>
        </is>
      </c>
      <c r="W35" s="2" t="inlineStr">
        <is>
          <t>大专</t>
        </is>
      </c>
      <c r="X35" s="2" t="inlineStr">
        <is>
          <t>B.按时推进：基本能卡着时间点完成，不掉链子。</t>
        </is>
      </c>
      <c r="Y35" s="2" t="inlineStr">
        <is>
          <t>B.基本稳定：偶有小瑕疵，但不影响整体使用。</t>
        </is>
      </c>
      <c r="Z35" s="2" t="inlineStr">
        <is>
          <t>B.比较省心：只需定期同步一下进度，不需要主管盯着细节，能独立把事情办成。</t>
        </is>
      </c>
      <c r="AA35" s="2" t="inlineStr">
        <is>
          <t>B.清楚岗位：对自己岗位的活儿很门清，略知上下游。</t>
        </is>
      </c>
      <c r="AB35" s="2" t="inlineStr">
        <is>
          <t>B.尽力而为：能解决大部分问题，解决不了的会及时求助。</t>
        </is>
      </c>
      <c r="AC35" s="2" t="inlineStr">
        <is>
          <t>B.基本合规：偶尔迟到或忘打卡，提醒后能迅速改正。</t>
        </is>
      </c>
      <c r="AD35" s="2" t="inlineStr">
        <is>
          <t>A.持续优化：经常提出改进流程、提升效率的实用建议</t>
        </is>
      </c>
      <c r="AE35" s="2" t="inlineStr">
        <is>
          <t>B.正常沟通：能清晰表达需求，维持基本的协作。</t>
        </is>
      </c>
      <c r="AF35" s="2" t="inlineStr">
        <is>
          <t>B.有问有答：问到时能说清楚进度，基本能做到及时反馈。</t>
        </is>
      </c>
      <c r="AG35" s="2" t="inlineStr">
        <is>
          <t>B.稳定器：做好自己，不给团队添乱，是可靠的一员。</t>
        </is>
      </c>
      <c r="AH35" s="2" t="inlineStr">
        <is>
          <t>B.懂得求助：在尝试后会及时向主管或同事反馈，寻求资源支持。</t>
        </is>
      </c>
      <c r="AI35" s="2" t="inlineStr">
        <is>
          <t>B. 配合接受：主管安排了就干，不推辞。</t>
        </is>
      </c>
      <c r="AJ35" s="2" t="inlineStr">
        <is>
          <t>C.较为配合：不抱怨，但压力较大时，工作质量会随之下滑。</t>
        </is>
      </c>
      <c r="AK35" s="2" t="inlineStr">
        <is>
          <t>A.虚心求教：能听进去，并积极探讨更科学的方法。</t>
        </is>
      </c>
      <c r="AL35" s="2" t="inlineStr">
        <is>
          <t>A.极速掌握：自学能力极强，很快就能成为该领域的“百晓生”。</t>
        </is>
      </c>
      <c r="AM35" s="2" t="inlineStr">
        <is>
          <t>B.愿意传帮带：平时爱分享避坑指南，能带徒弟。</t>
        </is>
      </c>
      <c r="AN35" s="2" t="inlineStr">
        <is>
          <t>B.中上水平：高于平均线，是团队的中流砥柱。</t>
        </is>
      </c>
      <c r="AO35" s="2" t="inlineStr">
        <is>
          <t>C.熟练工：能胜任重复性工作，但很难承担更高阶的挑战。</t>
        </is>
      </c>
      <c r="AP35" s="2" t="inlineStr">
        <is>
          <t>B.有点可惜：是个好手，需要费心再找一个相同水准的。</t>
        </is>
      </c>
      <c r="AQ35" s="2" t="inlineStr">
        <is>
          <t>B</t>
        </is>
      </c>
      <c r="AR35" s="2" t="inlineStr">
        <is>
          <t>A</t>
        </is>
      </c>
      <c r="AS35" s="2" t="inlineStr">
        <is>
          <t>不一致</t>
        </is>
      </c>
      <c r="AT35" s="2" t="inlineStr">
        <is>
          <t>A</t>
        </is>
      </c>
      <c r="AU35" s="2" t="inlineStr">
        <is>
          <t>1档</t>
        </is>
      </c>
      <c r="AV35" s="3" t="n">
        <v>8600</v>
      </c>
      <c r="AW35" s="3" t="n">
        <v>6880</v>
      </c>
      <c r="AX35" s="3" t="n">
        <v>10320</v>
      </c>
      <c r="AY35" s="2" t="inlineStr">
        <is>
          <t>B</t>
        </is>
      </c>
      <c r="AZ35" s="2" t="inlineStr">
        <is>
          <t>身体原因，目前安排分包结算审计工作，总体可以。</t>
        </is>
      </c>
      <c r="BA35" s="7" t="n">
        <v>3</v>
      </c>
      <c r="BB35" s="7" t="n">
        <v>4</v>
      </c>
      <c r="BC35" s="7" t="n">
        <v>4</v>
      </c>
      <c r="BD35" s="7" t="n">
        <v>4</v>
      </c>
      <c r="BE35" s="7" t="n">
        <v>4</v>
      </c>
      <c r="BF35" s="7" t="n">
        <v>3.5</v>
      </c>
      <c r="BG35" s="7" t="n">
        <v>5</v>
      </c>
      <c r="BH35" s="7" t="n">
        <v>3.5</v>
      </c>
      <c r="BI35" s="7" t="n">
        <v>4</v>
      </c>
      <c r="BJ35" s="7" t="n">
        <v>4</v>
      </c>
      <c r="BK35" s="7" t="n">
        <v>3</v>
      </c>
      <c r="BL35" s="7" t="n">
        <v>4</v>
      </c>
      <c r="BM35" s="7" t="n">
        <v>2</v>
      </c>
      <c r="BN35" s="7" t="n">
        <v>3</v>
      </c>
      <c r="BO35" s="7" t="n">
        <v>5</v>
      </c>
      <c r="BP35" s="7" t="n">
        <v>5</v>
      </c>
      <c r="BQ35" s="7" t="n">
        <v>4</v>
      </c>
      <c r="BR35" s="7" t="n">
        <v>4</v>
      </c>
      <c r="BS35" s="7" t="n">
        <v>3</v>
      </c>
      <c r="BT35" s="7" t="n">
        <v>4</v>
      </c>
      <c r="BU35" s="7" t="n">
        <v>76</v>
      </c>
      <c r="BV35" s="2" t="inlineStr">
        <is>
          <t>A.需要存在，不可去除</t>
        </is>
      </c>
      <c r="BW35" s="2" t="inlineStr">
        <is>
          <t>无</t>
        </is>
      </c>
      <c r="BX35" s="2" t="inlineStr">
        <is>
          <t>无</t>
        </is>
      </c>
      <c r="BY35" s="6">
        <f>HYPERLINK("https://www.h3yun.com/Form/Attachments/?schemacode=D148357733993cc00c048ad9898e53f5f82cbb9&amp;bizObjectId=5f5c0117-c631-4d0a-ad17-4d47fe703dbb&amp;name=F0000016","点击查看")</f>
        <v>0</v>
      </c>
      <c r="BZ35" s="2" t="inlineStr">
        <is>
          <t>2026-05-22 17:04:27</t>
        </is>
      </c>
      <c r="CA35" s="2"/>
      <c r="CB35" s="2" t="inlineStr">
        <is>
          <t>已提交</t>
        </is>
      </c>
      <c r="CC35" s="2" t="inlineStr">
        <is>
          <t>工程师</t>
        </is>
      </c>
      <c r="CD35" s="2" t="inlineStr">
        <is>
          <t>无</t>
        </is>
      </c>
      <c r="CE35" s="2" t="inlineStr">
        <is>
          <t>无</t>
        </is>
      </c>
      <c r="CF35" s="2"/>
      <c r="CG35" s="2" t="inlineStr">
        <is>
          <t>341225198204080094</t>
        </is>
      </c>
      <c r="CH35" s="2" t="inlineStr">
        <is>
          <t>已生效</t>
        </is>
      </c>
      <c r="CI35" s="2" t="inlineStr">
        <is>
          <t>d7dd6241-e19d-4e32-9c3c-b7989dc7a5b6</t>
        </is>
      </c>
      <c r="CJ35" s="3" t="n">
        <v>1</v>
      </c>
      <c r="CK35" s="2" t="inlineStr">
        <is>
          <t>近三年至少担任过一个合同额1500万元以上项目相应岗位的主管</t>
        </is>
      </c>
      <c r="CL35" s="2" t="inlineStr">
        <is>
          <t>近三年至少担任过一个合同额1500万元以上项目相应岗位的主管</t>
        </is>
      </c>
      <c r="CM35" s="2" t="inlineStr">
        <is>
          <t>南化建司劳2017-1号文-南京南化建设有限公司施工一线专业序列人员分级管理规定</t>
        </is>
      </c>
      <c r="CN35" s="2" t="inlineStr">
        <is>
          <t>第三章第2条B类</t>
        </is>
      </c>
      <c r="CO35" s="2" t="inlineStr">
        <is>
          <t>否</t>
        </is>
      </c>
      <c r="CP35" s="2" t="inlineStr">
        <is>
          <t>未到项目任职</t>
        </is>
      </c>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t="inlineStr">
        <is>
          <t>a0ae8289-2dfb-42c1-9b72-f52933cdb804</t>
        </is>
      </c>
      <c r="CJ36" s="3" t="n">
        <v>2</v>
      </c>
      <c r="CK36" s="2" t="inlineStr">
        <is>
          <t>公司二级单位或公司职能部门推荐</t>
        </is>
      </c>
      <c r="CL36" s="2" t="inlineStr">
        <is>
          <t>公司二级单位或公司职能部门推荐</t>
        </is>
      </c>
      <c r="CM36" s="2" t="inlineStr">
        <is>
          <t>南化建司劳2017-1号文-南京南化建设有限公司施工一线专业序列人员分级管理规定</t>
        </is>
      </c>
      <c r="CN36" s="2" t="inlineStr">
        <is>
          <t>第三章第2条B类</t>
        </is>
      </c>
      <c r="CO36" s="2" t="inlineStr">
        <is>
          <t>否</t>
        </is>
      </c>
      <c r="CP36" s="2" t="inlineStr">
        <is>
          <t>找不到评价标准</t>
        </is>
      </c>
    </row>
    <row r="37">
      <c r="A37" s="2" t="inlineStr">
        <is>
          <t>2ab7b1b1-c73e-4030-b1bd-08c51dd6d4b9</t>
        </is>
      </c>
      <c r="B37" s="2" t="inlineStr">
        <is>
          <t>C.均衡，工作负荷一般，按部就班完成工作，除了突发时间几乎不用加班</t>
        </is>
      </c>
      <c r="C37" s="2" t="inlineStr">
        <is>
          <t>合同管理部    付海翔    男    袁雯雯</t>
        </is>
      </c>
      <c r="D37" s="2" t="inlineStr">
        <is>
          <t>Anonymous</t>
        </is>
      </c>
      <c r="E37" s="2" t="inlineStr">
        <is>
          <t>Anonymous</t>
        </is>
      </c>
      <c r="F37" s="2"/>
      <c r="G37" s="2" t="inlineStr">
        <is>
          <t>2026-05-25 10:56:15</t>
        </is>
      </c>
      <c r="H37" s="2" t="inlineStr">
        <is>
          <t>袁雯雯</t>
        </is>
      </c>
      <c r="I37" s="2" t="inlineStr">
        <is>
          <t>320482198709030803</t>
        </is>
      </c>
      <c r="J37" s="2" t="inlineStr">
        <is>
          <t>女</t>
        </is>
      </c>
      <c r="K37" s="2" t="inlineStr">
        <is>
          <t>合同管理部</t>
        </is>
      </c>
      <c r="L37" s="2" t="inlineStr">
        <is>
          <t>2009-08-24</t>
        </is>
      </c>
      <c r="M37" s="2" t="inlineStr">
        <is>
          <t>南京航空航天大学</t>
        </is>
      </c>
      <c r="N37" s="2" t="inlineStr">
        <is>
          <t>电气</t>
        </is>
      </c>
      <c r="O37" s="2" t="inlineStr">
        <is>
          <t>本科</t>
        </is>
      </c>
      <c r="P37" s="2" t="inlineStr">
        <is>
          <t>合同管理部</t>
        </is>
      </c>
      <c r="Q37" s="2" t="inlineStr">
        <is>
          <t>付海翔</t>
        </is>
      </c>
      <c r="R37" s="2" t="inlineStr">
        <is>
          <t>男</t>
        </is>
      </c>
      <c r="S37" s="2" t="inlineStr">
        <is>
          <t>2007-08-01</t>
        </is>
      </c>
      <c r="T37" s="2" t="inlineStr">
        <is>
          <t>专业工程师</t>
        </is>
      </c>
      <c r="U37" s="2" t="inlineStr">
        <is>
          <t>钟山职业技术学院</t>
        </is>
      </c>
      <c r="V37" s="2" t="inlineStr">
        <is>
          <t>电气</t>
        </is>
      </c>
      <c r="W37" s="2" t="inlineStr">
        <is>
          <t>大专</t>
        </is>
      </c>
      <c r="X37" s="2" t="inlineStr">
        <is>
          <t>B.按时推进：基本能卡着时间点完成，不掉链子。</t>
        </is>
      </c>
      <c r="Y37" s="2" t="inlineStr">
        <is>
          <t>B.基本稳定：偶有小瑕疵，但不影响整体使用。</t>
        </is>
      </c>
      <c r="Z37" s="2" t="inlineStr">
        <is>
          <t>C.正常跟进：需要主管盯着节点、偶尔提醒进度，或者在跑偏时帮着拽回来。</t>
        </is>
      </c>
      <c r="AA37" s="2" t="inlineStr">
        <is>
          <t>C.只知其一：只知道自己怎么操作，不知道为什么要这么做。</t>
        </is>
      </c>
      <c r="AB37" s="2" t="inlineStr">
        <is>
          <t>B.尽力而为：能解决大部分问题，解决不了的会及时求助。</t>
        </is>
      </c>
      <c r="AC37" s="2" t="inlineStr">
        <is>
          <t>B.基本合规：偶尔迟到或忘打卡，提醒后能迅速改正。</t>
        </is>
      </c>
      <c r="AD37" s="2" t="inlineStr">
        <is>
          <t>C.照章办事：给多少干多少，完全按老规矩来，从不思考变革</t>
        </is>
      </c>
      <c r="AE37" s="2" t="inlineStr">
        <is>
          <t>B.正常沟通：能清晰表达需求，维持基本的协作。</t>
        </is>
      </c>
      <c r="AF37" s="2" t="inlineStr">
        <is>
          <t>B.有问有答：问到时能说清楚进度，基本能做到及时反馈。</t>
        </is>
      </c>
      <c r="AG37" s="2" t="inlineStr">
        <is>
          <t>C.旁观者：不关心团队，只关心自己的工作。</t>
        </is>
      </c>
      <c r="AH37" s="2" t="inlineStr">
        <is>
          <t>B.懂得求助：在尝试后会及时向主管或同事反馈，寻求资源支持。</t>
        </is>
      </c>
      <c r="AI37" s="2" t="inlineStr">
        <is>
          <t>B. 配合接受：主管安排了就干，不推辞。</t>
        </is>
      </c>
      <c r="AJ37" s="2" t="inlineStr">
        <is>
          <t>C.较为配合：不抱怨，但压力较大时，工作质量会随之下滑。</t>
        </is>
      </c>
      <c r="AK37" s="2" t="inlineStr">
        <is>
          <t>B.照单全收：态度很好，虽然不一定完全理解，但会按要求改。</t>
        </is>
      </c>
      <c r="AL37" s="2" t="inlineStr">
        <is>
          <t>B.正常上手：经过简单培训或指导，能很快投入应用。</t>
        </is>
      </c>
      <c r="AM37" s="2" t="inlineStr">
        <is>
          <t>C.技能私有：自己干得好也愿意分享，但是不会总结或讲不出来。</t>
        </is>
      </c>
      <c r="AN37" s="2" t="inlineStr">
        <is>
          <t>C.中规中矩：刚好达标，替代性较强。</t>
        </is>
      </c>
      <c r="AO37" s="2" t="inlineStr">
        <is>
          <t>C.熟练工：能胜任重复性工作，但很难承担更高阶的挑战。</t>
        </is>
      </c>
      <c r="AP37" s="2" t="inlineStr">
        <is>
          <t>C.正常更替：走就走吧，招个新人培养一下也没什么区别。</t>
        </is>
      </c>
      <c r="AQ37" s="2" t="inlineStr">
        <is>
          <t>C</t>
        </is>
      </c>
      <c r="AR37" s="2" t="inlineStr">
        <is>
          <t>B</t>
        </is>
      </c>
      <c r="AS37" s="2" t="inlineStr">
        <is>
          <t>不一致</t>
        </is>
      </c>
      <c r="AT37" s="2" t="inlineStr">
        <is>
          <t>B</t>
        </is>
      </c>
      <c r="AU37" s="2" t="inlineStr">
        <is>
          <t>1档</t>
        </is>
      </c>
      <c r="AV37" s="3" t="n">
        <v>7600</v>
      </c>
      <c r="AW37" s="3" t="n">
        <v>6080</v>
      </c>
      <c r="AX37" s="3" t="n">
        <v>9120</v>
      </c>
      <c r="AY37" s="2" t="inlineStr">
        <is>
          <t>C</t>
        </is>
      </c>
      <c r="AZ37" s="2" t="inlineStr">
        <is>
          <t>工作主动性有改善，交给的任务也能做，总体比较佛系，性格比较内敛，上限有限。</t>
        </is>
      </c>
      <c r="BA37" s="7" t="n">
        <v>3</v>
      </c>
      <c r="BB37" s="7" t="n">
        <v>4</v>
      </c>
      <c r="BC37" s="7" t="n">
        <v>3</v>
      </c>
      <c r="BD37" s="7" t="n">
        <v>2</v>
      </c>
      <c r="BE37" s="7" t="n">
        <v>4</v>
      </c>
      <c r="BF37" s="7" t="n">
        <v>3.5</v>
      </c>
      <c r="BG37" s="7" t="n">
        <v>3</v>
      </c>
      <c r="BH37" s="7" t="n">
        <v>3.5</v>
      </c>
      <c r="BI37" s="7" t="n">
        <v>4</v>
      </c>
      <c r="BJ37" s="7" t="n">
        <v>2</v>
      </c>
      <c r="BK37" s="7" t="n">
        <v>3</v>
      </c>
      <c r="BL37" s="7" t="n">
        <v>4</v>
      </c>
      <c r="BM37" s="7" t="n">
        <v>3</v>
      </c>
      <c r="BN37" s="7" t="n">
        <v>3</v>
      </c>
      <c r="BO37" s="7" t="n">
        <v>3</v>
      </c>
      <c r="BP37" s="7" t="n">
        <v>4</v>
      </c>
      <c r="BQ37" s="7" t="n">
        <v>2</v>
      </c>
      <c r="BR37" s="7" t="n">
        <v>3</v>
      </c>
      <c r="BS37" s="7" t="n">
        <v>3</v>
      </c>
      <c r="BT37" s="7" t="n">
        <v>3</v>
      </c>
      <c r="BU37" s="7" t="n">
        <v>63</v>
      </c>
      <c r="BV37" s="2" t="inlineStr">
        <is>
          <t>A.需要存在，不可去除</t>
        </is>
      </c>
      <c r="BW37" s="2" t="inlineStr">
        <is>
          <t>无</t>
        </is>
      </c>
      <c r="BX37" s="2" t="inlineStr">
        <is>
          <t>无</t>
        </is>
      </c>
      <c r="BY37" s="6">
        <f>HYPERLINK("https://www.h3yun.com/Form/Attachments/?schemacode=D148357733993cc00c048ad9898e53f5f82cbb9&amp;bizObjectId=2ab7b1b1-c73e-4030-b1bd-08c51dd6d4b9&amp;name=F0000016","点击查看")</f>
        <v>0</v>
      </c>
      <c r="BZ37" s="2" t="inlineStr">
        <is>
          <t>2026-05-22 16:58:40</t>
        </is>
      </c>
      <c r="CA37" s="2"/>
      <c r="CB37" s="2" t="inlineStr">
        <is>
          <t>已提交</t>
        </is>
      </c>
      <c r="CC37" s="2" t="inlineStr">
        <is>
          <t>工程师</t>
        </is>
      </c>
      <c r="CD37" s="2" t="inlineStr">
        <is>
          <t>二建</t>
        </is>
      </c>
      <c r="CE37" s="2" t="inlineStr">
        <is>
          <t>无</t>
        </is>
      </c>
      <c r="CF37" s="2"/>
      <c r="CG37" s="2" t="inlineStr">
        <is>
          <t>320112198607210437</t>
        </is>
      </c>
      <c r="CH37" s="2" t="inlineStr">
        <is>
          <t>已生效</t>
        </is>
      </c>
      <c r="CI37" s="2" t="inlineStr">
        <is>
          <t>0dc55c86-8069-4adb-a12c-18334a80b12c</t>
        </is>
      </c>
      <c r="CJ37" s="3" t="n">
        <v>1</v>
      </c>
      <c r="CK37" s="2" t="inlineStr">
        <is>
          <t>近三年至少担任过一个合同额1000万元以上项目相应岗位的主管</t>
        </is>
      </c>
      <c r="CL37" s="2" t="inlineStr">
        <is>
          <t>近三年至少担任过一个合同额1000万元以上项目相应岗位的主管</t>
        </is>
      </c>
      <c r="CM37" s="2" t="inlineStr">
        <is>
          <t>南化建司劳2017-1号文-南京南化建设有限公司施工一线专业序列人员分级管理规定</t>
        </is>
      </c>
      <c r="CN37" s="2" t="inlineStr">
        <is>
          <t>第三章第3条C类</t>
        </is>
      </c>
      <c r="CO37" s="2" t="inlineStr">
        <is>
          <t>否</t>
        </is>
      </c>
      <c r="CP37" s="2" t="inlineStr">
        <is>
          <t>未到项目上任职</t>
        </is>
      </c>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t="inlineStr">
        <is>
          <t>5206b641-2794-463b-9093-41953eee61ae</t>
        </is>
      </c>
      <c r="CJ38" s="3" t="n">
        <v>2</v>
      </c>
      <c r="CK38" s="2" t="inlineStr">
        <is>
          <t>公司二级单位或公司职能部门推荐</t>
        </is>
      </c>
      <c r="CL38" s="2" t="inlineStr">
        <is>
          <t>公司二级单位或公司职能部门推荐</t>
        </is>
      </c>
      <c r="CM38" s="2" t="inlineStr">
        <is>
          <t>南化建司劳2017-1号文-南京南化建设有限公司施工一线专业序列人员分级管理规定</t>
        </is>
      </c>
      <c r="CN38" s="2" t="inlineStr">
        <is>
          <t>第三章第3条C类</t>
        </is>
      </c>
      <c r="CO38" s="2" t="inlineStr">
        <is>
          <t>否</t>
        </is>
      </c>
      <c r="CP38" s="2" t="inlineStr">
        <is>
          <t>对应的评价标准不匹配</t>
        </is>
      </c>
    </row>
    <row r="39">
      <c r="A39" s="2" t="inlineStr">
        <is>
          <t>121cde23-7f9a-4b52-8d40-6cc01913ea91</t>
        </is>
      </c>
      <c r="B39" s="2" t="inlineStr">
        <is>
          <t>C.均衡，工作负荷一般，按部就班完成工作，除了突发时间几乎不用加班</t>
        </is>
      </c>
      <c r="C39" s="2" t="inlineStr">
        <is>
          <t>综合办公室    赵乐    女    吴欣畏</t>
        </is>
      </c>
      <c r="D39" s="2" t="inlineStr">
        <is>
          <t>Anonymous</t>
        </is>
      </c>
      <c r="E39" s="2" t="inlineStr">
        <is>
          <t>Anonymous</t>
        </is>
      </c>
      <c r="F39" s="2"/>
      <c r="G39" s="2" t="inlineStr">
        <is>
          <t>2026-05-25 10:56:15</t>
        </is>
      </c>
      <c r="H39" s="2" t="inlineStr">
        <is>
          <t>吴欣畏</t>
        </is>
      </c>
      <c r="I39" s="2" t="inlineStr">
        <is>
          <t>320112197610100429</t>
        </is>
      </c>
      <c r="J39" s="2" t="inlineStr">
        <is>
          <t>女</t>
        </is>
      </c>
      <c r="K39" s="2" t="inlineStr">
        <is>
          <t>综合办公室</t>
        </is>
      </c>
      <c r="L39" s="2" t="inlineStr">
        <is>
          <t>1994-08-01</t>
        </is>
      </c>
      <c r="M39" s="2" t="inlineStr">
        <is>
          <t>江苏省自学考试中心</t>
        </is>
      </c>
      <c r="N39" s="2" t="inlineStr">
        <is>
          <t>其他</t>
        </is>
      </c>
      <c r="O39" s="2" t="inlineStr">
        <is>
          <t>大专</t>
        </is>
      </c>
      <c r="P39" s="2" t="inlineStr">
        <is>
          <t>综合办公室</t>
        </is>
      </c>
      <c r="Q39" s="2" t="inlineStr">
        <is>
          <t>赵乐</t>
        </is>
      </c>
      <c r="R39" s="2" t="inlineStr">
        <is>
          <t>女</t>
        </is>
      </c>
      <c r="S39" s="2" t="inlineStr">
        <is>
          <t>2019-10-01</t>
        </is>
      </c>
      <c r="T39" s="2" t="inlineStr">
        <is>
          <t>主管工程师</t>
        </is>
      </c>
      <c r="U39" s="2" t="inlineStr">
        <is>
          <t>徐州工程学院</t>
        </is>
      </c>
      <c r="V39" s="2" t="inlineStr">
        <is>
          <t>其他</t>
        </is>
      </c>
      <c r="W39" s="2" t="inlineStr">
        <is>
          <t>本科</t>
        </is>
      </c>
      <c r="X39" s="2" t="inlineStr">
        <is>
          <t>A.积极高效：经常提前完成，且质量超出预期。</t>
        </is>
      </c>
      <c r="Y39" s="2" t="inlineStr">
        <is>
          <t>A.始终如一：无论任务大小，交付件标准都很高。</t>
        </is>
      </c>
      <c r="Z39" s="2" t="inlineStr">
        <is>
          <t>A.极其省心：只需交代目标，剩下的一律不用管，最后不仅能准时交付，甚至能超出预期。</t>
        </is>
      </c>
      <c r="AA39" s="2" t="inlineStr">
        <is>
          <t>B.清楚岗位：对自己岗位的活儿很门清，略知上下游。</t>
        </is>
      </c>
      <c r="AB39" s="2" t="inlineStr">
        <is>
          <t>B.尽力而为：能解决大部分问题，解决不了的会及时求助。</t>
        </is>
      </c>
      <c r="AC39" s="2" t="inlineStr">
        <is>
          <t>A.模范标兵：严于律己，从未在琐事上让主管费心。</t>
        </is>
      </c>
      <c r="AD39" s="2" t="inlineStr">
        <is>
          <t>B.偶尔思考：在主管启发下，能提出一些优化想法</t>
        </is>
      </c>
      <c r="AE39" s="2" t="inlineStr">
        <is>
          <t>B.正常沟通：能清晰表达需求，维持基本的协作。</t>
        </is>
      </c>
      <c r="AF39" s="2" t="inlineStr">
        <is>
          <t>B.有问有答：问到时能说清楚进度，基本能做到及时反馈。</t>
        </is>
      </c>
      <c r="AG39" s="2" t="inlineStr">
        <is>
          <t>B.稳定器：做好自己，不给团队添乱，是可靠的一员。</t>
        </is>
      </c>
      <c r="AH39" s="2" t="inlineStr">
        <is>
          <t>B.懂得求助：在尝试后会及时向主管或同事反馈，寻求资源支持。</t>
        </is>
      </c>
      <c r="AI39" s="2" t="inlineStr">
        <is>
          <t>B. 配合接受：主管安排了就干，不推辞。</t>
        </is>
      </c>
      <c r="AJ39" s="2" t="inlineStr">
        <is>
          <t>F.过去一年没有过这种连轴转等情况</t>
        </is>
      </c>
      <c r="AK39" s="2" t="inlineStr">
        <is>
          <t>B.照单全收：态度很好，虽然不一定完全理解，但会按要求改。</t>
        </is>
      </c>
      <c r="AL39" s="2" t="inlineStr">
        <is>
          <t>A.极速掌握：自学能力极强，很快就能成为该领域的“百晓生”。</t>
        </is>
      </c>
      <c r="AM39" s="2" t="inlineStr">
        <is>
          <t>B.愿意传帮带：平时爱分享避坑指南，能带徒弟。</t>
        </is>
      </c>
      <c r="AN39" s="2" t="inlineStr">
        <is>
          <t>A.第一梯队（Top 10%）：部门的标杆。</t>
        </is>
      </c>
      <c r="AO39" s="2" t="inlineStr">
        <is>
          <t>B.业务骨干：是团队不可或缺的腰部力量。</t>
        </is>
      </c>
      <c r="AP39" s="2" t="inlineStr">
        <is>
          <t>A.晴天霹雳：极其遗憾，会不惜代价挽留，他是部门的支柱。</t>
        </is>
      </c>
      <c r="AQ39" s="2" t="inlineStr">
        <is>
          <t>B</t>
        </is>
      </c>
      <c r="AR39" s="2" t="inlineStr">
        <is>
          <t>A</t>
        </is>
      </c>
      <c r="AS39" s="2" t="inlineStr">
        <is>
          <t>不一致</t>
        </is>
      </c>
      <c r="AT39" s="2" t="inlineStr">
        <is>
          <t>A</t>
        </is>
      </c>
      <c r="AU39" s="2" t="inlineStr">
        <is>
          <t>4档</t>
        </is>
      </c>
      <c r="AV39" s="3" t="n">
        <v>9200</v>
      </c>
      <c r="AW39" s="3" t="n">
        <v>7360</v>
      </c>
      <c r="AX39" s="3" t="n">
        <v>11040</v>
      </c>
      <c r="AY39" s="2" t="inlineStr">
        <is>
          <t>B</t>
        </is>
      </c>
      <c r="AZ39" s="2" t="inlineStr">
        <is>
          <t>工作认真，能够胜任本职岗位，工作质量高。</t>
        </is>
      </c>
      <c r="BA39" s="7" t="n">
        <v>5</v>
      </c>
      <c r="BB39" s="7" t="n">
        <v>5</v>
      </c>
      <c r="BC39" s="7" t="n">
        <v>5</v>
      </c>
      <c r="BD39" s="7" t="n">
        <v>4</v>
      </c>
      <c r="BE39" s="7" t="n">
        <v>4</v>
      </c>
      <c r="BF39" s="7" t="n">
        <v>5</v>
      </c>
      <c r="BG39" s="7" t="n">
        <v>4</v>
      </c>
      <c r="BH39" s="7" t="n">
        <v>3.5</v>
      </c>
      <c r="BI39" s="7" t="n">
        <v>4</v>
      </c>
      <c r="BJ39" s="7" t="n">
        <v>4</v>
      </c>
      <c r="BK39" s="7" t="n">
        <v>3</v>
      </c>
      <c r="BL39" s="7" t="n">
        <v>4</v>
      </c>
      <c r="BM39" s="7" t="n">
        <v>3</v>
      </c>
      <c r="BN39" s="7" t="n">
        <v>1</v>
      </c>
      <c r="BO39" s="7" t="n">
        <v>3</v>
      </c>
      <c r="BP39" s="7" t="n">
        <v>5</v>
      </c>
      <c r="BQ39" s="7" t="n">
        <v>4</v>
      </c>
      <c r="BR39" s="7" t="n">
        <v>5</v>
      </c>
      <c r="BS39" s="7" t="n">
        <v>4</v>
      </c>
      <c r="BT39" s="7" t="n">
        <v>5</v>
      </c>
      <c r="BU39" s="7" t="n">
        <v>80.5</v>
      </c>
      <c r="BV39" s="2"/>
      <c r="BW39" s="2"/>
      <c r="BX39" s="2"/>
      <c r="BY39" s="6">
        <f>HYPERLINK("https://www.h3yun.com/Form/Attachments/?schemacode=D148357733993cc00c048ad9898e53f5f82cbb9&amp;bizObjectId=121cde23-7f9a-4b52-8d40-6cc01913ea91&amp;name=F0000016","点击查看")</f>
        <v>0</v>
      </c>
      <c r="BZ39" s="2" t="inlineStr">
        <is>
          <t>2026-05-21 16:38:25</t>
        </is>
      </c>
      <c r="CA39" s="2"/>
      <c r="CB39" s="2" t="inlineStr">
        <is>
          <t>已提交</t>
        </is>
      </c>
      <c r="CC39" s="2" t="inlineStr">
        <is>
          <t>无</t>
        </is>
      </c>
      <c r="CD39" s="2" t="inlineStr">
        <is>
          <t>无</t>
        </is>
      </c>
      <c r="CE39" s="2" t="inlineStr">
        <is>
          <t>无</t>
        </is>
      </c>
      <c r="CF39" s="2"/>
      <c r="CG39" s="2" t="inlineStr">
        <is>
          <t>320113199405102447</t>
        </is>
      </c>
      <c r="CH39" s="2" t="inlineStr">
        <is>
          <t>已生效</t>
        </is>
      </c>
      <c r="CI39" s="2" t="inlineStr">
        <is>
          <t>22089579-a867-4200-a4d1-55f408a850f9</t>
        </is>
      </c>
      <c r="CJ39" s="3" t="n">
        <v>1</v>
      </c>
      <c r="CK39" s="2" t="inlineStr">
        <is>
          <t>近三年至少担任过一个合同额1500万元以上项目相应岗位的主管</t>
        </is>
      </c>
      <c r="CL39" s="2" t="inlineStr">
        <is>
          <t>近三年至少担任过一个合同额1500万元以上项目相应岗位的主管</t>
        </is>
      </c>
      <c r="CM39" s="2" t="inlineStr">
        <is>
          <t>南化建司劳2017-1号文-南京南化建设有限公司施工一线专业序列人员分级管理规定</t>
        </is>
      </c>
      <c r="CN39" s="2" t="inlineStr">
        <is>
          <t>第三章第2条B类</t>
        </is>
      </c>
      <c r="CO39" s="2" t="inlineStr">
        <is>
          <t>否</t>
        </is>
      </c>
      <c r="CP39" s="2" t="inlineStr">
        <is>
          <t>不适用综合办</t>
        </is>
      </c>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t="inlineStr">
        <is>
          <t>d5c4de13-afec-4678-9737-3f38d10b3402</t>
        </is>
      </c>
      <c r="CJ40" s="3" t="n">
        <v>2</v>
      </c>
      <c r="CK40" s="2" t="inlineStr">
        <is>
          <t>公司二级单位或公司职能部门推荐</t>
        </is>
      </c>
      <c r="CL40" s="2" t="inlineStr">
        <is>
          <t>公司二级单位或公司职能部门推荐</t>
        </is>
      </c>
      <c r="CM40" s="2" t="inlineStr">
        <is>
          <t>南化建司劳2017-1号文-南京南化建设有限公司施工一线专业序列人员分级管理规定</t>
        </is>
      </c>
      <c r="CN40" s="2" t="inlineStr">
        <is>
          <t>第三章第2条B类</t>
        </is>
      </c>
      <c r="CO40" s="2" t="inlineStr">
        <is>
          <t>否</t>
        </is>
      </c>
      <c r="CP40" s="2" t="inlineStr">
        <is>
          <t>不适用综合办</t>
        </is>
      </c>
    </row>
    <row r="41">
      <c r="A41" s="2" t="inlineStr">
        <is>
          <t>3efbbb6c-b9f3-4010-95bd-62057518f9d2</t>
        </is>
      </c>
      <c r="B41" s="2" t="inlineStr">
        <is>
          <t>C.均衡，工作负荷一般，按部就班完成工作，除了突发时间几乎不用加班</t>
        </is>
      </c>
      <c r="C41" s="2" t="inlineStr">
        <is>
          <t>综合办公室    陈洁    女    孙璐</t>
        </is>
      </c>
      <c r="D41" s="2" t="inlineStr">
        <is>
          <t>Anonymous</t>
        </is>
      </c>
      <c r="E41" s="2" t="inlineStr">
        <is>
          <t>Anonymous</t>
        </is>
      </c>
      <c r="F41" s="2"/>
      <c r="G41" s="2" t="inlineStr">
        <is>
          <t>2026-05-25 10:56:15</t>
        </is>
      </c>
      <c r="H41" s="2" t="inlineStr">
        <is>
          <t>孙璐</t>
        </is>
      </c>
      <c r="I41" s="2" t="inlineStr">
        <is>
          <t>320112198309230421</t>
        </is>
      </c>
      <c r="J41" s="2" t="inlineStr">
        <is>
          <t>女</t>
        </is>
      </c>
      <c r="K41" s="2" t="inlineStr">
        <is>
          <t>综合办公室</t>
        </is>
      </c>
      <c r="L41" s="2" t="inlineStr">
        <is>
          <t>2008-06-01</t>
        </is>
      </c>
      <c r="M41" s="2" t="inlineStr">
        <is>
          <t>南京信息工程大学</t>
        </is>
      </c>
      <c r="N41" s="2" t="inlineStr">
        <is>
          <t>其他</t>
        </is>
      </c>
      <c r="O41" s="2" t="inlineStr">
        <is>
          <t>本科</t>
        </is>
      </c>
      <c r="P41" s="2" t="inlineStr">
        <is>
          <t>综合办公室</t>
        </is>
      </c>
      <c r="Q41" s="2" t="inlineStr">
        <is>
          <t>陈洁</t>
        </is>
      </c>
      <c r="R41" s="2" t="inlineStr">
        <is>
          <t>女</t>
        </is>
      </c>
      <c r="S41" s="2" t="inlineStr">
        <is>
          <t>2010-08-02</t>
        </is>
      </c>
      <c r="T41" s="2" t="inlineStr">
        <is>
          <t>专业工程师</t>
        </is>
      </c>
      <c r="U41" s="2" t="inlineStr">
        <is>
          <t>淮海工学院</t>
        </is>
      </c>
      <c r="V41" s="2" t="inlineStr">
        <is>
          <t>化机</t>
        </is>
      </c>
      <c r="W41" s="2" t="inlineStr">
        <is>
          <t>本科</t>
        </is>
      </c>
      <c r="X41" s="2" t="inlineStr">
        <is>
          <t>A.积极高效：经常提前完成，且质量超出预期。</t>
        </is>
      </c>
      <c r="Y41" s="2" t="inlineStr">
        <is>
          <t>A.始终如一：无论任务大小，交付件标准都很高。</t>
        </is>
      </c>
      <c r="Z41" s="2" t="inlineStr">
        <is>
          <t>A.极其省心：只需交代目标，剩下的一律不用管，最后不仅能准时交付，甚至能超出预期。</t>
        </is>
      </c>
      <c r="AA41" s="2" t="inlineStr">
        <is>
          <t>B.清楚岗位：对自己岗位的活儿很门清，略知上下游。</t>
        </is>
      </c>
      <c r="AB41" s="2" t="inlineStr">
        <is>
          <t>A.攻坚克难：会想尽一切办法钻研，直至彻底解决。</t>
        </is>
      </c>
      <c r="AC41" s="2" t="inlineStr">
        <is>
          <t>B.基本合规：偶尔迟到或忘打卡，提醒后能迅速改正。</t>
        </is>
      </c>
      <c r="AD41" s="2" t="inlineStr">
        <is>
          <t>B.偶尔思考：在主管启发下，能提出一些优化想法</t>
        </is>
      </c>
      <c r="AE41" s="2" t="inlineStr">
        <is>
          <t>A.推进力极强：能搞定不同性格的人，让对方配合。</t>
        </is>
      </c>
      <c r="AF41" s="2" t="inlineStr">
        <is>
          <t>A.完美闭环：进展、难点、结果都会主动汇报，无需催促。</t>
        </is>
      </c>
      <c r="AG41" s="2" t="inlineStr">
        <is>
          <t>A.动力源：像小太阳，主动分享、帮人解惑，带活团队。</t>
        </is>
      </c>
      <c r="AH41" s="2" t="inlineStr">
        <is>
          <t>A.整合高手：能迅速找到能帮上忙的人和资源，借力打力解决问题。</t>
        </is>
      </c>
      <c r="AI41" s="2" t="inlineStr">
        <is>
          <t>B. 配合接受：主管安排了就干，不推辞。</t>
        </is>
      </c>
      <c r="AJ41" s="2" t="inlineStr">
        <is>
          <t>B.配合度高：虽然有压力，但能服从大局，咬牙顶上去，且质量尚可。</t>
        </is>
      </c>
      <c r="AK41" s="2" t="inlineStr">
        <is>
          <t>A.虚心求教：能听进去，并积极探讨更科学的方法。</t>
        </is>
      </c>
      <c r="AL41" s="2" t="inlineStr">
        <is>
          <t>A.极速掌握：自学能力极强，很快就能成为该领域的“百晓生”。</t>
        </is>
      </c>
      <c r="AM41" s="2" t="inlineStr">
        <is>
          <t>A.总结达人：能把复杂工作写成标准 SOP，让新手直接用。</t>
        </is>
      </c>
      <c r="AN41" s="2" t="inlineStr">
        <is>
          <t>B.中上水平：高于平均线，是团队的中流砥柱。</t>
        </is>
      </c>
      <c r="AO41" s="2" t="inlineStr">
        <is>
          <t>B.业务骨干：是团队不可或缺的腰部力量。</t>
        </is>
      </c>
      <c r="AP41" s="2" t="inlineStr">
        <is>
          <t>B.有点可惜：是个好手，需要费心再找一个相同水准的。</t>
        </is>
      </c>
      <c r="AQ41" s="2" t="inlineStr">
        <is>
          <t>A</t>
        </is>
      </c>
      <c r="AR41" s="2" t="inlineStr">
        <is>
          <t>B</t>
        </is>
      </c>
      <c r="AS41" s="2" t="inlineStr">
        <is>
          <t>不一致</t>
        </is>
      </c>
      <c r="AT41" s="2" t="inlineStr">
        <is>
          <t>B</t>
        </is>
      </c>
      <c r="AU41" s="2" t="inlineStr">
        <is>
          <t>5档</t>
        </is>
      </c>
      <c r="AV41" s="3" t="n">
        <v>8400</v>
      </c>
      <c r="AW41" s="3" t="n">
        <v>6720</v>
      </c>
      <c r="AX41" s="3" t="n">
        <v>10080</v>
      </c>
      <c r="AY41" s="2" t="inlineStr">
        <is>
          <t>C</t>
        </is>
      </c>
      <c r="AZ41" s="2" t="inlineStr">
        <is>
          <t>新知识学习应用快</t>
        </is>
      </c>
      <c r="BA41" s="7" t="n">
        <v>5</v>
      </c>
      <c r="BB41" s="7" t="n">
        <v>5</v>
      </c>
      <c r="BC41" s="7" t="n">
        <v>5</v>
      </c>
      <c r="BD41" s="7" t="n">
        <v>4</v>
      </c>
      <c r="BE41" s="7" t="n">
        <v>5</v>
      </c>
      <c r="BF41" s="7" t="n">
        <v>3.5</v>
      </c>
      <c r="BG41" s="7" t="n">
        <v>4</v>
      </c>
      <c r="BH41" s="7" t="n">
        <v>5</v>
      </c>
      <c r="BI41" s="7" t="n">
        <v>5</v>
      </c>
      <c r="BJ41" s="7" t="n">
        <v>5</v>
      </c>
      <c r="BK41" s="7" t="n">
        <v>5</v>
      </c>
      <c r="BL41" s="7" t="n">
        <v>4</v>
      </c>
      <c r="BM41" s="7" t="n">
        <v>3</v>
      </c>
      <c r="BN41" s="7" t="n">
        <v>4</v>
      </c>
      <c r="BO41" s="7" t="n">
        <v>5</v>
      </c>
      <c r="BP41" s="7" t="n">
        <v>5</v>
      </c>
      <c r="BQ41" s="7" t="n">
        <v>5</v>
      </c>
      <c r="BR41" s="7" t="n">
        <v>4</v>
      </c>
      <c r="BS41" s="7" t="n">
        <v>4</v>
      </c>
      <c r="BT41" s="7" t="n">
        <v>4</v>
      </c>
      <c r="BU41" s="7" t="n">
        <v>89.5</v>
      </c>
      <c r="BV41" s="2" t="inlineStr">
        <is>
          <t>A.需要存在，不可去除</t>
        </is>
      </c>
      <c r="BW41" s="2"/>
      <c r="BX41" s="2"/>
      <c r="BY41" s="6">
        <f>HYPERLINK("https://www.h3yun.com/Form/Attachments/?schemacode=D148357733993cc00c048ad9898e53f5f82cbb9&amp;bizObjectId=3efbbb6c-b9f3-4010-95bd-62057518f9d2&amp;name=F0000016","点击查看")</f>
        <v>0</v>
      </c>
      <c r="BZ41" s="2" t="inlineStr">
        <is>
          <t>2026-05-21 16:14:27</t>
        </is>
      </c>
      <c r="CA41" s="2"/>
      <c r="CB41" s="2" t="inlineStr">
        <is>
          <t>已提交</t>
        </is>
      </c>
      <c r="CC41" s="2" t="inlineStr">
        <is>
          <t>无</t>
        </is>
      </c>
      <c r="CD41" s="2" t="inlineStr">
        <is>
          <t>无</t>
        </is>
      </c>
      <c r="CE41" s="2" t="inlineStr">
        <is>
          <t>无</t>
        </is>
      </c>
      <c r="CF41" s="2"/>
      <c r="CG41" s="2" t="inlineStr">
        <is>
          <t>32128419880520022X</t>
        </is>
      </c>
      <c r="CH41" s="2" t="inlineStr">
        <is>
          <t>已生效</t>
        </is>
      </c>
      <c r="CI41" s="2" t="inlineStr">
        <is>
          <t>497c794c-7b74-4a4a-b1a5-924f5a8b661c</t>
        </is>
      </c>
      <c r="CJ41" s="3" t="n">
        <v>1</v>
      </c>
      <c r="CK41" s="2" t="inlineStr">
        <is>
          <t>近三年至少担任过一个合同额1000万元以上项目相应岗位的主管</t>
        </is>
      </c>
      <c r="CL41" s="2" t="inlineStr">
        <is>
          <t>近三年至少担任过一个合同额1000万元以上项目相应岗位的主管</t>
        </is>
      </c>
      <c r="CM41" s="2" t="inlineStr">
        <is>
          <t>南化建司劳2017-1号文-南京南化建设有限公司施工一线专业序列人员分级管理规定</t>
        </is>
      </c>
      <c r="CN41" s="2" t="inlineStr">
        <is>
          <t>第三章第3条C类</t>
        </is>
      </c>
      <c r="CO41" s="2" t="inlineStr">
        <is>
          <t>否</t>
        </is>
      </c>
      <c r="CP41" s="2" t="inlineStr">
        <is>
          <t>综合办工作不适用</t>
        </is>
      </c>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t="inlineStr">
        <is>
          <t>e2dfae1e-3a1a-4e85-a60a-0632e012eb13</t>
        </is>
      </c>
      <c r="CJ42" s="3" t="n">
        <v>2</v>
      </c>
      <c r="CK42" s="2" t="inlineStr">
        <is>
          <t>公司二级单位或公司职能部门推荐</t>
        </is>
      </c>
      <c r="CL42" s="2" t="inlineStr">
        <is>
          <t>公司二级单位或公司职能部门推荐</t>
        </is>
      </c>
      <c r="CM42" s="2" t="inlineStr">
        <is>
          <t>南化建司劳2017-1号文-南京南化建设有限公司施工一线专业序列人员分级管理规定</t>
        </is>
      </c>
      <c r="CN42" s="2" t="inlineStr">
        <is>
          <t>第三章第3条C类</t>
        </is>
      </c>
      <c r="CO42" s="2" t="inlineStr">
        <is>
          <t>否</t>
        </is>
      </c>
      <c r="CP42" s="2" t="inlineStr">
        <is>
          <t>综合办工作不适用</t>
        </is>
      </c>
    </row>
    <row r="43">
      <c r="A43" s="2" t="inlineStr">
        <is>
          <t>8ad20d7d-26b7-4693-b22a-59e24fb430ca</t>
        </is>
      </c>
      <c r="B43" s="2" t="inlineStr">
        <is>
          <t>C.均衡，工作负荷一般，按部就班完成工作，除了突发时间几乎不用加班</t>
        </is>
      </c>
      <c r="C43" s="2" t="inlineStr">
        <is>
          <t>综合办公室    郭凤霞    女    孙璐</t>
        </is>
      </c>
      <c r="D43" s="2" t="inlineStr">
        <is>
          <t>Anonymous</t>
        </is>
      </c>
      <c r="E43" s="2" t="inlineStr">
        <is>
          <t>Anonymous</t>
        </is>
      </c>
      <c r="F43" s="2"/>
      <c r="G43" s="2" t="inlineStr">
        <is>
          <t>2026-05-25 10:56:15</t>
        </is>
      </c>
      <c r="H43" s="2" t="inlineStr">
        <is>
          <t>孙璐</t>
        </is>
      </c>
      <c r="I43" s="2" t="inlineStr">
        <is>
          <t>320112198309230421</t>
        </is>
      </c>
      <c r="J43" s="2" t="inlineStr">
        <is>
          <t>女</t>
        </is>
      </c>
      <c r="K43" s="2" t="inlineStr">
        <is>
          <t>综合办公室</t>
        </is>
      </c>
      <c r="L43" s="2" t="inlineStr">
        <is>
          <t>2008-06-01</t>
        </is>
      </c>
      <c r="M43" s="2" t="inlineStr">
        <is>
          <t>南京信息工程大学</t>
        </is>
      </c>
      <c r="N43" s="2" t="inlineStr">
        <is>
          <t>其他</t>
        </is>
      </c>
      <c r="O43" s="2" t="inlineStr">
        <is>
          <t>本科</t>
        </is>
      </c>
      <c r="P43" s="2" t="inlineStr">
        <is>
          <t>综合办公室</t>
        </is>
      </c>
      <c r="Q43" s="2" t="inlineStr">
        <is>
          <t>郭凤霞</t>
        </is>
      </c>
      <c r="R43" s="2" t="inlineStr">
        <is>
          <t>女</t>
        </is>
      </c>
      <c r="S43" s="2" t="inlineStr">
        <is>
          <t>1994-08-01</t>
        </is>
      </c>
      <c r="T43" s="2" t="inlineStr">
        <is>
          <t>业务主管</t>
        </is>
      </c>
      <c r="U43" s="2" t="inlineStr">
        <is>
          <t>苏州大学</t>
        </is>
      </c>
      <c r="V43" s="2" t="inlineStr">
        <is>
          <t>其他</t>
        </is>
      </c>
      <c r="W43" s="2" t="inlineStr">
        <is>
          <t>本科</t>
        </is>
      </c>
      <c r="X43" s="2" t="inlineStr">
        <is>
          <t>A.积极高效：经常提前完成，且质量超出预期。</t>
        </is>
      </c>
      <c r="Y43" s="2" t="inlineStr">
        <is>
          <t>A.始终如一：无论任务大小，交付件标准都很高。</t>
        </is>
      </c>
      <c r="Z43" s="2" t="inlineStr">
        <is>
          <t>A.极其省心：只需交代目标，剩下的一律不用管，最后不仅能准时交付，甚至能超出预期。</t>
        </is>
      </c>
      <c r="AA43" s="2" t="inlineStr">
        <is>
          <t>A.全局视野：了解上下游，能站在全业务链条考虑问题。</t>
        </is>
      </c>
      <c r="AB43" s="2" t="inlineStr">
        <is>
          <t>A.攻坚克难：会想尽一切办法钻研，直至彻底解决。</t>
        </is>
      </c>
      <c r="AC43" s="2" t="inlineStr">
        <is>
          <t>A.模范标兵：严于律己，从未在琐事上让主管费心。</t>
        </is>
      </c>
      <c r="AD43" s="2" t="inlineStr">
        <is>
          <t>A.持续优化：经常提出改进流程、提升效率的实用建议</t>
        </is>
      </c>
      <c r="AE43" s="2" t="inlineStr">
        <is>
          <t>A.推进力极强：能搞定不同性格的人，让对方配合。</t>
        </is>
      </c>
      <c r="AF43" s="2" t="inlineStr">
        <is>
          <t>B.有问有答：问到时能说清楚进度，基本能做到及时反馈。</t>
        </is>
      </c>
      <c r="AG43" s="2" t="inlineStr">
        <is>
          <t>A.动力源：像小太阳，主动分享、帮人解惑，带活团队。</t>
        </is>
      </c>
      <c r="AH43" s="2" t="inlineStr">
        <is>
          <t>A.整合高手：能迅速找到能帮上忙的人和资源，借力打力解决问题。</t>
        </is>
      </c>
      <c r="AI43" s="2" t="inlineStr">
        <is>
          <t>B. 配合接受：主管安排了就干，不推辞。</t>
        </is>
      </c>
      <c r="AJ43" s="2" t="inlineStr">
        <is>
          <t>B.配合度高：虽然有压力，但能服从大局，咬牙顶上去，且质量尚可。</t>
        </is>
      </c>
      <c r="AK43" s="2" t="inlineStr">
        <is>
          <t>A.虚心求教：能听进去，并积极探讨更科学的方法。</t>
        </is>
      </c>
      <c r="AL43" s="2" t="inlineStr">
        <is>
          <t>B.正常上手：经过简单培训或指导，能很快投入应用。</t>
        </is>
      </c>
      <c r="AM43" s="2" t="inlineStr">
        <is>
          <t>B.愿意传帮带：平时爱分享避坑指南，能带徒弟。</t>
        </is>
      </c>
      <c r="AN43" s="2" t="inlineStr">
        <is>
          <t>A.第一梯队（Top 10%）：部门的标杆。</t>
        </is>
      </c>
      <c r="AO43" s="2" t="inlineStr">
        <is>
          <t>B.业务骨干：是团队不可或缺的腰部力量。</t>
        </is>
      </c>
      <c r="AP43" s="2" t="inlineStr">
        <is>
          <t>A.晴天霹雳：极其遗憾，会不惜代价挽留，他是部门的支柱。</t>
        </is>
      </c>
      <c r="AQ43" s="2" t="inlineStr">
        <is>
          <t>A</t>
        </is>
      </c>
      <c r="AR43" s="2" t="inlineStr">
        <is>
          <t>A</t>
        </is>
      </c>
      <c r="AS43" s="2" t="inlineStr">
        <is>
          <t>一致</t>
        </is>
      </c>
      <c r="AT43" s="2" t="inlineStr">
        <is>
          <t>A</t>
        </is>
      </c>
      <c r="AU43" s="2" t="inlineStr">
        <is>
          <t>3档</t>
        </is>
      </c>
      <c r="AV43" s="3" t="n">
        <v>9000</v>
      </c>
      <c r="AW43" s="3" t="n">
        <v>7200</v>
      </c>
      <c r="AX43" s="3" t="n">
        <v>10800</v>
      </c>
      <c r="AY43" s="2" t="inlineStr">
        <is>
          <t>B</t>
        </is>
      </c>
      <c r="AZ43" s="2" t="inlineStr">
        <is>
          <t>专业能力强</t>
        </is>
      </c>
      <c r="BA43" s="7" t="n">
        <v>5</v>
      </c>
      <c r="BB43" s="7" t="n">
        <v>5</v>
      </c>
      <c r="BC43" s="7" t="n">
        <v>5</v>
      </c>
      <c r="BD43" s="7" t="n">
        <v>5</v>
      </c>
      <c r="BE43" s="7" t="n">
        <v>5</v>
      </c>
      <c r="BF43" s="7" t="n">
        <v>5</v>
      </c>
      <c r="BG43" s="7" t="n">
        <v>5</v>
      </c>
      <c r="BH43" s="7" t="n">
        <v>5</v>
      </c>
      <c r="BI43" s="7" t="n">
        <v>4</v>
      </c>
      <c r="BJ43" s="7" t="n">
        <v>5</v>
      </c>
      <c r="BK43" s="7" t="n">
        <v>5</v>
      </c>
      <c r="BL43" s="7" t="n">
        <v>4</v>
      </c>
      <c r="BM43" s="7" t="n">
        <v>3</v>
      </c>
      <c r="BN43" s="7" t="n">
        <v>4</v>
      </c>
      <c r="BO43" s="7" t="n">
        <v>5</v>
      </c>
      <c r="BP43" s="7" t="n">
        <v>4</v>
      </c>
      <c r="BQ43" s="7" t="n">
        <v>4</v>
      </c>
      <c r="BR43" s="7" t="n">
        <v>5</v>
      </c>
      <c r="BS43" s="7" t="n">
        <v>4</v>
      </c>
      <c r="BT43" s="7" t="n">
        <v>5</v>
      </c>
      <c r="BU43" s="7" t="n">
        <v>92</v>
      </c>
      <c r="BV43" s="2" t="inlineStr">
        <is>
          <t>A.需要存在，不可去除</t>
        </is>
      </c>
      <c r="BW43" s="2"/>
      <c r="BX43" s="2"/>
      <c r="BY43" s="6">
        <f>HYPERLINK("https://www.h3yun.com/Form/Attachments/?schemacode=D148357733993cc00c048ad9898e53f5f82cbb9&amp;bizObjectId=8ad20d7d-26b7-4693-b22a-59e24fb430ca&amp;name=F0000016","点击查看")</f>
        <v>0</v>
      </c>
      <c r="BZ43" s="2" t="inlineStr">
        <is>
          <t>2026-05-21 16:11:11</t>
        </is>
      </c>
      <c r="CA43" s="2"/>
      <c r="CB43" s="2" t="inlineStr">
        <is>
          <t>已提交</t>
        </is>
      </c>
      <c r="CC43" s="2" t="inlineStr">
        <is>
          <t>馆员</t>
        </is>
      </c>
      <c r="CD43" s="2" t="inlineStr">
        <is>
          <t>资料员</t>
        </is>
      </c>
      <c r="CE43" s="2" t="inlineStr">
        <is>
          <t>优秀员工</t>
        </is>
      </c>
      <c r="CF43" s="2"/>
      <c r="CG43" s="2" t="inlineStr">
        <is>
          <t>32011119750103442X</t>
        </is>
      </c>
      <c r="CH43" s="2" t="inlineStr">
        <is>
          <t>已生效</t>
        </is>
      </c>
      <c r="CI43" s="2" t="inlineStr">
        <is>
          <t>69b05535-8e7d-4186-841f-29d97bbe4aa0</t>
        </is>
      </c>
      <c r="CJ43" s="3" t="n">
        <v>1</v>
      </c>
      <c r="CK43" s="2" t="inlineStr">
        <is>
          <t>近三年至少担任过一个合同额1500万元以上项目相应岗位的主管</t>
        </is>
      </c>
      <c r="CL43" s="2" t="inlineStr">
        <is>
          <t>近三年至少担任过一个合同额1500万元以上项目相应岗位的主管</t>
        </is>
      </c>
      <c r="CM43" s="2" t="inlineStr">
        <is>
          <t>南化建司劳2017-1号文-南京南化建设有限公司施工一线专业序列人员分级管理规定</t>
        </is>
      </c>
      <c r="CN43" s="2" t="inlineStr">
        <is>
          <t>第三章第2条B类</t>
        </is>
      </c>
      <c r="CO43" s="2" t="inlineStr">
        <is>
          <t>否</t>
        </is>
      </c>
      <c r="CP43" s="2" t="inlineStr">
        <is>
          <t>综合办工作不适用</t>
        </is>
      </c>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t="inlineStr">
        <is>
          <t>71ec9a02-0ba1-4dc0-aa3b-0ea52974f438</t>
        </is>
      </c>
      <c r="CJ44" s="3" t="n">
        <v>2</v>
      </c>
      <c r="CK44" s="2" t="inlineStr">
        <is>
          <t>公司二级单位或公司职能部门推荐</t>
        </is>
      </c>
      <c r="CL44" s="2" t="inlineStr">
        <is>
          <t>公司二级单位或公司职能部门推荐</t>
        </is>
      </c>
      <c r="CM44" s="2" t="inlineStr">
        <is>
          <t>南化建司劳2017-1号文-南京南化建设有限公司施工一线专业序列人员分级管理规定</t>
        </is>
      </c>
      <c r="CN44" s="2" t="inlineStr">
        <is>
          <t>第三章第2条B类</t>
        </is>
      </c>
      <c r="CO44" s="2" t="inlineStr">
        <is>
          <t>否</t>
        </is>
      </c>
      <c r="CP44" s="2" t="inlineStr">
        <is>
          <t>综合办工作不适用</t>
        </is>
      </c>
    </row>
    <row r="45">
      <c r="A45" s="2" t="inlineStr">
        <is>
          <t>b010526f-e15a-452a-abc6-0f64545a6ba1</t>
        </is>
      </c>
      <c r="B45" s="2" t="inlineStr">
        <is>
          <t>C.均衡，工作负荷一般，按部就班完成工作，除了突发时间几乎不用加班</t>
        </is>
      </c>
      <c r="C45" s="2" t="inlineStr">
        <is>
          <t>综合办公室    王培培    女    孙璐</t>
        </is>
      </c>
      <c r="D45" s="2" t="inlineStr">
        <is>
          <t>Anonymous</t>
        </is>
      </c>
      <c r="E45" s="2" t="inlineStr">
        <is>
          <t>Anonymous</t>
        </is>
      </c>
      <c r="F45" s="2"/>
      <c r="G45" s="2" t="inlineStr">
        <is>
          <t>2026-05-25 10:56:15</t>
        </is>
      </c>
      <c r="H45" s="2" t="inlineStr">
        <is>
          <t>孙璐</t>
        </is>
      </c>
      <c r="I45" s="2" t="inlineStr">
        <is>
          <t>320112198309230421</t>
        </is>
      </c>
      <c r="J45" s="2" t="inlineStr">
        <is>
          <t>女</t>
        </is>
      </c>
      <c r="K45" s="2" t="inlineStr">
        <is>
          <t>综合办公室</t>
        </is>
      </c>
      <c r="L45" s="2" t="inlineStr">
        <is>
          <t>2008-06-01</t>
        </is>
      </c>
      <c r="M45" s="2" t="inlineStr">
        <is>
          <t>南京信息工程大学</t>
        </is>
      </c>
      <c r="N45" s="2" t="inlineStr">
        <is>
          <t>其他</t>
        </is>
      </c>
      <c r="O45" s="2" t="inlineStr">
        <is>
          <t>本科</t>
        </is>
      </c>
      <c r="P45" s="2" t="inlineStr">
        <is>
          <t>综合办公室</t>
        </is>
      </c>
      <c r="Q45" s="2" t="inlineStr">
        <is>
          <t>王培培</t>
        </is>
      </c>
      <c r="R45" s="2" t="inlineStr">
        <is>
          <t>女</t>
        </is>
      </c>
      <c r="S45" s="2" t="inlineStr">
        <is>
          <t>2021-07-01</t>
        </is>
      </c>
      <c r="T45" s="2" t="inlineStr">
        <is>
          <t>技术助理(一)</t>
        </is>
      </c>
      <c r="U45" s="2" t="inlineStr">
        <is>
          <t>无锡商业职业技术学院</t>
        </is>
      </c>
      <c r="V45" s="2" t="inlineStr">
        <is>
          <t>材料员</t>
        </is>
      </c>
      <c r="W45" s="2" t="inlineStr">
        <is>
          <t>大专</t>
        </is>
      </c>
      <c r="X45" s="2" t="inlineStr">
        <is>
          <t>B.按时推进：基本能卡着时间点完成，不掉链子。</t>
        </is>
      </c>
      <c r="Y45" s="2" t="inlineStr">
        <is>
          <t>B.基本稳定：偶有小瑕疵，但不影响整体使用。</t>
        </is>
      </c>
      <c r="Z45" s="2" t="inlineStr">
        <is>
          <t>B.比较省心：只需定期同步一下进度，不需要主管盯着细节，能独立把事情办成。</t>
        </is>
      </c>
      <c r="AA45" s="2" t="inlineStr">
        <is>
          <t>B.清楚岗位：对自己岗位的活儿很门清，略知上下游。</t>
        </is>
      </c>
      <c r="AB45" s="2" t="inlineStr">
        <is>
          <t>B.尽力而为：能解决大部分问题，解决不了的会及时求助。</t>
        </is>
      </c>
      <c r="AC45" s="2" t="inlineStr">
        <is>
          <t>B.基本合规：偶尔迟到或忘打卡，提醒后能迅速改正。</t>
        </is>
      </c>
      <c r="AD45" s="2" t="inlineStr">
        <is>
          <t>B.偶尔思考：在主管启发下，能提出一些优化想法</t>
        </is>
      </c>
      <c r="AE45" s="2" t="inlineStr">
        <is>
          <t>B.正常沟通：能清晰表达需求，维持基本的协作。</t>
        </is>
      </c>
      <c r="AF45" s="2" t="inlineStr">
        <is>
          <t>B.有问有答：问到时能说清楚进度，基本能做到及时反馈。</t>
        </is>
      </c>
      <c r="AG45" s="2" t="inlineStr">
        <is>
          <t>B.稳定器：做好自己，不给团队添乱，是可靠的一员。</t>
        </is>
      </c>
      <c r="AH45" s="2" t="inlineStr">
        <is>
          <t>B.懂得求助：在尝试后会及时向主管或同事反馈，寻求资源支持。</t>
        </is>
      </c>
      <c r="AI45" s="2" t="inlineStr">
        <is>
          <t>B. 配合接受：主管安排了就干，不推辞。</t>
        </is>
      </c>
      <c r="AJ45" s="2" t="inlineStr">
        <is>
          <t>B.配合度高：虽然有压力，但能服从大局，咬牙顶上去，且质量尚可。</t>
        </is>
      </c>
      <c r="AK45" s="2" t="inlineStr">
        <is>
          <t>B.照单全收：态度很好，虽然不一定完全理解，但会按要求改。</t>
        </is>
      </c>
      <c r="AL45" s="2" t="inlineStr">
        <is>
          <t>B.正常上手：经过简单培训或指导，能很快投入应用。</t>
        </is>
      </c>
      <c r="AM45" s="2" t="inlineStr">
        <is>
          <t>C.技能私有：自己干得好也愿意分享，但是不会总结或讲不出来。</t>
        </is>
      </c>
      <c r="AN45" s="2" t="inlineStr">
        <is>
          <t>C.中规中矩：刚好达标，替代性较强。</t>
        </is>
      </c>
      <c r="AO45" s="2" t="inlineStr">
        <is>
          <t>C.熟练工：能胜任重复性工作，但很难承担更高阶的挑战。</t>
        </is>
      </c>
      <c r="AP45" s="2" t="inlineStr">
        <is>
          <t>D.有点影响：目前人员缺失，正好符合这个领域，没人用，有比没有好</t>
        </is>
      </c>
      <c r="AQ45" s="2" t="inlineStr">
        <is>
          <t>C</t>
        </is>
      </c>
      <c r="AR45" s="2" t="inlineStr">
        <is>
          <t>B</t>
        </is>
      </c>
      <c r="AS45" s="2" t="inlineStr">
        <is>
          <t>不一致</t>
        </is>
      </c>
      <c r="AT45" s="2" t="inlineStr">
        <is>
          <t>B</t>
        </is>
      </c>
      <c r="AU45" s="2" t="inlineStr">
        <is>
          <t>1档</t>
        </is>
      </c>
      <c r="AV45" s="3" t="n">
        <v>7600</v>
      </c>
      <c r="AW45" s="3" t="n">
        <v>6080</v>
      </c>
      <c r="AX45" s="3" t="n">
        <v>9120</v>
      </c>
      <c r="AY45" s="2" t="inlineStr">
        <is>
          <t>C</t>
        </is>
      </c>
      <c r="AZ45" s="2" t="inlineStr">
        <is>
          <t>能完成安排的工作</t>
        </is>
      </c>
      <c r="BA45" s="7" t="n">
        <v>3</v>
      </c>
      <c r="BB45" s="7" t="n">
        <v>4</v>
      </c>
      <c r="BC45" s="7" t="n">
        <v>4</v>
      </c>
      <c r="BD45" s="7" t="n">
        <v>4</v>
      </c>
      <c r="BE45" s="7" t="n">
        <v>4</v>
      </c>
      <c r="BF45" s="7" t="n">
        <v>3.5</v>
      </c>
      <c r="BG45" s="7" t="n">
        <v>4</v>
      </c>
      <c r="BH45" s="7" t="n">
        <v>3.5</v>
      </c>
      <c r="BI45" s="7" t="n">
        <v>4</v>
      </c>
      <c r="BJ45" s="7" t="n">
        <v>4</v>
      </c>
      <c r="BK45" s="7" t="n">
        <v>3</v>
      </c>
      <c r="BL45" s="7" t="n">
        <v>4</v>
      </c>
      <c r="BM45" s="7" t="n">
        <v>3</v>
      </c>
      <c r="BN45" s="7" t="n">
        <v>4</v>
      </c>
      <c r="BO45" s="7" t="n">
        <v>3</v>
      </c>
      <c r="BP45" s="7" t="n">
        <v>4</v>
      </c>
      <c r="BQ45" s="7" t="n">
        <v>2</v>
      </c>
      <c r="BR45" s="7" t="n">
        <v>3</v>
      </c>
      <c r="BS45" s="7" t="n">
        <v>3</v>
      </c>
      <c r="BT45" s="7" t="n">
        <v>1</v>
      </c>
      <c r="BU45" s="7" t="n">
        <v>68</v>
      </c>
      <c r="BV45" s="2" t="inlineStr">
        <is>
          <t>B.存不存在均可</t>
        </is>
      </c>
      <c r="BW45" s="2"/>
      <c r="BX45" s="2"/>
      <c r="BY45" s="6">
        <f>HYPERLINK("https://www.h3yun.com/Form/Attachments/?schemacode=D148357733993cc00c048ad9898e53f5f82cbb9&amp;bizObjectId=b010526f-e15a-452a-abc6-0f64545a6ba1&amp;name=F0000016","点击查看")</f>
        <v>0</v>
      </c>
      <c r="BZ45" s="2" t="inlineStr">
        <is>
          <t>2026-05-21 16:08:29</t>
        </is>
      </c>
      <c r="CA45" s="2"/>
      <c r="CB45" s="2" t="inlineStr">
        <is>
          <t>已提交</t>
        </is>
      </c>
      <c r="CC45" s="2" t="inlineStr">
        <is>
          <t>无</t>
        </is>
      </c>
      <c r="CD45" s="2" t="inlineStr">
        <is>
          <t>无</t>
        </is>
      </c>
      <c r="CE45" s="2" t="inlineStr">
        <is>
          <t>无</t>
        </is>
      </c>
      <c r="CF45" s="2"/>
      <c r="CG45" s="2" t="inlineStr">
        <is>
          <t>320923199404016041</t>
        </is>
      </c>
      <c r="CH45" s="2" t="inlineStr">
        <is>
          <t>已生效</t>
        </is>
      </c>
      <c r="CI45" s="2" t="inlineStr">
        <is>
          <t>d477c650-6c2a-4d86-a78e-8b5728bb79f7</t>
        </is>
      </c>
      <c r="CJ45" s="3" t="n">
        <v>1</v>
      </c>
      <c r="CK45" s="2" t="inlineStr">
        <is>
          <t>近三年至少担任过一个合同额1000万元以上项目相应岗位的主管</t>
        </is>
      </c>
      <c r="CL45" s="2" t="inlineStr">
        <is>
          <t>近三年至少担任过一个合同额1000万元以上项目相应岗位的主管</t>
        </is>
      </c>
      <c r="CM45" s="2" t="inlineStr">
        <is>
          <t>南化建司劳2017-1号文-南京南化建设有限公司施工一线专业序列人员分级管理规定</t>
        </is>
      </c>
      <c r="CN45" s="2" t="inlineStr">
        <is>
          <t>第三章第3条C类</t>
        </is>
      </c>
      <c r="CO45" s="2" t="inlineStr">
        <is>
          <t>否</t>
        </is>
      </c>
      <c r="CP45" s="2" t="inlineStr">
        <is>
          <t>综合办工作不适用</t>
        </is>
      </c>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t="inlineStr">
        <is>
          <t>9cd114b4-9be8-4339-acc5-4508b21efa37</t>
        </is>
      </c>
      <c r="CJ46" s="3" t="n">
        <v>2</v>
      </c>
      <c r="CK46" s="2" t="inlineStr">
        <is>
          <t>公司二级单位或公司职能部门推荐</t>
        </is>
      </c>
      <c r="CL46" s="2" t="inlineStr">
        <is>
          <t>公司二级单位或公司职能部门推荐</t>
        </is>
      </c>
      <c r="CM46" s="2" t="inlineStr">
        <is>
          <t>南化建司劳2017-1号文-南京南化建设有限公司施工一线专业序列人员分级管理规定</t>
        </is>
      </c>
      <c r="CN46" s="2" t="inlineStr">
        <is>
          <t>第三章第3条C类</t>
        </is>
      </c>
      <c r="CO46" s="2" t="inlineStr">
        <is>
          <t>否</t>
        </is>
      </c>
      <c r="CP46" s="2" t="inlineStr">
        <is>
          <t>综合办工作不适用</t>
        </is>
      </c>
    </row>
    <row r="47">
      <c r="A47" s="2" t="inlineStr">
        <is>
          <t>ab6c7ffd-b523-425b-a2d1-00fb8bdad54d</t>
        </is>
      </c>
      <c r="B47" s="2" t="inlineStr">
        <is>
          <t>C.均衡，工作负荷一般，按部就班完成工作，除了突发时间几乎不用加班</t>
        </is>
      </c>
      <c r="C47" s="2" t="inlineStr">
        <is>
          <t>综合办公室    李沛宁    男    孙璐</t>
        </is>
      </c>
      <c r="D47" s="2" t="inlineStr">
        <is>
          <t>Anonymous</t>
        </is>
      </c>
      <c r="E47" s="2" t="inlineStr">
        <is>
          <t>Anonymous</t>
        </is>
      </c>
      <c r="F47" s="2"/>
      <c r="G47" s="2" t="inlineStr">
        <is>
          <t>2026-05-25 10:56:15</t>
        </is>
      </c>
      <c r="H47" s="2" t="inlineStr">
        <is>
          <t>孙璐</t>
        </is>
      </c>
      <c r="I47" s="2" t="inlineStr">
        <is>
          <t>320112198309230421</t>
        </is>
      </c>
      <c r="J47" s="2" t="inlineStr">
        <is>
          <t>女</t>
        </is>
      </c>
      <c r="K47" s="2" t="inlineStr">
        <is>
          <t>综合办公室</t>
        </is>
      </c>
      <c r="L47" s="2" t="inlineStr">
        <is>
          <t>2008-06-01</t>
        </is>
      </c>
      <c r="M47" s="2" t="inlineStr">
        <is>
          <t>南京信息工程大学</t>
        </is>
      </c>
      <c r="N47" s="2" t="inlineStr">
        <is>
          <t>其他</t>
        </is>
      </c>
      <c r="O47" s="2" t="inlineStr">
        <is>
          <t>本科</t>
        </is>
      </c>
      <c r="P47" s="2" t="inlineStr">
        <is>
          <t>综合办公室</t>
        </is>
      </c>
      <c r="Q47" s="2" t="inlineStr">
        <is>
          <t>李沛宁</t>
        </is>
      </c>
      <c r="R47" s="2" t="inlineStr">
        <is>
          <t>男</t>
        </is>
      </c>
      <c r="S47" s="2" t="inlineStr">
        <is>
          <t>2018-08-01</t>
        </is>
      </c>
      <c r="T47" s="2" t="inlineStr">
        <is>
          <t>专业工程师</t>
        </is>
      </c>
      <c r="U47" s="2" t="inlineStr">
        <is>
          <t>江苏大学京江学院</t>
        </is>
      </c>
      <c r="V47" s="2" t="inlineStr">
        <is>
          <t>其他</t>
        </is>
      </c>
      <c r="W47" s="2" t="inlineStr">
        <is>
          <t>本科</t>
        </is>
      </c>
      <c r="X47" s="2" t="inlineStr">
        <is>
          <t>A.积极高效：经常提前完成，且质量超出预期。</t>
        </is>
      </c>
      <c r="Y47" s="2" t="inlineStr">
        <is>
          <t>A.始终如一：无论任务大小，交付件标准都很高。</t>
        </is>
      </c>
      <c r="Z47" s="2" t="inlineStr">
        <is>
          <t>B.比较省心：只需定期同步一下进度，不需要主管盯着细节，能独立把事情办成。</t>
        </is>
      </c>
      <c r="AA47" s="2" t="inlineStr">
        <is>
          <t>B.清楚岗位：对自己岗位的活儿很门清，略知上下游。</t>
        </is>
      </c>
      <c r="AB47" s="2" t="inlineStr">
        <is>
          <t>A.攻坚克难：会想尽一切办法钻研，直至彻底解决。</t>
        </is>
      </c>
      <c r="AC47" s="2" t="inlineStr">
        <is>
          <t>B.基本合规：偶尔迟到或忘打卡，提醒后能迅速改正。</t>
        </is>
      </c>
      <c r="AD47" s="2" t="inlineStr">
        <is>
          <t>A.持续优化：经常提出改进流程、提升效率的实用建议</t>
        </is>
      </c>
      <c r="AE47" s="2" t="inlineStr">
        <is>
          <t>B.正常沟通：能清晰表达需求，维持基本的协作。</t>
        </is>
      </c>
      <c r="AF47" s="2" t="inlineStr">
        <is>
          <t>A.完美闭环：进展、难点、结果都会主动汇报，无需催促。</t>
        </is>
      </c>
      <c r="AG47" s="2" t="inlineStr">
        <is>
          <t>B.稳定器：做好自己，不给团队添乱，是可靠的一员。</t>
        </is>
      </c>
      <c r="AH47" s="2" t="inlineStr">
        <is>
          <t>B.懂得求助：在尝试后会及时向主管或同事反馈，寻求资源支持。</t>
        </is>
      </c>
      <c r="AI47" s="2" t="inlineStr">
        <is>
          <t>A. 主动揽活：只要对团队有利，先接过来干了再说。</t>
        </is>
      </c>
      <c r="AJ47" s="2" t="inlineStr">
        <is>
          <t>A.越战越勇：能扛住压力，保持冷静，高效处理紧急事务。</t>
        </is>
      </c>
      <c r="AK47" s="2" t="inlineStr">
        <is>
          <t>A.虚心求教：能听进去，并积极探讨更科学的方法。</t>
        </is>
      </c>
      <c r="AL47" s="2" t="inlineStr">
        <is>
          <t>A.极速掌握：自学能力极强，很快就能成为该领域的“百晓生”。</t>
        </is>
      </c>
      <c r="AM47" s="2" t="inlineStr">
        <is>
          <t>B.愿意传帮带：平时爱分享避坑指南，能带徒弟。</t>
        </is>
      </c>
      <c r="AN47" s="2" t="inlineStr">
        <is>
          <t>B.中上水平：高于平均线，是团队的中流砥柱。</t>
        </is>
      </c>
      <c r="AO47" s="2" t="inlineStr">
        <is>
          <t>B.业务骨干：是团队不可或缺的腰部力量。</t>
        </is>
      </c>
      <c r="AP47" s="2" t="inlineStr">
        <is>
          <t>B.有点可惜：是个好手，需要费心再找一个相同水准的。</t>
        </is>
      </c>
      <c r="AQ47" s="2" t="inlineStr">
        <is>
          <t>A</t>
        </is>
      </c>
      <c r="AR47" s="2" t="inlineStr">
        <is>
          <t>B</t>
        </is>
      </c>
      <c r="AS47" s="2" t="inlineStr">
        <is>
          <t>不一致</t>
        </is>
      </c>
      <c r="AT47" s="2" t="inlineStr">
        <is>
          <t>B</t>
        </is>
      </c>
      <c r="AU47" s="2" t="inlineStr">
        <is>
          <t>4档</t>
        </is>
      </c>
      <c r="AV47" s="3" t="n">
        <v>8200</v>
      </c>
      <c r="AW47" s="3" t="n">
        <v>6560</v>
      </c>
      <c r="AX47" s="3" t="n">
        <v>9840</v>
      </c>
      <c r="AY47" s="2" t="inlineStr">
        <is>
          <t>C</t>
        </is>
      </c>
      <c r="AZ47" s="2" t="inlineStr">
        <is>
          <t>工作积极主动</t>
        </is>
      </c>
      <c r="BA47" s="7" t="n">
        <v>5</v>
      </c>
      <c r="BB47" s="7" t="n">
        <v>5</v>
      </c>
      <c r="BC47" s="7" t="n">
        <v>4</v>
      </c>
      <c r="BD47" s="7" t="n">
        <v>4</v>
      </c>
      <c r="BE47" s="7" t="n">
        <v>5</v>
      </c>
      <c r="BF47" s="7" t="n">
        <v>3.5</v>
      </c>
      <c r="BG47" s="7" t="n">
        <v>5</v>
      </c>
      <c r="BH47" s="7" t="n">
        <v>3.5</v>
      </c>
      <c r="BI47" s="7" t="n">
        <v>5</v>
      </c>
      <c r="BJ47" s="7" t="n">
        <v>4</v>
      </c>
      <c r="BK47" s="7" t="n">
        <v>3</v>
      </c>
      <c r="BL47" s="7" t="n">
        <v>5</v>
      </c>
      <c r="BM47" s="7" t="n">
        <v>3</v>
      </c>
      <c r="BN47" s="7" t="n">
        <v>5</v>
      </c>
      <c r="BO47" s="7" t="n">
        <v>5</v>
      </c>
      <c r="BP47" s="7" t="n">
        <v>5</v>
      </c>
      <c r="BQ47" s="7" t="n">
        <v>4</v>
      </c>
      <c r="BR47" s="7" t="n">
        <v>4</v>
      </c>
      <c r="BS47" s="7" t="n">
        <v>4</v>
      </c>
      <c r="BT47" s="7" t="n">
        <v>4</v>
      </c>
      <c r="BU47" s="7" t="n">
        <v>86</v>
      </c>
      <c r="BV47" s="2" t="inlineStr">
        <is>
          <t>A.需要存在，不可去除</t>
        </is>
      </c>
      <c r="BW47" s="2"/>
      <c r="BX47" s="2"/>
      <c r="BY47" s="6">
        <f>HYPERLINK("https://www.h3yun.com/Form/Attachments/?schemacode=D148357733993cc00c048ad9898e53f5f82cbb9&amp;bizObjectId=ab6c7ffd-b523-425b-a2d1-00fb8bdad54d&amp;name=F0000016","点击查看")</f>
        <v>0</v>
      </c>
      <c r="BZ47" s="2" t="inlineStr">
        <is>
          <t>2026-05-21 16:00:58</t>
        </is>
      </c>
      <c r="CA47" s="2"/>
      <c r="CB47" s="2" t="inlineStr">
        <is>
          <t>已提交</t>
        </is>
      </c>
      <c r="CC47" s="2" t="inlineStr">
        <is>
          <t>中级经济师</t>
        </is>
      </c>
      <c r="CD47" s="2" t="inlineStr">
        <is>
          <t>无</t>
        </is>
      </c>
      <c r="CE47" s="2" t="inlineStr">
        <is>
          <t>无</t>
        </is>
      </c>
      <c r="CF47" s="2"/>
      <c r="CG47" s="2" t="inlineStr">
        <is>
          <t>320112199608170435</t>
        </is>
      </c>
      <c r="CH47" s="2" t="inlineStr">
        <is>
          <t>已生效</t>
        </is>
      </c>
      <c r="CI47" s="2" t="inlineStr">
        <is>
          <t>ddd750e0-e6ed-44b9-8274-df1b506aa244</t>
        </is>
      </c>
      <c r="CJ47" s="3" t="n">
        <v>1</v>
      </c>
      <c r="CK47" s="2" t="inlineStr">
        <is>
          <t>近三年至少担任过一个合同额1000万元以上项目相应岗位的主管</t>
        </is>
      </c>
      <c r="CL47" s="2" t="inlineStr">
        <is>
          <t>近三年至少担任过一个合同额1000万元以上项目相应岗位的主管</t>
        </is>
      </c>
      <c r="CM47" s="2" t="inlineStr">
        <is>
          <t>南化建司劳2017-1号文-南京南化建设有限公司施工一线专业序列人员分级管理规定</t>
        </is>
      </c>
      <c r="CN47" s="2" t="inlineStr">
        <is>
          <t>第三章第3条C类</t>
        </is>
      </c>
      <c r="CO47" s="2" t="inlineStr">
        <is>
          <t>否</t>
        </is>
      </c>
      <c r="CP47" s="2" t="inlineStr">
        <is>
          <t>综合办工作不适用</t>
        </is>
      </c>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t="inlineStr">
        <is>
          <t>ceba3dbe-1539-4807-b5fd-eccf7bafc16e</t>
        </is>
      </c>
      <c r="CJ48" s="3" t="n">
        <v>2</v>
      </c>
      <c r="CK48" s="2" t="inlineStr">
        <is>
          <t>公司二级单位或公司职能部门推荐</t>
        </is>
      </c>
      <c r="CL48" s="2" t="inlineStr">
        <is>
          <t>公司二级单位或公司职能部门推荐</t>
        </is>
      </c>
      <c r="CM48" s="2" t="inlineStr">
        <is>
          <t>南化建司劳2017-1号文-南京南化建设有限公司施工一线专业序列人员分级管理规定</t>
        </is>
      </c>
      <c r="CN48" s="2" t="inlineStr">
        <is>
          <t>第三章第3条C类</t>
        </is>
      </c>
      <c r="CO48" s="2" t="inlineStr">
        <is>
          <t>否</t>
        </is>
      </c>
      <c r="CP48" s="2" t="inlineStr">
        <is>
          <t>综合办工作不适用</t>
        </is>
      </c>
    </row>
    <row r="49">
      <c r="A49" s="2" t="inlineStr">
        <is>
          <t>4f897cb0-ae5f-4a78-a26a-118ccbe47948</t>
        </is>
      </c>
      <c r="B49" s="2" t="inlineStr">
        <is>
          <t>C.均衡，工作负荷一般，按部就班完成工作，除了突发时间几乎不用加班</t>
        </is>
      </c>
      <c r="C49" s="2" t="inlineStr">
        <is>
          <t>综合办公室    孔方婷    女    孙璐</t>
        </is>
      </c>
      <c r="D49" s="2" t="inlineStr">
        <is>
          <t>Anonymous</t>
        </is>
      </c>
      <c r="E49" s="2" t="inlineStr">
        <is>
          <t>Anonymous</t>
        </is>
      </c>
      <c r="F49" s="2"/>
      <c r="G49" s="2" t="inlineStr">
        <is>
          <t>2026-05-25 10:56:15</t>
        </is>
      </c>
      <c r="H49" s="2" t="inlineStr">
        <is>
          <t>孙璐</t>
        </is>
      </c>
      <c r="I49" s="2" t="inlineStr">
        <is>
          <t>320112198309230421</t>
        </is>
      </c>
      <c r="J49" s="2" t="inlineStr">
        <is>
          <t>女</t>
        </is>
      </c>
      <c r="K49" s="2" t="inlineStr">
        <is>
          <t>综合办公室</t>
        </is>
      </c>
      <c r="L49" s="2" t="inlineStr">
        <is>
          <t>2008-06-01</t>
        </is>
      </c>
      <c r="M49" s="2" t="inlineStr">
        <is>
          <t>南京信息工程大学</t>
        </is>
      </c>
      <c r="N49" s="2" t="inlineStr">
        <is>
          <t>其他</t>
        </is>
      </c>
      <c r="O49" s="2" t="inlineStr">
        <is>
          <t>本科</t>
        </is>
      </c>
      <c r="P49" s="2" t="inlineStr">
        <is>
          <t>综合办公室</t>
        </is>
      </c>
      <c r="Q49" s="2" t="inlineStr">
        <is>
          <t>孔方婷</t>
        </is>
      </c>
      <c r="R49" s="2" t="inlineStr">
        <is>
          <t>女</t>
        </is>
      </c>
      <c r="S49" s="2" t="inlineStr">
        <is>
          <t>2019-08-01</t>
        </is>
      </c>
      <c r="T49" s="2" t="inlineStr">
        <is>
          <t>业务主管</t>
        </is>
      </c>
      <c r="U49" s="2" t="inlineStr">
        <is>
          <t>商丘师范学院</t>
        </is>
      </c>
      <c r="V49" s="2" t="inlineStr">
        <is>
          <t>其他</t>
        </is>
      </c>
      <c r="W49" s="2" t="inlineStr">
        <is>
          <t>本科</t>
        </is>
      </c>
      <c r="X49" s="2" t="inlineStr">
        <is>
          <t>B.按时推进：基本能卡着时间点完成，不掉链子。</t>
        </is>
      </c>
      <c r="Y49" s="2" t="inlineStr">
        <is>
          <t>B.基本稳定：偶有小瑕疵，但不影响整体使用。</t>
        </is>
      </c>
      <c r="Z49" s="2" t="inlineStr">
        <is>
          <t>B.比较省心：只需定期同步一下进度，不需要主管盯着细节，能独立把事情办成。</t>
        </is>
      </c>
      <c r="AA49" s="2" t="inlineStr">
        <is>
          <t>B.清楚岗位：对自己岗位的活儿很门清，略知上下游。</t>
        </is>
      </c>
      <c r="AB49" s="2" t="inlineStr">
        <is>
          <t>B.尽力而为：能解决大部分问题，解决不了的会及时求助。</t>
        </is>
      </c>
      <c r="AC49" s="2" t="inlineStr">
        <is>
          <t>B.基本合规：偶尔迟到或忘打卡，提醒后能迅速改正。</t>
        </is>
      </c>
      <c r="AD49" s="2" t="inlineStr">
        <is>
          <t>B.偶尔思考：在主管启发下，能提出一些优化想法</t>
        </is>
      </c>
      <c r="AE49" s="2" t="inlineStr">
        <is>
          <t>B.正常沟通：能清晰表达需求，维持基本的协作。</t>
        </is>
      </c>
      <c r="AF49" s="2" t="inlineStr">
        <is>
          <t>B.有问有答：问到时能说清楚进度，基本能做到及时反馈。</t>
        </is>
      </c>
      <c r="AG49" s="2" t="inlineStr">
        <is>
          <t>B.稳定器：做好自己，不给团队添乱，是可靠的一员。</t>
        </is>
      </c>
      <c r="AH49" s="2" t="inlineStr">
        <is>
          <t>B.懂得求助：在尝试后会及时向主管或同事反馈，寻求资源支持。</t>
        </is>
      </c>
      <c r="AI49" s="2" t="inlineStr">
        <is>
          <t>B. 配合接受：主管安排了就干，不推辞。</t>
        </is>
      </c>
      <c r="AJ49" s="2" t="inlineStr">
        <is>
          <t>B.配合度高：虽然有压力，但能服从大局，咬牙顶上去，且质量尚可。</t>
        </is>
      </c>
      <c r="AK49" s="2" t="inlineStr">
        <is>
          <t>A.虚心求教：能听进去，并积极探讨更科学的方法。</t>
        </is>
      </c>
      <c r="AL49" s="2" t="inlineStr">
        <is>
          <t>B.正常上手：经过简单培训或指导，能很快投入应用。</t>
        </is>
      </c>
      <c r="AM49" s="2" t="inlineStr">
        <is>
          <t>C.技能私有：自己干得好也愿意分享，但是不会总结或讲不出来。</t>
        </is>
      </c>
      <c r="AN49" s="2" t="inlineStr">
        <is>
          <t>B.中上水平：高于平均线，是团队的中流砥柱。</t>
        </is>
      </c>
      <c r="AO49" s="2" t="inlineStr">
        <is>
          <t>B.业务骨干：是团队不可或缺的腰部力量。</t>
        </is>
      </c>
      <c r="AP49" s="2" t="inlineStr">
        <is>
          <t>B.有点可惜：是个好手，需要费心再找一个相同水准的。</t>
        </is>
      </c>
      <c r="AQ49" s="2" t="inlineStr">
        <is>
          <t>B</t>
        </is>
      </c>
      <c r="AR49" s="2" t="inlineStr">
        <is>
          <t>B</t>
        </is>
      </c>
      <c r="AS49" s="2" t="inlineStr">
        <is>
          <t>一致</t>
        </is>
      </c>
      <c r="AT49" s="2" t="inlineStr">
        <is>
          <t>B</t>
        </is>
      </c>
      <c r="AU49" s="2" t="inlineStr">
        <is>
          <t>2档</t>
        </is>
      </c>
      <c r="AV49" s="3" t="n">
        <v>7800</v>
      </c>
      <c r="AW49" s="3" t="n">
        <v>6240</v>
      </c>
      <c r="AX49" s="3" t="n">
        <v>9360</v>
      </c>
      <c r="AY49" s="2" t="inlineStr">
        <is>
          <t>C</t>
        </is>
      </c>
      <c r="AZ49" s="2" t="inlineStr">
        <is>
          <t>能完成日常工作</t>
        </is>
      </c>
      <c r="BA49" s="7" t="n">
        <v>3</v>
      </c>
      <c r="BB49" s="7" t="n">
        <v>4</v>
      </c>
      <c r="BC49" s="7" t="n">
        <v>4</v>
      </c>
      <c r="BD49" s="7" t="n">
        <v>4</v>
      </c>
      <c r="BE49" s="7" t="n">
        <v>4</v>
      </c>
      <c r="BF49" s="7" t="n">
        <v>3.5</v>
      </c>
      <c r="BG49" s="7" t="n">
        <v>4</v>
      </c>
      <c r="BH49" s="7" t="n">
        <v>3.5</v>
      </c>
      <c r="BI49" s="7" t="n">
        <v>4</v>
      </c>
      <c r="BJ49" s="7" t="n">
        <v>4</v>
      </c>
      <c r="BK49" s="7" t="n">
        <v>3</v>
      </c>
      <c r="BL49" s="7" t="n">
        <v>4</v>
      </c>
      <c r="BM49" s="7" t="n">
        <v>3</v>
      </c>
      <c r="BN49" s="7" t="n">
        <v>4</v>
      </c>
      <c r="BO49" s="7" t="n">
        <v>5</v>
      </c>
      <c r="BP49" s="7" t="n">
        <v>4</v>
      </c>
      <c r="BQ49" s="7" t="n">
        <v>2</v>
      </c>
      <c r="BR49" s="7" t="n">
        <v>4</v>
      </c>
      <c r="BS49" s="7" t="n">
        <v>4</v>
      </c>
      <c r="BT49" s="7" t="n">
        <v>4</v>
      </c>
      <c r="BU49" s="7" t="n">
        <v>75</v>
      </c>
      <c r="BV49" s="2" t="inlineStr">
        <is>
          <t>A.需要存在，不可去除</t>
        </is>
      </c>
      <c r="BW49" s="2"/>
      <c r="BX49" s="2"/>
      <c r="BY49" s="6">
        <f>HYPERLINK("https://www.h3yun.com/Form/Attachments/?schemacode=D148357733993cc00c048ad9898e53f5f82cbb9&amp;bizObjectId=4f897cb0-ae5f-4a78-a26a-118ccbe47948&amp;name=F0000016","点击查看")</f>
        <v>0</v>
      </c>
      <c r="BZ49" s="2" t="inlineStr">
        <is>
          <t>2026-05-21 15:57:56</t>
        </is>
      </c>
      <c r="CA49" s="2"/>
      <c r="CB49" s="2" t="inlineStr">
        <is>
          <t>已提交</t>
        </is>
      </c>
      <c r="CC49" s="2" t="inlineStr">
        <is>
          <t>经济师</t>
        </is>
      </c>
      <c r="CD49" s="2" t="inlineStr">
        <is>
          <t>无</t>
        </is>
      </c>
      <c r="CE49" s="2" t="inlineStr">
        <is>
          <t>无</t>
        </is>
      </c>
      <c r="CF49" s="2"/>
      <c r="CG49" s="2" t="inlineStr">
        <is>
          <t>410225199710126229</t>
        </is>
      </c>
      <c r="CH49" s="2" t="inlineStr">
        <is>
          <t>已生效</t>
        </is>
      </c>
      <c r="CI49" s="2" t="inlineStr">
        <is>
          <t>a1ec3cad-4071-481f-b51c-fa94d6667f8c</t>
        </is>
      </c>
      <c r="CJ49" s="3" t="n">
        <v>1</v>
      </c>
      <c r="CK49" s="2" t="inlineStr">
        <is>
          <t>近三年至少担任过一个合同额1000万元以上项目相应岗位的主管</t>
        </is>
      </c>
      <c r="CL49" s="2" t="inlineStr">
        <is>
          <t>近三年至少担任过一个合同额1000万元以上项目相应岗位的主管</t>
        </is>
      </c>
      <c r="CM49" s="2" t="inlineStr">
        <is>
          <t>南化建司劳2017-1号文-南京南化建设有限公司施工一线专业序列人员分级管理规定</t>
        </is>
      </c>
      <c r="CN49" s="2" t="inlineStr">
        <is>
          <t>第三章第3条C类</t>
        </is>
      </c>
      <c r="CO49" s="2" t="inlineStr">
        <is>
          <t>否</t>
        </is>
      </c>
      <c r="CP49" s="2" t="inlineStr">
        <is>
          <t>综合办工作不适用</t>
        </is>
      </c>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t="inlineStr">
        <is>
          <t>f2ee193c-d516-439c-85f1-8121bb585bee</t>
        </is>
      </c>
      <c r="CJ50" s="3" t="n">
        <v>2</v>
      </c>
      <c r="CK50" s="2" t="inlineStr">
        <is>
          <t>公司二级单位或公司职能部门推荐</t>
        </is>
      </c>
      <c r="CL50" s="2" t="inlineStr">
        <is>
          <t>公司二级单位或公司职能部门推荐</t>
        </is>
      </c>
      <c r="CM50" s="2" t="inlineStr">
        <is>
          <t>南化建司劳2017-1号文-南京南化建设有限公司施工一线专业序列人员分级管理规定</t>
        </is>
      </c>
      <c r="CN50" s="2" t="inlineStr">
        <is>
          <t>第三章第3条C类</t>
        </is>
      </c>
      <c r="CO50" s="2" t="inlineStr">
        <is>
          <t>否</t>
        </is>
      </c>
      <c r="CP50" s="2" t="inlineStr">
        <is>
          <t>综合办工作不适用</t>
        </is>
      </c>
    </row>
    <row r="51">
      <c r="A51" s="2" t="inlineStr">
        <is>
          <t>43ee76ed-bc06-4f37-93e3-78bc26e4dff4</t>
        </is>
      </c>
      <c r="B51" s="2" t="inlineStr">
        <is>
          <t>B.满负荷，平时工作就很忙，偶尔因为非突发时间也要加班</t>
        </is>
      </c>
      <c r="C51" s="2" t="inlineStr">
        <is>
          <t>综合办公室    吴利云    女    孙璐</t>
        </is>
      </c>
      <c r="D51" s="2" t="inlineStr">
        <is>
          <t>Anonymous</t>
        </is>
      </c>
      <c r="E51" s="2" t="inlineStr">
        <is>
          <t>Anonymous</t>
        </is>
      </c>
      <c r="F51" s="2"/>
      <c r="G51" s="2" t="inlineStr">
        <is>
          <t>2026-05-25 10:56:15</t>
        </is>
      </c>
      <c r="H51" s="2" t="inlineStr">
        <is>
          <t>孙璐</t>
        </is>
      </c>
      <c r="I51" s="2" t="inlineStr">
        <is>
          <t>320112198309230421</t>
        </is>
      </c>
      <c r="J51" s="2" t="inlineStr">
        <is>
          <t>女</t>
        </is>
      </c>
      <c r="K51" s="2" t="inlineStr">
        <is>
          <t>综合办公室</t>
        </is>
      </c>
      <c r="L51" s="2" t="inlineStr">
        <is>
          <t>2008-06-01</t>
        </is>
      </c>
      <c r="M51" s="2" t="inlineStr">
        <is>
          <t>南京信息工程大学</t>
        </is>
      </c>
      <c r="N51" s="2" t="inlineStr">
        <is>
          <t>其他</t>
        </is>
      </c>
      <c r="O51" s="2" t="inlineStr">
        <is>
          <t>本科</t>
        </is>
      </c>
      <c r="P51" s="2" t="inlineStr">
        <is>
          <t>综合办公室</t>
        </is>
      </c>
      <c r="Q51" s="2" t="inlineStr">
        <is>
          <t>吴利云</t>
        </is>
      </c>
      <c r="R51" s="2" t="inlineStr">
        <is>
          <t>女</t>
        </is>
      </c>
      <c r="S51" s="2" t="inlineStr">
        <is>
          <t>2005-08-01</t>
        </is>
      </c>
      <c r="T51" s="2" t="inlineStr">
        <is>
          <t>副高级业务主管</t>
        </is>
      </c>
      <c r="U51" s="2" t="inlineStr">
        <is>
          <t>安徽省铜陵职业技术学院</t>
        </is>
      </c>
      <c r="V51" s="2" t="inlineStr">
        <is>
          <t>其他</t>
        </is>
      </c>
      <c r="W51" s="2" t="inlineStr">
        <is>
          <t>大专</t>
        </is>
      </c>
      <c r="X51" s="2" t="inlineStr">
        <is>
          <t>A.积极高效：经常提前完成，且质量超出预期。</t>
        </is>
      </c>
      <c r="Y51" s="2" t="inlineStr">
        <is>
          <t>A.始终如一：无论任务大小，交付件标准都很高。</t>
        </is>
      </c>
      <c r="Z51" s="2" t="inlineStr">
        <is>
          <t>A.极其省心：只需交代目标，剩下的一律不用管，最后不仅能准时交付，甚至能超出预期。</t>
        </is>
      </c>
      <c r="AA51" s="2" t="inlineStr">
        <is>
          <t>A.全局视野：了解上下游，能站在全业务链条考虑问题。</t>
        </is>
      </c>
      <c r="AB51" s="2" t="inlineStr">
        <is>
          <t>A.攻坚克难：会想尽一切办法钻研，直至彻底解决。</t>
        </is>
      </c>
      <c r="AC51" s="2" t="inlineStr">
        <is>
          <t>A.模范标兵：严于律己，从未在琐事上让主管费心。</t>
        </is>
      </c>
      <c r="AD51" s="2" t="inlineStr">
        <is>
          <t>A.持续优化：经常提出改进流程、提升效率的实用建议</t>
        </is>
      </c>
      <c r="AE51" s="2" t="inlineStr">
        <is>
          <t>A.推进力极强：能搞定不同性格的人，让对方配合。</t>
        </is>
      </c>
      <c r="AF51" s="2" t="inlineStr">
        <is>
          <t>A.完美闭环：进展、难点、结果都会主动汇报，无需催促。</t>
        </is>
      </c>
      <c r="AG51" s="2" t="inlineStr">
        <is>
          <t>A.动力源：像小太阳，主动分享、帮人解惑，带活团队。</t>
        </is>
      </c>
      <c r="AH51" s="2" t="inlineStr">
        <is>
          <t>A.整合高手：能迅速找到能帮上忙的人和资源，借力打力解决问题。</t>
        </is>
      </c>
      <c r="AI51" s="2" t="inlineStr">
        <is>
          <t>A. 主动揽活：只要对团队有利，先接过来干了再说。</t>
        </is>
      </c>
      <c r="AJ51" s="2" t="inlineStr">
        <is>
          <t>A.越战越勇：能扛住压力，保持冷静，高效处理紧急事务。</t>
        </is>
      </c>
      <c r="AK51" s="2" t="inlineStr">
        <is>
          <t>A.虚心求教：能听进去，并积极探讨更科学的方法。</t>
        </is>
      </c>
      <c r="AL51" s="2" t="inlineStr">
        <is>
          <t>B.正常上手：经过简单培训或指导，能很快投入应用。</t>
        </is>
      </c>
      <c r="AM51" s="2" t="inlineStr">
        <is>
          <t>B.愿意传帮带：平时爱分享避坑指南，能带徒弟。</t>
        </is>
      </c>
      <c r="AN51" s="2" t="inlineStr">
        <is>
          <t>A.第一梯队（Top 10%）：部门的标杆。</t>
        </is>
      </c>
      <c r="AO51" s="2" t="inlineStr">
        <is>
          <t>A.核心管理/专家：具备成为部门负责人或顶尖专家的潜质。</t>
        </is>
      </c>
      <c r="AP51" s="2" t="inlineStr">
        <is>
          <t>A.晴天霹雳：极其遗憾，会不惜代价挽留，他是部门的支柱。</t>
        </is>
      </c>
      <c r="AQ51" s="2" t="inlineStr">
        <is>
          <t>S</t>
        </is>
      </c>
      <c r="AR51" s="2" t="inlineStr">
        <is>
          <t>S</t>
        </is>
      </c>
      <c r="AS51" s="2" t="inlineStr">
        <is>
          <t>一致</t>
        </is>
      </c>
      <c r="AT51" s="2" t="inlineStr">
        <is>
          <t>S</t>
        </is>
      </c>
      <c r="AU51" s="2" t="inlineStr">
        <is>
          <t>3档</t>
        </is>
      </c>
      <c r="AV51" s="3" t="n">
        <v>10000</v>
      </c>
      <c r="AW51" s="3" t="n">
        <v>8000</v>
      </c>
      <c r="AX51" s="3" t="n">
        <v>12000</v>
      </c>
      <c r="AY51" s="2" t="inlineStr">
        <is>
          <t>A</t>
        </is>
      </c>
      <c r="AZ51" s="2" t="inlineStr">
        <is>
          <t>工作积极主动，责任心强。</t>
        </is>
      </c>
      <c r="BA51" s="7" t="n">
        <v>5</v>
      </c>
      <c r="BB51" s="7" t="n">
        <v>5</v>
      </c>
      <c r="BC51" s="7" t="n">
        <v>5</v>
      </c>
      <c r="BD51" s="7" t="n">
        <v>5</v>
      </c>
      <c r="BE51" s="7" t="n">
        <v>5</v>
      </c>
      <c r="BF51" s="7" t="n">
        <v>5</v>
      </c>
      <c r="BG51" s="7" t="n">
        <v>5</v>
      </c>
      <c r="BH51" s="7" t="n">
        <v>5</v>
      </c>
      <c r="BI51" s="7" t="n">
        <v>5</v>
      </c>
      <c r="BJ51" s="7" t="n">
        <v>5</v>
      </c>
      <c r="BK51" s="7" t="n">
        <v>5</v>
      </c>
      <c r="BL51" s="7" t="n">
        <v>5</v>
      </c>
      <c r="BM51" s="7" t="n">
        <v>4</v>
      </c>
      <c r="BN51" s="7" t="n">
        <v>5</v>
      </c>
      <c r="BO51" s="7" t="n">
        <v>5</v>
      </c>
      <c r="BP51" s="7" t="n">
        <v>4</v>
      </c>
      <c r="BQ51" s="7" t="n">
        <v>4</v>
      </c>
      <c r="BR51" s="7" t="n">
        <v>5</v>
      </c>
      <c r="BS51" s="7" t="n">
        <v>5</v>
      </c>
      <c r="BT51" s="7" t="n">
        <v>5</v>
      </c>
      <c r="BU51" s="7" t="n">
        <v>97</v>
      </c>
      <c r="BV51" s="2" t="inlineStr">
        <is>
          <t>A.需要存在，不可去除</t>
        </is>
      </c>
      <c r="BW51" s="2"/>
      <c r="BX51" s="2"/>
      <c r="BY51" s="6">
        <f>HYPERLINK("https://www.h3yun.com/Form/Attachments/?schemacode=D148357733993cc00c048ad9898e53f5f82cbb9&amp;bizObjectId=43ee76ed-bc06-4f37-93e3-78bc26e4dff4&amp;name=F0000016","点击查看")</f>
        <v>0</v>
      </c>
      <c r="BZ51" s="2" t="inlineStr">
        <is>
          <t>2026-05-21 15:53:19</t>
        </is>
      </c>
      <c r="CA51" s="2"/>
      <c r="CB51" s="2" t="inlineStr">
        <is>
          <t>已提交</t>
        </is>
      </c>
      <c r="CC51" s="2" t="inlineStr">
        <is>
          <t>助理馆员</t>
        </is>
      </c>
      <c r="CD51" s="2" t="inlineStr">
        <is>
          <t>无</t>
        </is>
      </c>
      <c r="CE51" s="2" t="inlineStr">
        <is>
          <t>无</t>
        </is>
      </c>
      <c r="CF51" s="2"/>
      <c r="CG51" s="2" t="inlineStr">
        <is>
          <t>341225198103031920</t>
        </is>
      </c>
      <c r="CH51" s="2" t="inlineStr">
        <is>
          <t>已生效</t>
        </is>
      </c>
      <c r="CI51" s="2" t="inlineStr">
        <is>
          <t>44bf80a9-ab1c-496e-983c-1587d6e67abb</t>
        </is>
      </c>
      <c r="CJ51" s="3" t="n">
        <v>1</v>
      </c>
      <c r="CK51" s="2" t="inlineStr">
        <is>
          <t>近三年至少担任过一个合同额 2000万元以上项目的项目经理、施工经理、技术负责人(项目总工程师)、安全经理、质量经理、采购经理、合同控制经理、设计经理等关键岗位中的一个</t>
        </is>
      </c>
      <c r="CL51" s="2" t="inlineStr">
        <is>
          <t>近三年至少担任过一个合同额 2000万元以上项目的项目经理、施工经理、技术负责人(项目总工程师)、安全经理、质量经理、采购经理、合同控制经理、设计经理等关键岗位中的一个</t>
        </is>
      </c>
      <c r="CM51" s="2" t="inlineStr">
        <is>
          <t>南化建司劳2017-1号文-南京南化建设有限公司施工一线专业序列人员分级管理规定</t>
        </is>
      </c>
      <c r="CN51" s="2" t="inlineStr">
        <is>
          <t>第三章第1条A类</t>
        </is>
      </c>
      <c r="CO51" s="2" t="inlineStr">
        <is>
          <t>否</t>
        </is>
      </c>
      <c r="CP51" s="2" t="inlineStr">
        <is>
          <t>综合办工作不适用</t>
        </is>
      </c>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t="inlineStr">
        <is>
          <t>76a72cee-286c-4483-b3cd-b81d064ecfe6</t>
        </is>
      </c>
      <c r="CJ52" s="3" t="n">
        <v>2</v>
      </c>
      <c r="CK52" s="2" t="inlineStr">
        <is>
          <t>公司二级单位或公司职能部门推荐</t>
        </is>
      </c>
      <c r="CL52" s="2" t="inlineStr">
        <is>
          <t>公司二级单位或公司职能部门推荐</t>
        </is>
      </c>
      <c r="CM52" s="2" t="inlineStr">
        <is>
          <t>南化建司劳2017-1号文-南京南化建设有限公司施工一线专业序列人员分级管理规定</t>
        </is>
      </c>
      <c r="CN52" s="2" t="inlineStr">
        <is>
          <t>第三章第1条A类</t>
        </is>
      </c>
      <c r="CO52" s="2" t="inlineStr">
        <is>
          <t>否</t>
        </is>
      </c>
      <c r="CP52" s="2" t="inlineStr">
        <is>
          <t>综合办工作不适用</t>
        </is>
      </c>
    </row>
    <row r="53">
      <c r="A53" s="2" t="inlineStr">
        <is>
          <t>7d2c12b5-de63-45b6-82e1-8c37dda26186</t>
        </is>
      </c>
      <c r="B53" s="2" t="inlineStr">
        <is>
          <t>B.满负荷，平时工作就很忙，偶尔因为非突发时间也要加班</t>
        </is>
      </c>
      <c r="C53" s="2" t="inlineStr">
        <is>
          <t>综合办公室    于波    女    孙璐</t>
        </is>
      </c>
      <c r="D53" s="2" t="inlineStr">
        <is>
          <t>Anonymous</t>
        </is>
      </c>
      <c r="E53" s="2" t="inlineStr">
        <is>
          <t>Anonymous</t>
        </is>
      </c>
      <c r="F53" s="2"/>
      <c r="G53" s="2" t="inlineStr">
        <is>
          <t>2026-05-25 10:56:15</t>
        </is>
      </c>
      <c r="H53" s="2" t="inlineStr">
        <is>
          <t>孙璐</t>
        </is>
      </c>
      <c r="I53" s="2" t="inlineStr">
        <is>
          <t>320112198309230421</t>
        </is>
      </c>
      <c r="J53" s="2" t="inlineStr">
        <is>
          <t>女</t>
        </is>
      </c>
      <c r="K53" s="2" t="inlineStr">
        <is>
          <t>综合办公室</t>
        </is>
      </c>
      <c r="L53" s="2" t="inlineStr">
        <is>
          <t>2008-06-01</t>
        </is>
      </c>
      <c r="M53" s="2" t="inlineStr">
        <is>
          <t>南京信息工程大学</t>
        </is>
      </c>
      <c r="N53" s="2" t="inlineStr">
        <is>
          <t>其他</t>
        </is>
      </c>
      <c r="O53" s="2" t="inlineStr">
        <is>
          <t>本科</t>
        </is>
      </c>
      <c r="P53" s="2" t="inlineStr">
        <is>
          <t>综合办公室</t>
        </is>
      </c>
      <c r="Q53" s="2" t="inlineStr">
        <is>
          <t>于波</t>
        </is>
      </c>
      <c r="R53" s="2" t="inlineStr">
        <is>
          <t>女</t>
        </is>
      </c>
      <c r="S53" s="2" t="inlineStr">
        <is>
          <t>2018-03-01</t>
        </is>
      </c>
      <c r="T53" s="2" t="inlineStr">
        <is>
          <t>业务主管</t>
        </is>
      </c>
      <c r="U53" s="2" t="inlineStr">
        <is>
          <t>江苏科技大学</t>
        </is>
      </c>
      <c r="V53" s="2" t="inlineStr">
        <is>
          <t>其他</t>
        </is>
      </c>
      <c r="W53" s="2" t="inlineStr">
        <is>
          <t>本科</t>
        </is>
      </c>
      <c r="X53" s="2" t="inlineStr">
        <is>
          <t>A.积极高效：经常提前完成，且质量超出预期。</t>
        </is>
      </c>
      <c r="Y53" s="2" t="inlineStr">
        <is>
          <t>A.始终如一：无论任务大小，交付件标准都很高。</t>
        </is>
      </c>
      <c r="Z53" s="2" t="inlineStr">
        <is>
          <t>A.极其省心：只需交代目标，剩下的一律不用管，最后不仅能准时交付，甚至能超出预期。</t>
        </is>
      </c>
      <c r="AA53" s="2" t="inlineStr">
        <is>
          <t>B.清楚岗位：对自己岗位的活儿很门清，略知上下游。</t>
        </is>
      </c>
      <c r="AB53" s="2" t="inlineStr">
        <is>
          <t>B.尽力而为：能解决大部分问题，解决不了的会及时求助。</t>
        </is>
      </c>
      <c r="AC53" s="2" t="inlineStr">
        <is>
          <t>A.模范标兵：严于律己，从未在琐事上让主管费心。</t>
        </is>
      </c>
      <c r="AD53" s="2" t="inlineStr">
        <is>
          <t>A.持续优化：经常提出改进流程、提升效率的实用建议</t>
        </is>
      </c>
      <c r="AE53" s="2" t="inlineStr">
        <is>
          <t>A.推进力极强：能搞定不同性格的人，让对方配合。</t>
        </is>
      </c>
      <c r="AF53" s="2" t="inlineStr">
        <is>
          <t>A.完美闭环：进展、难点、结果都会主动汇报，无需催促。</t>
        </is>
      </c>
      <c r="AG53" s="2" t="inlineStr">
        <is>
          <t>B.稳定器：做好自己，不给团队添乱，是可靠的一员。</t>
        </is>
      </c>
      <c r="AH53" s="2" t="inlineStr">
        <is>
          <t>A.整合高手：能迅速找到能帮上忙的人和资源，借力打力解决问题。</t>
        </is>
      </c>
      <c r="AI53" s="2" t="inlineStr">
        <is>
          <t>B. 配合接受：主管安排了就干，不推辞。</t>
        </is>
      </c>
      <c r="AJ53" s="2" t="inlineStr">
        <is>
          <t>B.配合度高：虽然有压力，但能服从大局，咬牙顶上去，且质量尚可。</t>
        </is>
      </c>
      <c r="AK53" s="2" t="inlineStr">
        <is>
          <t>A.虚心求教：能听进去，并积极探讨更科学的方法。</t>
        </is>
      </c>
      <c r="AL53" s="2" t="inlineStr">
        <is>
          <t>A.极速掌握：自学能力极强，很快就能成为该领域的“百晓生”。</t>
        </is>
      </c>
      <c r="AM53" s="2" t="inlineStr">
        <is>
          <t>B.愿意传帮带：平时爱分享避坑指南，能带徒弟。</t>
        </is>
      </c>
      <c r="AN53" s="2" t="inlineStr">
        <is>
          <t>A.第一梯队（Top 10%）：部门的标杆。</t>
        </is>
      </c>
      <c r="AO53" s="2" t="inlineStr">
        <is>
          <t>B.业务骨干：是团队不可或缺的腰部力量。</t>
        </is>
      </c>
      <c r="AP53" s="2" t="inlineStr">
        <is>
          <t>B.有点可惜：是个好手，需要费心再找一个相同水准的。</t>
        </is>
      </c>
      <c r="AQ53" s="2" t="inlineStr">
        <is>
          <t>A</t>
        </is>
      </c>
      <c r="AR53" s="2" t="inlineStr">
        <is>
          <t>A</t>
        </is>
      </c>
      <c r="AS53" s="2" t="inlineStr">
        <is>
          <t>一致</t>
        </is>
      </c>
      <c r="AT53" s="2" t="inlineStr">
        <is>
          <t>A</t>
        </is>
      </c>
      <c r="AU53" s="2" t="inlineStr">
        <is>
          <t>5档</t>
        </is>
      </c>
      <c r="AV53" s="3" t="n">
        <v>9400</v>
      </c>
      <c r="AW53" s="3" t="n">
        <v>7520</v>
      </c>
      <c r="AX53" s="3" t="n">
        <v>11280</v>
      </c>
      <c r="AY53" s="2" t="inlineStr">
        <is>
          <t>B</t>
        </is>
      </c>
      <c r="AZ53" s="2" t="inlineStr">
        <is>
          <t>态度积极主动，能胜任。</t>
        </is>
      </c>
      <c r="BA53" s="7" t="n">
        <v>5</v>
      </c>
      <c r="BB53" s="7" t="n">
        <v>5</v>
      </c>
      <c r="BC53" s="7" t="n">
        <v>5</v>
      </c>
      <c r="BD53" s="7" t="n">
        <v>4</v>
      </c>
      <c r="BE53" s="7" t="n">
        <v>4</v>
      </c>
      <c r="BF53" s="7" t="n">
        <v>5</v>
      </c>
      <c r="BG53" s="7" t="n">
        <v>5</v>
      </c>
      <c r="BH53" s="7" t="n">
        <v>5</v>
      </c>
      <c r="BI53" s="7" t="n">
        <v>5</v>
      </c>
      <c r="BJ53" s="7" t="n">
        <v>4</v>
      </c>
      <c r="BK53" s="7" t="n">
        <v>5</v>
      </c>
      <c r="BL53" s="7" t="n">
        <v>4</v>
      </c>
      <c r="BM53" s="7" t="n">
        <v>4</v>
      </c>
      <c r="BN53" s="7" t="n">
        <v>4</v>
      </c>
      <c r="BO53" s="7" t="n">
        <v>5</v>
      </c>
      <c r="BP53" s="7" t="n">
        <v>5</v>
      </c>
      <c r="BQ53" s="7" t="n">
        <v>4</v>
      </c>
      <c r="BR53" s="7" t="n">
        <v>5</v>
      </c>
      <c r="BS53" s="7" t="n">
        <v>4</v>
      </c>
      <c r="BT53" s="7" t="n">
        <v>4</v>
      </c>
      <c r="BU53" s="7" t="n">
        <v>91</v>
      </c>
      <c r="BV53" s="2" t="inlineStr">
        <is>
          <t>A.需要存在，不可去除</t>
        </is>
      </c>
      <c r="BW53" s="2" t="inlineStr">
        <is>
          <t>公司要求选项不符合综合办实际情况</t>
        </is>
      </c>
      <c r="BX53" s="2"/>
      <c r="BY53" s="6">
        <f>HYPERLINK("https://www.h3yun.com/Form/Attachments/?schemacode=D148357733993cc00c048ad9898e53f5f82cbb9&amp;bizObjectId=7d2c12b5-de63-45b6-82e1-8c37dda26186&amp;name=F0000016","点击查看")</f>
        <v>0</v>
      </c>
      <c r="BZ53" s="2" t="inlineStr">
        <is>
          <t>2026-05-21 15:41:56</t>
        </is>
      </c>
      <c r="CA53" s="2"/>
      <c r="CB53" s="2" t="inlineStr">
        <is>
          <t>已提交</t>
        </is>
      </c>
      <c r="CC53" s="2" t="inlineStr">
        <is>
          <t>中级经济师</t>
        </is>
      </c>
      <c r="CD53" s="2" t="inlineStr">
        <is>
          <t>无</t>
        </is>
      </c>
      <c r="CE53" s="2" t="inlineStr">
        <is>
          <t>无</t>
        </is>
      </c>
      <c r="CF53" s="2"/>
      <c r="CG53" s="2" t="inlineStr">
        <is>
          <t>210521198911080780</t>
        </is>
      </c>
      <c r="CH53" s="2" t="inlineStr">
        <is>
          <t>已生效</t>
        </is>
      </c>
      <c r="CI53" s="2" t="inlineStr">
        <is>
          <t>d3a2f88d-2721-434b-a494-993521878306</t>
        </is>
      </c>
      <c r="CJ53" s="3" t="n">
        <v>1</v>
      </c>
      <c r="CK53" s="2" t="inlineStr">
        <is>
          <t>近三年至少担任过一个合同额1500万元以上项目相应岗位的主管</t>
        </is>
      </c>
      <c r="CL53" s="2" t="inlineStr">
        <is>
          <t>近三年至少担任过一个合同额1500万元以上项目相应岗位的主管</t>
        </is>
      </c>
      <c r="CM53" s="2" t="inlineStr">
        <is>
          <t>南化建司劳2017-1号文-南京南化建设有限公司施工一线专业序列人员分级管理规定</t>
        </is>
      </c>
      <c r="CN53" s="2" t="inlineStr">
        <is>
          <t>第三章第2条B类</t>
        </is>
      </c>
      <c r="CO53" s="2" t="inlineStr">
        <is>
          <t>否</t>
        </is>
      </c>
      <c r="CP53" s="2" t="inlineStr">
        <is>
          <t>综合办不涉及</t>
        </is>
      </c>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t="inlineStr">
        <is>
          <t>27c1a900-d5f9-42a3-a461-f9c2cb521d0b</t>
        </is>
      </c>
      <c r="CJ54" s="3" t="n">
        <v>2</v>
      </c>
      <c r="CK54" s="2" t="inlineStr">
        <is>
          <t>公司二级单位或公司职能部门推荐</t>
        </is>
      </c>
      <c r="CL54" s="2" t="inlineStr">
        <is>
          <t>公司二级单位或公司职能部门推荐</t>
        </is>
      </c>
      <c r="CM54" s="2" t="inlineStr">
        <is>
          <t>南化建司劳2017-1号文-南京南化建设有限公司施工一线专业序列人员分级管理规定</t>
        </is>
      </c>
      <c r="CN54" s="2" t="inlineStr">
        <is>
          <t>第三章第2条B类</t>
        </is>
      </c>
      <c r="CO54" s="2" t="inlineStr">
        <is>
          <t>否</t>
        </is>
      </c>
      <c r="CP54" s="2" t="inlineStr">
        <is>
          <t>综合办不涉及</t>
        </is>
      </c>
    </row>
    <row r="55">
      <c r="A55" s="2" t="inlineStr">
        <is>
          <t>924582c3-f33d-43f6-acb9-9ce65fb3bddb</t>
        </is>
      </c>
      <c r="B55" s="2" t="inlineStr">
        <is>
          <t>B.满负荷，平时工作就很忙，偶尔因为非突发时间也要加班</t>
        </is>
      </c>
      <c r="C55" s="2" t="inlineStr">
        <is>
          <t>审计部    殷嘉敏    女    孙艳强</t>
        </is>
      </c>
      <c r="D55" s="2" t="inlineStr">
        <is>
          <t>Anonymous</t>
        </is>
      </c>
      <c r="E55" s="2" t="inlineStr">
        <is>
          <t>Anonymous</t>
        </is>
      </c>
      <c r="F55" s="2"/>
      <c r="G55" s="2" t="inlineStr">
        <is>
          <t>2026-05-25 10:56:15</t>
        </is>
      </c>
      <c r="H55" s="2" t="inlineStr">
        <is>
          <t>孙艳强</t>
        </is>
      </c>
      <c r="I55" s="2" t="inlineStr">
        <is>
          <t>131102198201061016</t>
        </is>
      </c>
      <c r="J55" s="2" t="inlineStr">
        <is>
          <t>男</t>
        </is>
      </c>
      <c r="K55" s="2" t="inlineStr">
        <is>
          <t>审计部</t>
        </is>
      </c>
      <c r="L55" s="2" t="inlineStr">
        <is>
          <t>2005-08-30</t>
        </is>
      </c>
      <c r="M55" s="2"/>
      <c r="N55" s="2" t="inlineStr">
        <is>
          <t>会计</t>
        </is>
      </c>
      <c r="O55" s="2" t="inlineStr">
        <is>
          <t>本科</t>
        </is>
      </c>
      <c r="P55" s="2" t="inlineStr">
        <is>
          <t>审计部</t>
        </is>
      </c>
      <c r="Q55" s="2" t="inlineStr">
        <is>
          <t>殷嘉敏</t>
        </is>
      </c>
      <c r="R55" s="2" t="inlineStr">
        <is>
          <t>女</t>
        </is>
      </c>
      <c r="S55" s="2" t="inlineStr">
        <is>
          <t>2023-08-01</t>
        </is>
      </c>
      <c r="T55" s="2" t="inlineStr">
        <is>
          <t>技术助理(二)</t>
        </is>
      </c>
      <c r="U55" s="2" t="inlineStr">
        <is>
          <t>南京审计大学</t>
        </is>
      </c>
      <c r="V55" s="2" t="inlineStr">
        <is>
          <t>会计</t>
        </is>
      </c>
      <c r="W55" s="2" t="inlineStr">
        <is>
          <t>本科</t>
        </is>
      </c>
      <c r="X55" s="2" t="inlineStr">
        <is>
          <t>A.积极高效：经常提前完成，且质量超出预期。</t>
        </is>
      </c>
      <c r="Y55" s="2" t="inlineStr">
        <is>
          <t>B.基本稳定：偶有小瑕疵，但不影响整体使用。</t>
        </is>
      </c>
      <c r="Z55" s="2" t="inlineStr">
        <is>
          <t>B.比较省心：只需定期同步一下进度，不需要主管盯着细节，能独立把事情办成。</t>
        </is>
      </c>
      <c r="AA55" s="2" t="inlineStr">
        <is>
          <t>B.清楚岗位：对自己岗位的活儿很门清，略知上下游。</t>
        </is>
      </c>
      <c r="AB55" s="2" t="inlineStr">
        <is>
          <t>B.尽力而为：能解决大部分问题，解决不了的会及时求助。</t>
        </is>
      </c>
      <c r="AC55" s="2" t="inlineStr">
        <is>
          <t>A.模范标兵：严于律己，从未在琐事上让主管费心。</t>
        </is>
      </c>
      <c r="AD55" s="2" t="inlineStr">
        <is>
          <t>B.偶尔思考：在主管启发下，能提出一些优化想法</t>
        </is>
      </c>
      <c r="AE55" s="2" t="inlineStr">
        <is>
          <t>B.正常沟通：能清晰表达需求，维持基本的协作。</t>
        </is>
      </c>
      <c r="AF55" s="2" t="inlineStr">
        <is>
          <t>B.有问有答：问到时能说清楚进度，基本能做到及时反馈。</t>
        </is>
      </c>
      <c r="AG55" s="2" t="inlineStr">
        <is>
          <t>B.稳定器：做好自己，不给团队添乱，是可靠的一员。</t>
        </is>
      </c>
      <c r="AH55" s="2" t="inlineStr">
        <is>
          <t>B.懂得求助：在尝试后会及时向主管或同事反馈，寻求资源支持。</t>
        </is>
      </c>
      <c r="AI55" s="2" t="inlineStr">
        <is>
          <t>B. 配合接受：主管安排了就干，不推辞。</t>
        </is>
      </c>
      <c r="AJ55" s="2" t="inlineStr">
        <is>
          <t>B.配合度高：虽然有压力，但能服从大局，咬牙顶上去，且质量尚可。</t>
        </is>
      </c>
      <c r="AK55" s="2" t="inlineStr">
        <is>
          <t>B.照单全收：态度很好，虽然不一定完全理解，但会按要求改。</t>
        </is>
      </c>
      <c r="AL55" s="2" t="inlineStr">
        <is>
          <t>A.极速掌握：自学能力极强，很快就能成为该领域的“百晓生”。</t>
        </is>
      </c>
      <c r="AM55" s="2" t="inlineStr">
        <is>
          <t>B.愿意传帮带：平时爱分享避坑指南，能带徒弟。</t>
        </is>
      </c>
      <c r="AN55" s="2" t="inlineStr">
        <is>
          <t>B.中上水平：高于平均线，是团队的中流砥柱。</t>
        </is>
      </c>
      <c r="AO55" s="2" t="inlineStr">
        <is>
          <t>B.业务骨干：是团队不可或缺的腰部力量。</t>
        </is>
      </c>
      <c r="AP55" s="2" t="inlineStr">
        <is>
          <t>B.有点可惜：是个好手，需要费心再找一个相同水准的。</t>
        </is>
      </c>
      <c r="AQ55" s="2" t="inlineStr">
        <is>
          <t>B</t>
        </is>
      </c>
      <c r="AR55" s="2" t="inlineStr">
        <is>
          <t>A</t>
        </is>
      </c>
      <c r="AS55" s="2" t="inlineStr">
        <is>
          <t>不一致</t>
        </is>
      </c>
      <c r="AT55" s="2" t="inlineStr">
        <is>
          <t>A</t>
        </is>
      </c>
      <c r="AU55" s="2" t="inlineStr">
        <is>
          <t>4档</t>
        </is>
      </c>
      <c r="AV55" s="3" t="n">
        <v>9200</v>
      </c>
      <c r="AW55" s="3" t="n">
        <v>7360</v>
      </c>
      <c r="AX55" s="3" t="n">
        <v>11040</v>
      </c>
      <c r="AY55" s="2" t="inlineStr">
        <is>
          <t>B</t>
        </is>
      </c>
      <c r="AZ55" s="2" t="inlineStr">
        <is>
          <t>无</t>
        </is>
      </c>
      <c r="BA55" s="7" t="n">
        <v>5</v>
      </c>
      <c r="BB55" s="7" t="n">
        <v>4</v>
      </c>
      <c r="BC55" s="7" t="n">
        <v>4</v>
      </c>
      <c r="BD55" s="7" t="n">
        <v>4</v>
      </c>
      <c r="BE55" s="7" t="n">
        <v>4</v>
      </c>
      <c r="BF55" s="7" t="n">
        <v>5</v>
      </c>
      <c r="BG55" s="7" t="n">
        <v>4</v>
      </c>
      <c r="BH55" s="7" t="n">
        <v>3.5</v>
      </c>
      <c r="BI55" s="7" t="n">
        <v>4</v>
      </c>
      <c r="BJ55" s="7" t="n">
        <v>4</v>
      </c>
      <c r="BK55" s="7" t="n">
        <v>3</v>
      </c>
      <c r="BL55" s="7" t="n">
        <v>4</v>
      </c>
      <c r="BM55" s="7" t="n">
        <v>4</v>
      </c>
      <c r="BN55" s="7" t="n">
        <v>4</v>
      </c>
      <c r="BO55" s="7" t="n">
        <v>3</v>
      </c>
      <c r="BP55" s="7" t="n">
        <v>5</v>
      </c>
      <c r="BQ55" s="7" t="n">
        <v>4</v>
      </c>
      <c r="BR55" s="7" t="n">
        <v>4</v>
      </c>
      <c r="BS55" s="7" t="n">
        <v>4</v>
      </c>
      <c r="BT55" s="7" t="n">
        <v>4</v>
      </c>
      <c r="BU55" s="7" t="n">
        <v>80.5</v>
      </c>
      <c r="BV55" s="2" t="inlineStr">
        <is>
          <t>A.需要存在，不可去除</t>
        </is>
      </c>
      <c r="BW55" s="2"/>
      <c r="BX55" s="2"/>
      <c r="BY55" s="6">
        <f>HYPERLINK("https://www.h3yun.com/Form/Attachments/?schemacode=D148357733993cc00c048ad9898e53f5f82cbb9&amp;bizObjectId=924582c3-f33d-43f6-acb9-9ce65fb3bddb&amp;name=F0000016","点击查看")</f>
        <v>0</v>
      </c>
      <c r="BZ55" s="2" t="inlineStr">
        <is>
          <t>2026-05-21 09:27:14</t>
        </is>
      </c>
      <c r="CA55" s="2"/>
      <c r="CB55" s="2" t="inlineStr">
        <is>
          <t>已提交</t>
        </is>
      </c>
      <c r="CC55" s="2" t="inlineStr">
        <is>
          <t>初级会计师</t>
        </is>
      </c>
      <c r="CD55" s="2" t="inlineStr">
        <is>
          <t>无</t>
        </is>
      </c>
      <c r="CE55" s="2" t="inlineStr">
        <is>
          <t>无</t>
        </is>
      </c>
      <c r="CF55" s="2"/>
      <c r="CG55" s="2" t="inlineStr">
        <is>
          <t>32112120000607254X</t>
        </is>
      </c>
      <c r="CH55" s="2" t="inlineStr">
        <is>
          <t>已生效</t>
        </is>
      </c>
      <c r="CI55" s="2" t="inlineStr">
        <is>
          <t>4dac8ac6-713e-412d-8f16-e7305b3e5f21</t>
        </is>
      </c>
      <c r="CJ55" s="3" t="n">
        <v>1</v>
      </c>
      <c r="CK55" s="2" t="inlineStr">
        <is>
          <t>近三年至少担任过一个合同额1500万元以上项目相应岗位的主管</t>
        </is>
      </c>
      <c r="CL55" s="2" t="inlineStr">
        <is>
          <t>近三年至少担任过一个合同额1500万元以上项目相应岗位的主管</t>
        </is>
      </c>
      <c r="CM55" s="2" t="inlineStr">
        <is>
          <t>南化建司劳2017-1号文-南京南化建设有限公司施工一线专业序列人员分级管理规定</t>
        </is>
      </c>
      <c r="CN55" s="2" t="inlineStr">
        <is>
          <t>第三章第2条B类</t>
        </is>
      </c>
      <c r="CO55" s="2" t="inlineStr">
        <is>
          <t>否</t>
        </is>
      </c>
      <c r="CP55" s="2" t="inlineStr">
        <is>
          <t>不明白问什么</t>
        </is>
      </c>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t="inlineStr">
        <is>
          <t>3df91ef7-de3c-4199-9f08-cd4d2f81a421</t>
        </is>
      </c>
      <c r="CJ56" s="3" t="n">
        <v>2</v>
      </c>
      <c r="CK56" s="2" t="inlineStr">
        <is>
          <t>公司二级单位或公司职能部门推荐</t>
        </is>
      </c>
      <c r="CL56" s="2" t="inlineStr">
        <is>
          <t>公司二级单位或公司职能部门推荐</t>
        </is>
      </c>
      <c r="CM56" s="2" t="inlineStr">
        <is>
          <t>南化建司劳2017-1号文-南京南化建设有限公司施工一线专业序列人员分级管理规定</t>
        </is>
      </c>
      <c r="CN56" s="2" t="inlineStr">
        <is>
          <t>第三章第2条B类</t>
        </is>
      </c>
      <c r="CO56" s="2" t="inlineStr">
        <is>
          <t>否</t>
        </is>
      </c>
      <c r="CP56" s="2" t="inlineStr">
        <is>
          <t>不明白问什么</t>
        </is>
      </c>
    </row>
    <row r="57">
      <c r="A57" s="2" t="inlineStr">
        <is>
          <t>16063d7e-abee-4071-ac7a-e726ab303666</t>
        </is>
      </c>
      <c r="B57" s="2" t="inlineStr">
        <is>
          <t>B.满负荷，平时工作就很忙，偶尔因为非突发时间也要加班</t>
        </is>
      </c>
      <c r="C57" s="2" t="inlineStr">
        <is>
          <t>技术质量部    虞婷    女    罗颖</t>
        </is>
      </c>
      <c r="D57" s="2" t="inlineStr">
        <is>
          <t>Anonymous</t>
        </is>
      </c>
      <c r="E57" s="2" t="inlineStr">
        <is>
          <t>Anonymous</t>
        </is>
      </c>
      <c r="F57" s="2"/>
      <c r="G57" s="2" t="inlineStr">
        <is>
          <t>2026-05-25 10:56:15</t>
        </is>
      </c>
      <c r="H57" s="2" t="inlineStr">
        <is>
          <t>罗颖</t>
        </is>
      </c>
      <c r="I57" s="2" t="inlineStr">
        <is>
          <t>360203198401213524</t>
        </is>
      </c>
      <c r="J57" s="2" t="inlineStr">
        <is>
          <t>女</t>
        </is>
      </c>
      <c r="K57" s="2" t="inlineStr">
        <is>
          <t>技术质量部</t>
        </is>
      </c>
      <c r="L57" s="2" t="inlineStr">
        <is>
          <t>2010-08-14</t>
        </is>
      </c>
      <c r="M57" s="2" t="inlineStr">
        <is>
          <t>江苏大学</t>
        </is>
      </c>
      <c r="N57" s="2" t="inlineStr">
        <is>
          <t>安全员</t>
        </is>
      </c>
      <c r="O57" s="2" t="inlineStr">
        <is>
          <t>硕士</t>
        </is>
      </c>
      <c r="P57" s="2" t="inlineStr">
        <is>
          <t>技术质量部</t>
        </is>
      </c>
      <c r="Q57" s="2" t="inlineStr">
        <is>
          <t>虞婷</t>
        </is>
      </c>
      <c r="R57" s="2" t="inlineStr">
        <is>
          <t>女</t>
        </is>
      </c>
      <c r="S57" s="2" t="inlineStr">
        <is>
          <t>2009-08-17</t>
        </is>
      </c>
      <c r="T57" s="2" t="inlineStr">
        <is>
          <t>专业工程师</t>
        </is>
      </c>
      <c r="U57" s="2" t="inlineStr">
        <is>
          <t>江苏省广播电视大学</t>
        </is>
      </c>
      <c r="V57" s="2" t="inlineStr">
        <is>
          <t>土建</t>
        </is>
      </c>
      <c r="W57" s="2" t="inlineStr">
        <is>
          <t>大专</t>
        </is>
      </c>
      <c r="X57" s="2" t="inlineStr">
        <is>
          <t>A.积极高效：经常提前完成，且质量超出预期。</t>
        </is>
      </c>
      <c r="Y57" s="2" t="inlineStr">
        <is>
          <t>A.始终如一：无论任务大小，交付件标准都很高。</t>
        </is>
      </c>
      <c r="Z57" s="2" t="inlineStr">
        <is>
          <t>A.极其省心：只需交代目标，剩下的一律不用管，最后不仅能准时交付，甚至能超出预期。</t>
        </is>
      </c>
      <c r="AA57" s="2" t="inlineStr">
        <is>
          <t>B.清楚岗位：对自己岗位的活儿很门清，略知上下游。</t>
        </is>
      </c>
      <c r="AB57" s="2" t="inlineStr">
        <is>
          <t>B.尽力而为：能解决大部分问题，解决不了的会及时求助。</t>
        </is>
      </c>
      <c r="AC57" s="2" t="inlineStr">
        <is>
          <t>A.模范标兵：严于律己，从未在琐事上让主管费心。</t>
        </is>
      </c>
      <c r="AD57" s="2" t="inlineStr">
        <is>
          <t>A.持续优化：经常提出改进流程、提升效率的实用建议</t>
        </is>
      </c>
      <c r="AE57" s="2" t="inlineStr">
        <is>
          <t>A.推进力极强：能搞定不同性格的人，让对方配合。</t>
        </is>
      </c>
      <c r="AF57" s="2" t="inlineStr">
        <is>
          <t>A.完美闭环：进展、难点、结果都会主动汇报，无需催促。</t>
        </is>
      </c>
      <c r="AG57" s="2" t="inlineStr">
        <is>
          <t>A.动力源：像小太阳，主动分享、帮人解惑，带活团队。</t>
        </is>
      </c>
      <c r="AH57" s="2" t="inlineStr">
        <is>
          <t>B.懂得求助：在尝试后会及时向主管或同事反馈，寻求资源支持。</t>
        </is>
      </c>
      <c r="AI57" s="2" t="inlineStr">
        <is>
          <t>B. 配合接受：主管安排了就干，不推辞。</t>
        </is>
      </c>
      <c r="AJ57" s="2" t="inlineStr">
        <is>
          <t>B.配合度高：虽然有压力，但能服从大局，咬牙顶上去，且质量尚可。</t>
        </is>
      </c>
      <c r="AK57" s="2" t="inlineStr">
        <is>
          <t>B.照单全收：态度很好，虽然不一定完全理解，但会按要求改。</t>
        </is>
      </c>
      <c r="AL57" s="2" t="inlineStr">
        <is>
          <t>B.正常上手：经过简单培训或指导，能很快投入应用。</t>
        </is>
      </c>
      <c r="AM57" s="2" t="inlineStr">
        <is>
          <t>A.总结达人：能把复杂工作写成标准 SOP，让新手直接用。</t>
        </is>
      </c>
      <c r="AN57" s="2" t="inlineStr">
        <is>
          <t>B.中上水平：高于平均线，是团队的中流砥柱。</t>
        </is>
      </c>
      <c r="AO57" s="2" t="inlineStr">
        <is>
          <t>B.业务骨干：是团队不可或缺的腰部力量。</t>
        </is>
      </c>
      <c r="AP57" s="2" t="inlineStr">
        <is>
          <t>B.有点可惜：是个好手，需要费心再找一个相同水准的。</t>
        </is>
      </c>
      <c r="AQ57" s="2" t="inlineStr">
        <is>
          <t>A</t>
        </is>
      </c>
      <c r="AR57" s="2" t="inlineStr">
        <is>
          <t>A</t>
        </is>
      </c>
      <c r="AS57" s="2" t="inlineStr">
        <is>
          <t>一致</t>
        </is>
      </c>
      <c r="AT57" s="2" t="inlineStr">
        <is>
          <t>A</t>
        </is>
      </c>
      <c r="AU57" s="2" t="inlineStr">
        <is>
          <t>3档</t>
        </is>
      </c>
      <c r="AV57" s="3" t="n">
        <v>9000</v>
      </c>
      <c r="AW57" s="3" t="n">
        <v>7200</v>
      </c>
      <c r="AX57" s="3" t="n">
        <v>10800</v>
      </c>
      <c r="AY57" s="2" t="inlineStr">
        <is>
          <t>B</t>
        </is>
      </c>
      <c r="AZ57" s="2" t="inlineStr">
        <is>
          <t>在qc成果创新工作方面深耕多年，经验丰富，沟通协作顺畅，能有效完成各项工作。</t>
        </is>
      </c>
      <c r="BA57" s="7" t="n">
        <v>5</v>
      </c>
      <c r="BB57" s="7" t="n">
        <v>5</v>
      </c>
      <c r="BC57" s="7" t="n">
        <v>5</v>
      </c>
      <c r="BD57" s="7" t="n">
        <v>4</v>
      </c>
      <c r="BE57" s="7" t="n">
        <v>4</v>
      </c>
      <c r="BF57" s="7" t="n">
        <v>5</v>
      </c>
      <c r="BG57" s="7" t="n">
        <v>5</v>
      </c>
      <c r="BH57" s="7" t="n">
        <v>5</v>
      </c>
      <c r="BI57" s="7" t="n">
        <v>5</v>
      </c>
      <c r="BJ57" s="7" t="n">
        <v>5</v>
      </c>
      <c r="BK57" s="7" t="n">
        <v>3</v>
      </c>
      <c r="BL57" s="7" t="n">
        <v>4</v>
      </c>
      <c r="BM57" s="7" t="n">
        <v>4</v>
      </c>
      <c r="BN57" s="7" t="n">
        <v>4</v>
      </c>
      <c r="BO57" s="7" t="n">
        <v>3</v>
      </c>
      <c r="BP57" s="7" t="n">
        <v>4</v>
      </c>
      <c r="BQ57" s="7" t="n">
        <v>5</v>
      </c>
      <c r="BR57" s="7" t="n">
        <v>4</v>
      </c>
      <c r="BS57" s="7" t="n">
        <v>4</v>
      </c>
      <c r="BT57" s="7" t="n">
        <v>4</v>
      </c>
      <c r="BU57" s="7" t="n">
        <v>87</v>
      </c>
      <c r="BV57" s="2"/>
      <c r="BW57" s="2"/>
      <c r="BX57" s="2"/>
      <c r="BY57" s="6">
        <f>HYPERLINK("https://www.h3yun.com/Form/Attachments/?schemacode=D148357733993cc00c048ad9898e53f5f82cbb9&amp;bizObjectId=16063d7e-abee-4071-ac7a-e726ab303666&amp;name=F0000016","点击查看")</f>
        <v>0</v>
      </c>
      <c r="BZ57" s="2" t="inlineStr">
        <is>
          <t>2026-05-18 21:42:51</t>
        </is>
      </c>
      <c r="CA57" s="2"/>
      <c r="CB57" s="2" t="inlineStr">
        <is>
          <t>已提交</t>
        </is>
      </c>
      <c r="CC57" s="2" t="inlineStr">
        <is>
          <t>工程师</t>
        </is>
      </c>
      <c r="CD57" s="2" t="inlineStr">
        <is>
          <t>QC中级推进证书、PMP证书、信得过班组推进证书、土建质量员证书、市政质量员证书</t>
        </is>
      </c>
      <c r="CE57" s="2" t="inlineStr">
        <is>
          <t>无</t>
        </is>
      </c>
      <c r="CF57" s="2"/>
      <c r="CG57" s="2" t="inlineStr">
        <is>
          <t>320102198604260022</t>
        </is>
      </c>
      <c r="CH57" s="2" t="inlineStr">
        <is>
          <t>已生效</t>
        </is>
      </c>
      <c r="CI57" s="2" t="inlineStr">
        <is>
          <t>429a8df3-3989-4cce-ad11-649083368695</t>
        </is>
      </c>
      <c r="CJ57" s="3" t="n">
        <v>1</v>
      </c>
      <c r="CK57" s="2" t="inlineStr">
        <is>
          <t>近三年至少担任过一个合同额1500万元以上项目相应岗位的主管</t>
        </is>
      </c>
      <c r="CL57" s="2" t="inlineStr">
        <is>
          <t>近三年至少担任过一个合同额1500万元以上项目相应岗位的主管</t>
        </is>
      </c>
      <c r="CM57" s="2" t="inlineStr">
        <is>
          <t>南化建司劳2017-1号文-南京南化建设有限公司施工一线专业序列人员分级管理规定</t>
        </is>
      </c>
      <c r="CN57" s="2" t="inlineStr">
        <is>
          <t>第三章第2条B类</t>
        </is>
      </c>
      <c r="CO57" s="2"/>
      <c r="CP57" s="2" t="inlineStr">
        <is>
          <t>未担任项目岗</t>
        </is>
      </c>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t="inlineStr">
        <is>
          <t>96d6ee7e-16f2-4c1c-ba9c-d140377ddc9d</t>
        </is>
      </c>
      <c r="CJ58" s="3" t="n">
        <v>2</v>
      </c>
      <c r="CK58" s="2" t="inlineStr">
        <is>
          <t>公司二级单位或公司职能部门推荐</t>
        </is>
      </c>
      <c r="CL58" s="2" t="inlineStr">
        <is>
          <t>公司二级单位或公司职能部门推荐</t>
        </is>
      </c>
      <c r="CM58" s="2" t="inlineStr">
        <is>
          <t>南化建司劳2017-1号文-南京南化建设有限公司施工一线专业序列人员分级管理规定</t>
        </is>
      </c>
      <c r="CN58" s="2" t="inlineStr">
        <is>
          <t>第三章第2条B类</t>
        </is>
      </c>
      <c r="CO58" s="2" t="inlineStr">
        <is>
          <t>是</t>
        </is>
      </c>
      <c r="CP58" s="2" t="inlineStr">
        <is>
          <t>不理解这一条</t>
        </is>
      </c>
    </row>
    <row r="59">
      <c r="A59" s="2" t="inlineStr">
        <is>
          <t>711a90bb-4e53-4ef9-b4d6-f00b013a925a</t>
        </is>
      </c>
      <c r="B59" s="2" t="inlineStr">
        <is>
          <t>C.均衡，工作负荷一般，按部就班完成工作，除了突发时间几乎不用加班</t>
        </is>
      </c>
      <c r="C59" s="2" t="inlineStr">
        <is>
          <t>技术质量部    李文娟    女    罗颖</t>
        </is>
      </c>
      <c r="D59" s="2" t="inlineStr">
        <is>
          <t>Anonymous</t>
        </is>
      </c>
      <c r="E59" s="2" t="inlineStr">
        <is>
          <t>Anonymous</t>
        </is>
      </c>
      <c r="F59" s="2"/>
      <c r="G59" s="2" t="inlineStr">
        <is>
          <t>2026-05-25 10:56:15</t>
        </is>
      </c>
      <c r="H59" s="2" t="inlineStr">
        <is>
          <t>罗颖</t>
        </is>
      </c>
      <c r="I59" s="2" t="inlineStr">
        <is>
          <t>360203198401213524</t>
        </is>
      </c>
      <c r="J59" s="2" t="inlineStr">
        <is>
          <t>女</t>
        </is>
      </c>
      <c r="K59" s="2" t="inlineStr">
        <is>
          <t>技术质量部</t>
        </is>
      </c>
      <c r="L59" s="2" t="inlineStr">
        <is>
          <t>2010-08-14</t>
        </is>
      </c>
      <c r="M59" s="2" t="inlineStr">
        <is>
          <t>江苏大学</t>
        </is>
      </c>
      <c r="N59" s="2" t="inlineStr">
        <is>
          <t>安全员</t>
        </is>
      </c>
      <c r="O59" s="2" t="inlineStr">
        <is>
          <t>硕士</t>
        </is>
      </c>
      <c r="P59" s="2" t="inlineStr">
        <is>
          <t>技术质量部</t>
        </is>
      </c>
      <c r="Q59" s="2" t="inlineStr">
        <is>
          <t>李文娟</t>
        </is>
      </c>
      <c r="R59" s="2" t="inlineStr">
        <is>
          <t>女</t>
        </is>
      </c>
      <c r="S59" s="2" t="inlineStr">
        <is>
          <t>1995-08-01</t>
        </is>
      </c>
      <c r="T59" s="2" t="inlineStr">
        <is>
          <t>主管工程师</t>
        </is>
      </c>
      <c r="U59" s="2" t="inlineStr">
        <is>
          <t>南京化工大学</t>
        </is>
      </c>
      <c r="V59" s="2" t="inlineStr">
        <is>
          <t>化机</t>
        </is>
      </c>
      <c r="W59" s="2" t="inlineStr">
        <is>
          <t>大专</t>
        </is>
      </c>
      <c r="X59" s="2" t="inlineStr">
        <is>
          <t>A.积极高效：经常提前完成，且质量超出预期。</t>
        </is>
      </c>
      <c r="Y59" s="2" t="inlineStr">
        <is>
          <t>A.始终如一：无论任务大小，交付件标准都很高。</t>
        </is>
      </c>
      <c r="Z59" s="2" t="inlineStr">
        <is>
          <t>A.极其省心：只需交代目标，剩下的一律不用管，最后不仅能准时交付，甚至能超出预期。</t>
        </is>
      </c>
      <c r="AA59" s="2" t="inlineStr">
        <is>
          <t>A.全局视野：了解上下游，能站在全业务链条考虑问题。</t>
        </is>
      </c>
      <c r="AB59" s="2" t="inlineStr">
        <is>
          <t>B.尽力而为：能解决大部分问题，解决不了的会及时求助。</t>
        </is>
      </c>
      <c r="AC59" s="2" t="inlineStr">
        <is>
          <t>A.模范标兵：严于律己，从未在琐事上让主管费心。</t>
        </is>
      </c>
      <c r="AD59" s="2" t="inlineStr">
        <is>
          <t>A.持续优化：经常提出改进流程、提升效率的实用建议</t>
        </is>
      </c>
      <c r="AE59" s="2" t="inlineStr">
        <is>
          <t>A.推进力极强：能搞定不同性格的人，让对方配合。</t>
        </is>
      </c>
      <c r="AF59" s="2" t="inlineStr">
        <is>
          <t>B.有问有答：问到时能说清楚进度，基本能做到及时反馈。</t>
        </is>
      </c>
      <c r="AG59" s="2" t="inlineStr">
        <is>
          <t>B.稳定器：做好自己，不给团队添乱，是可靠的一员。</t>
        </is>
      </c>
      <c r="AH59" s="2" t="inlineStr">
        <is>
          <t>B.懂得求助：在尝试后会及时向主管或同事反馈，寻求资源支持。</t>
        </is>
      </c>
      <c r="AI59" s="2" t="inlineStr">
        <is>
          <t>B. 配合接受：主管安排了就干，不推辞。</t>
        </is>
      </c>
      <c r="AJ59" s="2" t="inlineStr">
        <is>
          <t>B.配合度高：虽然有压力，但能服从大局，咬牙顶上去，且质量尚可。</t>
        </is>
      </c>
      <c r="AK59" s="2" t="inlineStr">
        <is>
          <t>A.虚心求教：能听进去，并积极探讨更科学的方法。</t>
        </is>
      </c>
      <c r="AL59" s="2" t="inlineStr">
        <is>
          <t>B.正常上手：经过简单培训或指导，能很快投入应用。</t>
        </is>
      </c>
      <c r="AM59" s="2" t="inlineStr">
        <is>
          <t>A.总结达人：能把复杂工作写成标准 SOP，让新手直接用。</t>
        </is>
      </c>
      <c r="AN59" s="2" t="inlineStr">
        <is>
          <t>A.第一梯队（Top 10%）：部门的标杆。</t>
        </is>
      </c>
      <c r="AO59" s="2" t="inlineStr">
        <is>
          <t>B.业务骨干：是团队不可或缺的腰部力量。</t>
        </is>
      </c>
      <c r="AP59" s="2" t="inlineStr">
        <is>
          <t>B.有点可惜：是个好手，需要费心再找一个相同水准的。</t>
        </is>
      </c>
      <c r="AQ59" s="2" t="inlineStr">
        <is>
          <t>A</t>
        </is>
      </c>
      <c r="AR59" s="2" t="inlineStr">
        <is>
          <t>A</t>
        </is>
      </c>
      <c r="AS59" s="2" t="inlineStr">
        <is>
          <t>一致</t>
        </is>
      </c>
      <c r="AT59" s="2" t="inlineStr">
        <is>
          <t>A</t>
        </is>
      </c>
      <c r="AU59" s="2" t="inlineStr">
        <is>
          <t>4档</t>
        </is>
      </c>
      <c r="AV59" s="3" t="n">
        <v>9200</v>
      </c>
      <c r="AW59" s="3" t="n">
        <v>7360</v>
      </c>
      <c r="AX59" s="3" t="n">
        <v>11040</v>
      </c>
      <c r="AY59" s="2" t="inlineStr">
        <is>
          <t>B</t>
        </is>
      </c>
      <c r="AZ59" s="2" t="inlineStr">
        <is>
          <t>李文娟综合业务能力出众，尤其对项目现场非常了解，对本岗位工作理解深入，工作效率高，工作交付质量高，是团队的核心骨干。</t>
        </is>
      </c>
      <c r="BA59" s="7" t="n">
        <v>5</v>
      </c>
      <c r="BB59" s="7" t="n">
        <v>5</v>
      </c>
      <c r="BC59" s="7" t="n">
        <v>5</v>
      </c>
      <c r="BD59" s="7" t="n">
        <v>5</v>
      </c>
      <c r="BE59" s="7" t="n">
        <v>4</v>
      </c>
      <c r="BF59" s="7" t="n">
        <v>5</v>
      </c>
      <c r="BG59" s="7" t="n">
        <v>5</v>
      </c>
      <c r="BH59" s="7" t="n">
        <v>5</v>
      </c>
      <c r="BI59" s="7" t="n">
        <v>4</v>
      </c>
      <c r="BJ59" s="7" t="n">
        <v>4</v>
      </c>
      <c r="BK59" s="7" t="n">
        <v>3</v>
      </c>
      <c r="BL59" s="7" t="n">
        <v>4</v>
      </c>
      <c r="BM59" s="7" t="n">
        <v>3</v>
      </c>
      <c r="BN59" s="7" t="n">
        <v>4</v>
      </c>
      <c r="BO59" s="7" t="n">
        <v>5</v>
      </c>
      <c r="BP59" s="7" t="n">
        <v>4</v>
      </c>
      <c r="BQ59" s="7" t="n">
        <v>5</v>
      </c>
      <c r="BR59" s="7" t="n">
        <v>5</v>
      </c>
      <c r="BS59" s="7" t="n">
        <v>4</v>
      </c>
      <c r="BT59" s="7" t="n">
        <v>4</v>
      </c>
      <c r="BU59" s="7" t="n">
        <v>88</v>
      </c>
      <c r="BV59" s="2"/>
      <c r="BW59" s="2"/>
      <c r="BX59" s="2"/>
      <c r="BY59" s="6">
        <f>HYPERLINK("https://www.h3yun.com/Form/Attachments/?schemacode=D148357733993cc00c048ad9898e53f5f82cbb9&amp;bizObjectId=711a90bb-4e53-4ef9-b4d6-f00b013a925a&amp;name=F0000016","点击查看")</f>
        <v>0</v>
      </c>
      <c r="BZ59" s="2" t="inlineStr">
        <is>
          <t>2026-05-18 21:26:42</t>
        </is>
      </c>
      <c r="CA59" s="2"/>
      <c r="CB59" s="2" t="inlineStr">
        <is>
          <t>已提交</t>
        </is>
      </c>
      <c r="CC59" s="2" t="inlineStr">
        <is>
          <t>高级工程师</t>
        </is>
      </c>
      <c r="CD59" s="2" t="inlineStr">
        <is>
          <t>一级建造师证书、PMP、</t>
        </is>
      </c>
      <c r="CE59" s="2" t="inlineStr">
        <is>
          <t>优秀员工</t>
        </is>
      </c>
      <c r="CF59" s="2"/>
      <c r="CG59" s="2" t="inlineStr">
        <is>
          <t>320923197410262426</t>
        </is>
      </c>
      <c r="CH59" s="2" t="inlineStr">
        <is>
          <t>已生效</t>
        </is>
      </c>
      <c r="CI59" s="2" t="inlineStr">
        <is>
          <t>ffb086ad-bedf-4f3e-8edd-c4275ccf29cd</t>
        </is>
      </c>
      <c r="CJ59" s="3" t="n">
        <v>1</v>
      </c>
      <c r="CK59" s="2" t="inlineStr">
        <is>
          <t>近三年至少担任过一个合同额1500万元以上项目相应岗位的主管</t>
        </is>
      </c>
      <c r="CL59" s="2" t="inlineStr">
        <is>
          <t>近三年至少担任过一个合同额1500万元以上项目相应岗位的主管</t>
        </is>
      </c>
      <c r="CM59" s="2" t="inlineStr">
        <is>
          <t>南化建司劳2017-1号文-南京南化建设有限公司施工一线专业序列人员分级管理规定</t>
        </is>
      </c>
      <c r="CN59" s="2" t="inlineStr">
        <is>
          <t>第三章第2条B类</t>
        </is>
      </c>
      <c r="CO59" s="2" t="inlineStr">
        <is>
          <t>否</t>
        </is>
      </c>
      <c r="CP59" s="2" t="inlineStr">
        <is>
          <t>未担任项目岗</t>
        </is>
      </c>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t="inlineStr">
        <is>
          <t>0fb34002-4934-4364-930d-35b6715d2134</t>
        </is>
      </c>
      <c r="CJ60" s="3" t="n">
        <v>2</v>
      </c>
      <c r="CK60" s="2" t="inlineStr">
        <is>
          <t>公司二级单位或公司职能部门推荐</t>
        </is>
      </c>
      <c r="CL60" s="2" t="inlineStr">
        <is>
          <t>公司二级单位或公司职能部门推荐</t>
        </is>
      </c>
      <c r="CM60" s="2" t="inlineStr">
        <is>
          <t>南化建司劳2017-1号文-南京南化建设有限公司施工一线专业序列人员分级管理规定</t>
        </is>
      </c>
      <c r="CN60" s="2" t="inlineStr">
        <is>
          <t>第三章第2条B类</t>
        </is>
      </c>
      <c r="CO60" s="2" t="inlineStr">
        <is>
          <t>是</t>
        </is>
      </c>
      <c r="CP60" s="2" t="inlineStr">
        <is>
          <t>不理解这一条</t>
        </is>
      </c>
    </row>
    <row r="61">
      <c r="A61" s="2" t="inlineStr">
        <is>
          <t>bb2773f2-86a2-4487-99bd-09d165c65a0f</t>
        </is>
      </c>
      <c r="B61" s="2" t="inlineStr">
        <is>
          <t>C.均衡，工作负荷一般，按部就班完成工作，除了突发时间几乎不用加班</t>
        </is>
      </c>
      <c r="C61" s="2" t="inlineStr">
        <is>
          <t>技术质量部    俞桂萍    女    罗颖</t>
        </is>
      </c>
      <c r="D61" s="2" t="inlineStr">
        <is>
          <t>Anonymous</t>
        </is>
      </c>
      <c r="E61" s="2" t="inlineStr">
        <is>
          <t>Anonymous</t>
        </is>
      </c>
      <c r="F61" s="2"/>
      <c r="G61" s="2" t="inlineStr">
        <is>
          <t>2026-05-25 10:56:15</t>
        </is>
      </c>
      <c r="H61" s="2" t="inlineStr">
        <is>
          <t>罗颖</t>
        </is>
      </c>
      <c r="I61" s="2" t="inlineStr">
        <is>
          <t>360203198401213524</t>
        </is>
      </c>
      <c r="J61" s="2" t="inlineStr">
        <is>
          <t>女</t>
        </is>
      </c>
      <c r="K61" s="2" t="inlineStr">
        <is>
          <t>技术质量部</t>
        </is>
      </c>
      <c r="L61" s="2" t="inlineStr">
        <is>
          <t>2010-08-14</t>
        </is>
      </c>
      <c r="M61" s="2" t="inlineStr">
        <is>
          <t>江苏大学</t>
        </is>
      </c>
      <c r="N61" s="2" t="inlineStr">
        <is>
          <t>安全员</t>
        </is>
      </c>
      <c r="O61" s="2" t="inlineStr">
        <is>
          <t>硕士</t>
        </is>
      </c>
      <c r="P61" s="2" t="inlineStr">
        <is>
          <t>技术质量部</t>
        </is>
      </c>
      <c r="Q61" s="2" t="inlineStr">
        <is>
          <t>俞桂萍</t>
        </is>
      </c>
      <c r="R61" s="2" t="inlineStr">
        <is>
          <t>女</t>
        </is>
      </c>
      <c r="S61" s="2" t="inlineStr">
        <is>
          <t>1998-03-01</t>
        </is>
      </c>
      <c r="T61" s="2" t="inlineStr">
        <is>
          <t>辅助工种中级工</t>
        </is>
      </c>
      <c r="U61" s="2"/>
      <c r="V61" s="2" t="inlineStr">
        <is>
          <t>其他</t>
        </is>
      </c>
      <c r="W61" s="2" t="inlineStr">
        <is>
          <t>中专</t>
        </is>
      </c>
      <c r="X61" s="2" t="inlineStr">
        <is>
          <t>B.按时推进：基本能卡着时间点完成，不掉链子。</t>
        </is>
      </c>
      <c r="Y61" s="2" t="inlineStr">
        <is>
          <t>A.始终如一：无论任务大小，交付件标准都很高。</t>
        </is>
      </c>
      <c r="Z61" s="2" t="inlineStr">
        <is>
          <t>B.比较省心：只需定期同步一下进度，不需要主管盯着细节，能独立把事情办成。</t>
        </is>
      </c>
      <c r="AA61" s="2" t="inlineStr">
        <is>
          <t>B.清楚岗位：对自己岗位的活儿很门清，略知上下游。</t>
        </is>
      </c>
      <c r="AB61" s="2" t="inlineStr">
        <is>
          <t>A.攻坚克难：会想尽一切办法钻研，直至彻底解决。</t>
        </is>
      </c>
      <c r="AC61" s="2" t="inlineStr">
        <is>
          <t>B.基本合规：偶尔迟到或忘打卡，提醒后能迅速改正。</t>
        </is>
      </c>
      <c r="AD61" s="2" t="inlineStr">
        <is>
          <t>B.偶尔思考：在主管启发下，能提出一些优化想法</t>
        </is>
      </c>
      <c r="AE61" s="2" t="inlineStr">
        <is>
          <t>B.正常沟通：能清晰表达需求，维持基本的协作。</t>
        </is>
      </c>
      <c r="AF61" s="2" t="inlineStr">
        <is>
          <t>A.完美闭环：进展、难点、结果都会主动汇报，无需催促。</t>
        </is>
      </c>
      <c r="AG61" s="2" t="inlineStr">
        <is>
          <t>B.稳定器：做好自己，不给团队添乱，是可靠的一员。</t>
        </is>
      </c>
      <c r="AH61" s="2" t="inlineStr">
        <is>
          <t>B.懂得求助：在尝试后会及时向主管或同事反馈，寻求资源支持。</t>
        </is>
      </c>
      <c r="AI61" s="2" t="inlineStr">
        <is>
          <t>B. 配合接受：主管安排了就干，不推辞。</t>
        </is>
      </c>
      <c r="AJ61" s="2" t="inlineStr">
        <is>
          <t>B.配合度高：虽然有压力，但能服从大局，咬牙顶上去，且质量尚可。</t>
        </is>
      </c>
      <c r="AK61" s="2" t="inlineStr">
        <is>
          <t>A.虚心求教：能听进去，并积极探讨更科学的方法。</t>
        </is>
      </c>
      <c r="AL61" s="2" t="inlineStr">
        <is>
          <t>B.正常上手：经过简单培训或指导，能很快投入应用。</t>
        </is>
      </c>
      <c r="AM61" s="2" t="inlineStr">
        <is>
          <t>B.愿意传帮带：平时爱分享避坑指南，能带徒弟。</t>
        </is>
      </c>
      <c r="AN61" s="2" t="inlineStr">
        <is>
          <t>B.中上水平：高于平均线，是团队的中流砥柱。</t>
        </is>
      </c>
      <c r="AO61" s="2" t="inlineStr">
        <is>
          <t>B.业务骨干：是团队不可或缺的腰部力量。</t>
        </is>
      </c>
      <c r="AP61" s="2" t="inlineStr">
        <is>
          <t>B.有点可惜：是个好手，需要费心再找一个相同水准的。</t>
        </is>
      </c>
      <c r="AQ61" s="2" t="inlineStr">
        <is>
          <t>B</t>
        </is>
      </c>
      <c r="AR61" s="2" t="inlineStr">
        <is>
          <t>B</t>
        </is>
      </c>
      <c r="AS61" s="2" t="inlineStr">
        <is>
          <t>一致</t>
        </is>
      </c>
      <c r="AT61" s="2" t="inlineStr">
        <is>
          <t>B</t>
        </is>
      </c>
      <c r="AU61" s="2" t="inlineStr">
        <is>
          <t>3档</t>
        </is>
      </c>
      <c r="AV61" s="3" t="n">
        <v>8000</v>
      </c>
      <c r="AW61" s="3" t="n">
        <v>6400</v>
      </c>
      <c r="AX61" s="3" t="n">
        <v>9600</v>
      </c>
      <c r="AY61" s="2" t="inlineStr">
        <is>
          <t>C</t>
        </is>
      </c>
      <c r="AZ61" s="2" t="inlineStr">
        <is>
          <t>俞桂萍虽然参与部门核心工作不多，却主动承担标准规范更新、部门报销等工作，平时工作认真负责，从不推诿。并且对于任何工作都愿意主动学习且高效落实，事事有反馈，为部门提供了稳定可靠的工作支持。</t>
        </is>
      </c>
      <c r="BA61" s="7" t="n">
        <v>3</v>
      </c>
      <c r="BB61" s="7" t="n">
        <v>5</v>
      </c>
      <c r="BC61" s="7" t="n">
        <v>4</v>
      </c>
      <c r="BD61" s="7" t="n">
        <v>4</v>
      </c>
      <c r="BE61" s="7" t="n">
        <v>5</v>
      </c>
      <c r="BF61" s="7" t="n">
        <v>3.5</v>
      </c>
      <c r="BG61" s="7" t="n">
        <v>4</v>
      </c>
      <c r="BH61" s="7" t="n">
        <v>3.5</v>
      </c>
      <c r="BI61" s="7" t="n">
        <v>5</v>
      </c>
      <c r="BJ61" s="7" t="n">
        <v>4</v>
      </c>
      <c r="BK61" s="7" t="n">
        <v>3</v>
      </c>
      <c r="BL61" s="7" t="n">
        <v>4</v>
      </c>
      <c r="BM61" s="7" t="n">
        <v>3</v>
      </c>
      <c r="BN61" s="7" t="n">
        <v>4</v>
      </c>
      <c r="BO61" s="7" t="n">
        <v>5</v>
      </c>
      <c r="BP61" s="7" t="n">
        <v>4</v>
      </c>
      <c r="BQ61" s="7" t="n">
        <v>4</v>
      </c>
      <c r="BR61" s="7" t="n">
        <v>4</v>
      </c>
      <c r="BS61" s="7" t="n">
        <v>4</v>
      </c>
      <c r="BT61" s="7" t="n">
        <v>4</v>
      </c>
      <c r="BU61" s="7" t="n">
        <v>80</v>
      </c>
      <c r="BV61" s="2"/>
      <c r="BW61" s="2"/>
      <c r="BX61" s="2"/>
      <c r="BY61" s="6">
        <f>HYPERLINK("https://www.h3yun.com/Form/Attachments/?schemacode=D148357733993cc00c048ad9898e53f5f82cbb9&amp;bizObjectId=bb2773f2-86a2-4487-99bd-09d165c65a0f&amp;name=F0000016","点击查看")</f>
        <v>0</v>
      </c>
      <c r="BZ61" s="2" t="inlineStr">
        <is>
          <t>2026-05-18 21:10:01</t>
        </is>
      </c>
      <c r="CA61" s="2"/>
      <c r="CB61" s="2" t="inlineStr">
        <is>
          <t>已提交</t>
        </is>
      </c>
      <c r="CC61" s="2" t="inlineStr">
        <is>
          <t>无</t>
        </is>
      </c>
      <c r="CD61" s="2" t="inlineStr">
        <is>
          <t>资料员资格证</t>
        </is>
      </c>
      <c r="CE61" s="2" t="inlineStr">
        <is>
          <t>无</t>
        </is>
      </c>
      <c r="CF61" s="2"/>
      <c r="CG61" s="2" t="inlineStr">
        <is>
          <t>420114197908145423</t>
        </is>
      </c>
      <c r="CH61" s="2" t="inlineStr">
        <is>
          <t>已生效</t>
        </is>
      </c>
      <c r="CI61" s="2" t="inlineStr">
        <is>
          <t>80792172-4718-4b01-ba22-4008ae1add0e</t>
        </is>
      </c>
      <c r="CJ61" s="3" t="n">
        <v>1</v>
      </c>
      <c r="CK61" s="2" t="inlineStr">
        <is>
          <t>近三年至少担任过一个合同额1000万元以上项目相应岗位的主管</t>
        </is>
      </c>
      <c r="CL61" s="2" t="inlineStr">
        <is>
          <t>近三年至少担任过一个合同额1000万元以上项目相应岗位的主管</t>
        </is>
      </c>
      <c r="CM61" s="2" t="inlineStr">
        <is>
          <t>南化建司劳2017-1号文-南京南化建设有限公司施工一线专业序列人员分级管理规定</t>
        </is>
      </c>
      <c r="CN61" s="2" t="inlineStr">
        <is>
          <t>第三章第3条C类</t>
        </is>
      </c>
      <c r="CO61" s="2" t="inlineStr">
        <is>
          <t>否</t>
        </is>
      </c>
      <c r="CP61" s="2" t="inlineStr">
        <is>
          <t>没有担任项目岗</t>
        </is>
      </c>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t="inlineStr">
        <is>
          <t>a7f4094f-1047-4c6d-8571-f158f37237b7</t>
        </is>
      </c>
      <c r="CJ62" s="3" t="n">
        <v>2</v>
      </c>
      <c r="CK62" s="2" t="inlineStr">
        <is>
          <t>公司二级单位或公司职能部门推荐</t>
        </is>
      </c>
      <c r="CL62" s="2" t="inlineStr">
        <is>
          <t>公司二级单位或公司职能部门推荐</t>
        </is>
      </c>
      <c r="CM62" s="2" t="inlineStr">
        <is>
          <t>南化建司劳2017-1号文-南京南化建设有限公司施工一线专业序列人员分级管理规定</t>
        </is>
      </c>
      <c r="CN62" s="2" t="inlineStr">
        <is>
          <t>第三章第3条C类</t>
        </is>
      </c>
      <c r="CO62" s="2" t="inlineStr">
        <is>
          <t>是</t>
        </is>
      </c>
      <c r="CP62" s="2" t="inlineStr">
        <is>
          <t>没看懂这一条的要求</t>
        </is>
      </c>
    </row>
    <row r="63">
      <c r="A63" s="2" t="inlineStr">
        <is>
          <t>0c208ab8-a9f5-4c06-b71a-4fa51d1dbd41</t>
        </is>
      </c>
      <c r="B63" s="2" t="inlineStr">
        <is>
          <t>C.均衡，工作负荷一般，按部就班完成工作，除了突发时间几乎不用加班</t>
        </is>
      </c>
      <c r="C63" s="2" t="inlineStr">
        <is>
          <t>技术质量部    林新远    男    孙裕强</t>
        </is>
      </c>
      <c r="D63" s="2" t="inlineStr">
        <is>
          <t>Anonymous</t>
        </is>
      </c>
      <c r="E63" s="2" t="inlineStr">
        <is>
          <t>Anonymous</t>
        </is>
      </c>
      <c r="F63" s="2"/>
      <c r="G63" s="2" t="inlineStr">
        <is>
          <t>2026-05-25 10:56:15</t>
        </is>
      </c>
      <c r="H63" s="2" t="inlineStr">
        <is>
          <t>孙裕强</t>
        </is>
      </c>
      <c r="I63" s="2" t="inlineStr">
        <is>
          <t>320322199402012515</t>
        </is>
      </c>
      <c r="J63" s="2" t="inlineStr">
        <is>
          <t>男</t>
        </is>
      </c>
      <c r="K63" s="2" t="inlineStr">
        <is>
          <t>技术质量部</t>
        </is>
      </c>
      <c r="L63" s="2" t="inlineStr">
        <is>
          <t>2017-08-01</t>
        </is>
      </c>
      <c r="M63" s="2" t="inlineStr">
        <is>
          <t>淮海工学院</t>
        </is>
      </c>
      <c r="N63" s="2" t="inlineStr">
        <is>
          <t>过控</t>
        </is>
      </c>
      <c r="O63" s="2" t="inlineStr">
        <is>
          <t>本科</t>
        </is>
      </c>
      <c r="P63" s="2" t="inlineStr">
        <is>
          <t>技术质量部</t>
        </is>
      </c>
      <c r="Q63" s="2" t="inlineStr">
        <is>
          <t>林新远</t>
        </is>
      </c>
      <c r="R63" s="2" t="inlineStr">
        <is>
          <t>男</t>
        </is>
      </c>
      <c r="S63" s="2" t="inlineStr">
        <is>
          <t>2024-08-01</t>
        </is>
      </c>
      <c r="T63" s="2" t="inlineStr">
        <is>
          <t>技术助理(三)</t>
        </is>
      </c>
      <c r="U63" s="2" t="inlineStr">
        <is>
          <t>常州大学</t>
        </is>
      </c>
      <c r="V63" s="2" t="inlineStr">
        <is>
          <t>机制</t>
        </is>
      </c>
      <c r="W63" s="2" t="inlineStr">
        <is>
          <t>本科</t>
        </is>
      </c>
      <c r="X63" s="2" t="inlineStr">
        <is>
          <t>B.按时推进：基本能卡着时间点完成，不掉链子。</t>
        </is>
      </c>
      <c r="Y63" s="2" t="inlineStr">
        <is>
          <t>B.基本稳定：偶有小瑕疵，但不影响整体使用。</t>
        </is>
      </c>
      <c r="Z63" s="2" t="inlineStr">
        <is>
          <t>B.比较省心：只需定期同步一下进度，不需要主管盯着细节，能独立把事情办成。</t>
        </is>
      </c>
      <c r="AA63" s="2" t="inlineStr">
        <is>
          <t>B.清楚岗位：对自己岗位的活儿很门清，略知上下游。</t>
        </is>
      </c>
      <c r="AB63" s="2" t="inlineStr">
        <is>
          <t>B.尽力而为：能解决大部分问题，解决不了的会及时求助。</t>
        </is>
      </c>
      <c r="AC63" s="2" t="inlineStr">
        <is>
          <t>B.基本合规：偶尔迟到或忘打卡，提醒后能迅速改正。</t>
        </is>
      </c>
      <c r="AD63" s="2" t="inlineStr">
        <is>
          <t>B.偶尔思考：在主管启发下，能提出一些优化想法</t>
        </is>
      </c>
      <c r="AE63" s="2" t="inlineStr">
        <is>
          <t>B.正常沟通：能清晰表达需求，维持基本的协作。</t>
        </is>
      </c>
      <c r="AF63" s="2" t="inlineStr">
        <is>
          <t>B.有问有答：问到时能说清楚进度，基本能做到及时反馈。</t>
        </is>
      </c>
      <c r="AG63" s="2" t="inlineStr">
        <is>
          <t>B.稳定器：做好自己，不给团队添乱，是可靠的一员。</t>
        </is>
      </c>
      <c r="AH63" s="2" t="inlineStr">
        <is>
          <t>B.懂得求助：在尝试后会及时向主管或同事反馈，寻求资源支持。</t>
        </is>
      </c>
      <c r="AI63" s="2" t="inlineStr">
        <is>
          <t>B. 配合接受：主管安排了就干，不推辞。</t>
        </is>
      </c>
      <c r="AJ63" s="2" t="inlineStr">
        <is>
          <t>B.配合度高：虽然有压力，但能服从大局，咬牙顶上去，且质量尚可。</t>
        </is>
      </c>
      <c r="AK63" s="2" t="inlineStr">
        <is>
          <t>B.照单全收：态度很好，虽然不一定完全理解，但会按要求改。</t>
        </is>
      </c>
      <c r="AL63" s="2" t="inlineStr">
        <is>
          <t>B.正常上手：经过简单培训或指导，能很快投入应用。</t>
        </is>
      </c>
      <c r="AM63" s="2" t="inlineStr">
        <is>
          <t>C.技能私有：自己干得好也愿意分享，但是不会总结或讲不出来。</t>
        </is>
      </c>
      <c r="AN63" s="2" t="inlineStr">
        <is>
          <t>B.中上水平：高于平均线，是团队的中流砥柱。</t>
        </is>
      </c>
      <c r="AO63" s="2" t="inlineStr">
        <is>
          <t>B.业务骨干：是团队不可或缺的腰部力量。</t>
        </is>
      </c>
      <c r="AP63" s="2" t="inlineStr">
        <is>
          <t>A.晴天霹雳：极其遗憾，会不惜代价挽留，他是部门的支柱。</t>
        </is>
      </c>
      <c r="AQ63" s="2" t="inlineStr">
        <is>
          <t>B</t>
        </is>
      </c>
      <c r="AR63" s="2" t="inlineStr">
        <is>
          <t>B</t>
        </is>
      </c>
      <c r="AS63" s="2" t="inlineStr">
        <is>
          <t>一致</t>
        </is>
      </c>
      <c r="AT63" s="2" t="inlineStr">
        <is>
          <t>B</t>
        </is>
      </c>
      <c r="AU63" s="2" t="inlineStr">
        <is>
          <t>3档</t>
        </is>
      </c>
      <c r="AV63" s="3" t="n">
        <v>8000</v>
      </c>
      <c r="AW63" s="3" t="n">
        <v>6400</v>
      </c>
      <c r="AX63" s="3" t="n">
        <v>9600</v>
      </c>
      <c r="AY63" s="2" t="inlineStr">
        <is>
          <t>C</t>
        </is>
      </c>
      <c r="AZ63" s="2" t="inlineStr">
        <is>
          <t>员工工作严谨尽责，各项工作均能依规按时落地完成，学习领悟力突出，快速适配全新工作内容。善于团结同事，主动分担团队事务，面对工作压力心态良好。欠缺独立处理重难点工作的能力，岗位专业知识掌握偏浅显，实战经验有待进一步积累提升。</t>
        </is>
      </c>
      <c r="BA63" s="7" t="n">
        <v>3</v>
      </c>
      <c r="BB63" s="7" t="n">
        <v>4</v>
      </c>
      <c r="BC63" s="7" t="n">
        <v>4</v>
      </c>
      <c r="BD63" s="7" t="n">
        <v>4</v>
      </c>
      <c r="BE63" s="7" t="n">
        <v>4</v>
      </c>
      <c r="BF63" s="7" t="n">
        <v>3.5</v>
      </c>
      <c r="BG63" s="7" t="n">
        <v>4</v>
      </c>
      <c r="BH63" s="7" t="n">
        <v>3.5</v>
      </c>
      <c r="BI63" s="7" t="n">
        <v>4</v>
      </c>
      <c r="BJ63" s="7" t="n">
        <v>4</v>
      </c>
      <c r="BK63" s="7" t="n">
        <v>3</v>
      </c>
      <c r="BL63" s="7" t="n">
        <v>4</v>
      </c>
      <c r="BM63" s="7" t="n">
        <v>3</v>
      </c>
      <c r="BN63" s="7" t="n">
        <v>4</v>
      </c>
      <c r="BO63" s="7" t="n">
        <v>3</v>
      </c>
      <c r="BP63" s="7" t="n">
        <v>4</v>
      </c>
      <c r="BQ63" s="7" t="n">
        <v>2</v>
      </c>
      <c r="BR63" s="7" t="n">
        <v>4</v>
      </c>
      <c r="BS63" s="7" t="n">
        <v>4</v>
      </c>
      <c r="BT63" s="7" t="n">
        <v>5</v>
      </c>
      <c r="BU63" s="7" t="n">
        <v>74</v>
      </c>
      <c r="BV63" s="2"/>
      <c r="BW63" s="2"/>
      <c r="BX63" s="2"/>
      <c r="BY63" s="6">
        <f>HYPERLINK("https://www.h3yun.com/Form/Attachments/?schemacode=D148357733993cc00c048ad9898e53f5f82cbb9&amp;bizObjectId=0c208ab8-a9f5-4c06-b71a-4fa51d1dbd41&amp;name=F0000016","点击查看")</f>
        <v>0</v>
      </c>
      <c r="BZ63" s="2" t="inlineStr">
        <is>
          <t>2026-05-18 17:12:06</t>
        </is>
      </c>
      <c r="CA63" s="2"/>
      <c r="CB63" s="2" t="inlineStr">
        <is>
          <t>已提交</t>
        </is>
      </c>
      <c r="CC63" s="2" t="inlineStr">
        <is>
          <t>助理工程师</t>
        </is>
      </c>
      <c r="CD63" s="2" t="inlineStr">
        <is>
          <t>无</t>
        </is>
      </c>
      <c r="CE63" s="2" t="inlineStr">
        <is>
          <t>无</t>
        </is>
      </c>
      <c r="CF63" s="2"/>
      <c r="CG63" s="2" t="inlineStr">
        <is>
          <t>320123200101264816</t>
        </is>
      </c>
      <c r="CH63" s="2" t="inlineStr">
        <is>
          <t>已生效</t>
        </is>
      </c>
      <c r="CI63" s="2" t="inlineStr">
        <is>
          <t>18b995ce-0b6d-4c5b-a761-976644bd03b8</t>
        </is>
      </c>
      <c r="CJ63" s="3" t="n">
        <v>1</v>
      </c>
      <c r="CK63" s="2" t="inlineStr">
        <is>
          <t>近三年至少担任过一个合同额1000万元以上项目相应岗位的主管</t>
        </is>
      </c>
      <c r="CL63" s="2" t="inlineStr">
        <is>
          <t>近三年至少担任过一个合同额1000万元以上项目相应岗位的主管</t>
        </is>
      </c>
      <c r="CM63" s="2" t="inlineStr">
        <is>
          <t>南化建司劳2017-1号文-南京南化建设有限公司施工一线专业序列人员分级管理规定</t>
        </is>
      </c>
      <c r="CN63" s="2" t="inlineStr">
        <is>
          <t>第三章第3条C类</t>
        </is>
      </c>
      <c r="CO63" s="2" t="inlineStr">
        <is>
          <t>否</t>
        </is>
      </c>
      <c r="CP63" s="2" t="inlineStr">
        <is>
          <t>该员工入职以来一直在技术质量部工作</t>
        </is>
      </c>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t="inlineStr">
        <is>
          <t>847f38f1-8397-457e-b6d3-679fe7984601</t>
        </is>
      </c>
      <c r="CJ64" s="3" t="n">
        <v>2</v>
      </c>
      <c r="CK64" s="2" t="inlineStr">
        <is>
          <t>公司二级单位或公司职能部门推荐</t>
        </is>
      </c>
      <c r="CL64" s="2" t="inlineStr">
        <is>
          <t>公司二级单位或公司职能部门推荐</t>
        </is>
      </c>
      <c r="CM64" s="2" t="inlineStr">
        <is>
          <t>南化建司劳2017-1号文-南京南化建设有限公司施工一线专业序列人员分级管理规定</t>
        </is>
      </c>
      <c r="CN64" s="2" t="inlineStr">
        <is>
          <t>第三章第3条C类</t>
        </is>
      </c>
      <c r="CO64" s="2" t="inlineStr">
        <is>
          <t>否</t>
        </is>
      </c>
      <c r="CP64" s="2" t="inlineStr">
        <is>
          <t>无</t>
        </is>
      </c>
    </row>
    <row r="65">
      <c r="A65" s="2" t="inlineStr">
        <is>
          <t>c653280e-0671-49a7-8fc0-850455dbb43f</t>
        </is>
      </c>
      <c r="B65" s="2" t="inlineStr">
        <is>
          <t>B.满负荷，平时工作就很忙，偶尔因为非突发时间也要加班</t>
        </is>
      </c>
      <c r="C65" s="2" t="inlineStr">
        <is>
          <t>技术质量部    朱庆峰    男    孙裕强</t>
        </is>
      </c>
      <c r="D65" s="2" t="inlineStr">
        <is>
          <t>Anonymous</t>
        </is>
      </c>
      <c r="E65" s="2" t="inlineStr">
        <is>
          <t>Anonymous</t>
        </is>
      </c>
      <c r="F65" s="2"/>
      <c r="G65" s="2" t="inlineStr">
        <is>
          <t>2026-05-25 10:56:15</t>
        </is>
      </c>
      <c r="H65" s="2" t="inlineStr">
        <is>
          <t>孙裕强</t>
        </is>
      </c>
      <c r="I65" s="2" t="inlineStr">
        <is>
          <t>320322199402012515</t>
        </is>
      </c>
      <c r="J65" s="2" t="inlineStr">
        <is>
          <t>男</t>
        </is>
      </c>
      <c r="K65" s="2" t="inlineStr">
        <is>
          <t>技术质量部</t>
        </is>
      </c>
      <c r="L65" s="2" t="inlineStr">
        <is>
          <t>2017-08-01</t>
        </is>
      </c>
      <c r="M65" s="2" t="inlineStr">
        <is>
          <t>淮海工学院</t>
        </is>
      </c>
      <c r="N65" s="2" t="inlineStr">
        <is>
          <t>过控</t>
        </is>
      </c>
      <c r="O65" s="2" t="inlineStr">
        <is>
          <t>本科</t>
        </is>
      </c>
      <c r="P65" s="2" t="inlineStr">
        <is>
          <t>技术质量部</t>
        </is>
      </c>
      <c r="Q65" s="2" t="inlineStr">
        <is>
          <t>朱庆峰</t>
        </is>
      </c>
      <c r="R65" s="2" t="inlineStr">
        <is>
          <t>男</t>
        </is>
      </c>
      <c r="S65" s="2" t="inlineStr">
        <is>
          <t>2023-08-01</t>
        </is>
      </c>
      <c r="T65" s="2" t="inlineStr">
        <is>
          <t>技术助理(二)</t>
        </is>
      </c>
      <c r="U65" s="2" t="inlineStr">
        <is>
          <t>金陵科技学院</t>
        </is>
      </c>
      <c r="V65" s="2" t="inlineStr">
        <is>
          <t>材料员</t>
        </is>
      </c>
      <c r="W65" s="2" t="inlineStr">
        <is>
          <t>本科</t>
        </is>
      </c>
      <c r="X65" s="2" t="inlineStr">
        <is>
          <t>B.按时推进：基本能卡着时间点完成，不掉链子。</t>
        </is>
      </c>
      <c r="Y65" s="2" t="inlineStr">
        <is>
          <t>B.基本稳定：偶有小瑕疵，但不影响整体使用。</t>
        </is>
      </c>
      <c r="Z65" s="2" t="inlineStr">
        <is>
          <t>B.比较省心：只需定期同步一下进度，不需要主管盯着细节，能独立把事情办成。</t>
        </is>
      </c>
      <c r="AA65" s="2" t="inlineStr">
        <is>
          <t>B.清楚岗位：对自己岗位的活儿很门清，略知上下游。</t>
        </is>
      </c>
      <c r="AB65" s="2" t="inlineStr">
        <is>
          <t>B.尽力而为：能解决大部分问题，解决不了的会及时求助。</t>
        </is>
      </c>
      <c r="AC65" s="2" t="inlineStr">
        <is>
          <t>B.基本合规：偶尔迟到或忘打卡，提醒后能迅速改正。</t>
        </is>
      </c>
      <c r="AD65" s="2" t="inlineStr">
        <is>
          <t>B.偶尔思考：在主管启发下，能提出一些优化想法</t>
        </is>
      </c>
      <c r="AE65" s="2" t="inlineStr">
        <is>
          <t>A.推进力极强：能搞定不同性格的人，让对方配合。</t>
        </is>
      </c>
      <c r="AF65" s="2" t="inlineStr">
        <is>
          <t>B.有问有答：问到时能说清楚进度，基本能做到及时反馈。</t>
        </is>
      </c>
      <c r="AG65" s="2" t="inlineStr">
        <is>
          <t>B.稳定器：做好自己，不给团队添乱，是可靠的一员。</t>
        </is>
      </c>
      <c r="AH65" s="2" t="inlineStr">
        <is>
          <t>B.懂得求助：在尝试后会及时向主管或同事反馈，寻求资源支持。</t>
        </is>
      </c>
      <c r="AI65" s="2" t="inlineStr">
        <is>
          <t>B. 配合接受：主管安排了就干，不推辞。</t>
        </is>
      </c>
      <c r="AJ65" s="2" t="inlineStr">
        <is>
          <t>B.配合度高：虽然有压力，但能服从大局，咬牙顶上去，且质量尚可。</t>
        </is>
      </c>
      <c r="AK65" s="2" t="inlineStr">
        <is>
          <t>A.虚心求教：能听进去，并积极探讨更科学的方法。</t>
        </is>
      </c>
      <c r="AL65" s="2" t="inlineStr">
        <is>
          <t>B.正常上手：经过简单培训或指导，能很快投入应用。</t>
        </is>
      </c>
      <c r="AM65" s="2" t="inlineStr">
        <is>
          <t>B.愿意传帮带：平时爱分享避坑指南，能带徒弟。</t>
        </is>
      </c>
      <c r="AN65" s="2" t="inlineStr">
        <is>
          <t>B.中上水平：高于平均线，是团队的中流砥柱。</t>
        </is>
      </c>
      <c r="AO65" s="2" t="inlineStr">
        <is>
          <t>B.业务骨干：是团队不可或缺的腰部力量。</t>
        </is>
      </c>
      <c r="AP65" s="2" t="inlineStr">
        <is>
          <t>A.晴天霹雳：极其遗憾，会不惜代价挽留，他是部门的支柱。</t>
        </is>
      </c>
      <c r="AQ65" s="2" t="inlineStr">
        <is>
          <t>B</t>
        </is>
      </c>
      <c r="AR65" s="2" t="inlineStr">
        <is>
          <t>B</t>
        </is>
      </c>
      <c r="AS65" s="2" t="inlineStr">
        <is>
          <t>一致</t>
        </is>
      </c>
      <c r="AT65" s="2" t="inlineStr">
        <is>
          <t>B</t>
        </is>
      </c>
      <c r="AU65" s="2" t="inlineStr">
        <is>
          <t>3档</t>
        </is>
      </c>
      <c r="AV65" s="3" t="n">
        <v>8000</v>
      </c>
      <c r="AW65" s="3" t="n">
        <v>6400</v>
      </c>
      <c r="AX65" s="3" t="n">
        <v>9600</v>
      </c>
      <c r="AY65" s="2" t="inlineStr">
        <is>
          <t>C</t>
        </is>
      </c>
      <c r="AZ65" s="2" t="inlineStr">
        <is>
          <t>该员工能力与团队水平相当，学习与协作意识良好，能主动承担任务、抗压性强，工作基本能按时交付，有较大培养潜力；但知识积累不足，项目施工经验不足。</t>
        </is>
      </c>
      <c r="BA65" s="7" t="n">
        <v>3</v>
      </c>
      <c r="BB65" s="7" t="n">
        <v>4</v>
      </c>
      <c r="BC65" s="7" t="n">
        <v>4</v>
      </c>
      <c r="BD65" s="7" t="n">
        <v>4</v>
      </c>
      <c r="BE65" s="7" t="n">
        <v>4</v>
      </c>
      <c r="BF65" s="7" t="n">
        <v>3.5</v>
      </c>
      <c r="BG65" s="7" t="n">
        <v>4</v>
      </c>
      <c r="BH65" s="7" t="n">
        <v>5</v>
      </c>
      <c r="BI65" s="7" t="n">
        <v>4</v>
      </c>
      <c r="BJ65" s="7" t="n">
        <v>4</v>
      </c>
      <c r="BK65" s="7" t="n">
        <v>3</v>
      </c>
      <c r="BL65" s="7" t="n">
        <v>4</v>
      </c>
      <c r="BM65" s="7" t="n">
        <v>4</v>
      </c>
      <c r="BN65" s="7" t="n">
        <v>4</v>
      </c>
      <c r="BO65" s="7" t="n">
        <v>5</v>
      </c>
      <c r="BP65" s="7" t="n">
        <v>4</v>
      </c>
      <c r="BQ65" s="7" t="n">
        <v>4</v>
      </c>
      <c r="BR65" s="7" t="n">
        <v>4</v>
      </c>
      <c r="BS65" s="7" t="n">
        <v>4</v>
      </c>
      <c r="BT65" s="7" t="n">
        <v>5</v>
      </c>
      <c r="BU65" s="7" t="n">
        <v>80.5</v>
      </c>
      <c r="BV65" s="2"/>
      <c r="BW65" s="2"/>
      <c r="BX65" s="2"/>
      <c r="BY65" s="6">
        <f>HYPERLINK("https://www.h3yun.com/Form/Attachments/?schemacode=D148357733993cc00c048ad9898e53f5f82cbb9&amp;bizObjectId=c653280e-0671-49a7-8fc0-850455dbb43f&amp;name=F0000016","点击查看")</f>
        <v>0</v>
      </c>
      <c r="BZ65" s="2" t="inlineStr">
        <is>
          <t>2026-05-18 17:02:17</t>
        </is>
      </c>
      <c r="CA65" s="2"/>
      <c r="CB65" s="2" t="inlineStr">
        <is>
          <t>已提交</t>
        </is>
      </c>
      <c r="CC65" s="2" t="inlineStr">
        <is>
          <t>助理工程师</t>
        </is>
      </c>
      <c r="CD65" s="2" t="inlineStr">
        <is>
          <t>无</t>
        </is>
      </c>
      <c r="CE65" s="2" t="inlineStr">
        <is>
          <t>无</t>
        </is>
      </c>
      <c r="CF65" s="2"/>
      <c r="CG65" s="2" t="inlineStr">
        <is>
          <t>320123200108271234</t>
        </is>
      </c>
      <c r="CH65" s="2" t="inlineStr">
        <is>
          <t>已生效</t>
        </is>
      </c>
      <c r="CI65" s="2" t="inlineStr">
        <is>
          <t>d8f57c85-86c3-402a-8d89-ec8ee257a2de</t>
        </is>
      </c>
      <c r="CJ65" s="3" t="n">
        <v>1</v>
      </c>
      <c r="CK65" s="2" t="inlineStr">
        <is>
          <t>近三年至少担任过一个合同额1000万元以上项目相应岗位的主管</t>
        </is>
      </c>
      <c r="CL65" s="2" t="inlineStr">
        <is>
          <t>近三年至少担任过一个合同额1000万元以上项目相应岗位的主管</t>
        </is>
      </c>
      <c r="CM65" s="2" t="inlineStr">
        <is>
          <t>南化建司劳2017-1号文-南京南化建设有限公司施工一线专业序列人员分级管理规定</t>
        </is>
      </c>
      <c r="CN65" s="2" t="inlineStr">
        <is>
          <t>第三章第3条C类</t>
        </is>
      </c>
      <c r="CO65" s="2" t="inlineStr">
        <is>
          <t>否</t>
        </is>
      </c>
      <c r="CP65" s="2" t="inlineStr">
        <is>
          <t>该员工在马来项目担任过技术员，非主管</t>
        </is>
      </c>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t="inlineStr">
        <is>
          <t>a1e571db-34f3-4f19-bea4-e800a53c23c2</t>
        </is>
      </c>
      <c r="CJ66" s="3" t="n">
        <v>2</v>
      </c>
      <c r="CK66" s="2" t="inlineStr">
        <is>
          <t>公司二级单位或公司职能部门推荐</t>
        </is>
      </c>
      <c r="CL66" s="2" t="inlineStr">
        <is>
          <t>公司二级单位或公司职能部门推荐</t>
        </is>
      </c>
      <c r="CM66" s="2" t="inlineStr">
        <is>
          <t>南化建司劳2017-1号文-南京南化建设有限公司施工一线专业序列人员分级管理规定</t>
        </is>
      </c>
      <c r="CN66" s="2" t="inlineStr">
        <is>
          <t>第三章第3条C类</t>
        </is>
      </c>
      <c r="CO66" s="2" t="inlineStr">
        <is>
          <t>否</t>
        </is>
      </c>
      <c r="CP66" s="2" t="inlineStr">
        <is>
          <t>无</t>
        </is>
      </c>
    </row>
    <row r="67">
      <c r="A67" s="2" t="inlineStr">
        <is>
          <t>c7d73b12-ee97-406c-a522-c4223c0e3a00</t>
        </is>
      </c>
      <c r="B67" s="2" t="inlineStr">
        <is>
          <t>B.满负荷，平时工作就很忙，偶尔因为非突发时间也要加班</t>
        </is>
      </c>
      <c r="C67" s="2" t="inlineStr">
        <is>
          <t>技术质量部    唐骥文    男    孙裕强</t>
        </is>
      </c>
      <c r="D67" s="2" t="inlineStr">
        <is>
          <t>Anonymous</t>
        </is>
      </c>
      <c r="E67" s="2" t="inlineStr">
        <is>
          <t>Anonymous</t>
        </is>
      </c>
      <c r="F67" s="2"/>
      <c r="G67" s="2" t="inlineStr">
        <is>
          <t>2026-05-25 10:56:15</t>
        </is>
      </c>
      <c r="H67" s="2" t="inlineStr">
        <is>
          <t>孙裕强</t>
        </is>
      </c>
      <c r="I67" s="2" t="inlineStr">
        <is>
          <t>320322199402012515</t>
        </is>
      </c>
      <c r="J67" s="2" t="inlineStr">
        <is>
          <t>男</t>
        </is>
      </c>
      <c r="K67" s="2" t="inlineStr">
        <is>
          <t>技术质量部</t>
        </is>
      </c>
      <c r="L67" s="2" t="inlineStr">
        <is>
          <t>2017-08-01</t>
        </is>
      </c>
      <c r="M67" s="2" t="inlineStr">
        <is>
          <t>淮海工学院</t>
        </is>
      </c>
      <c r="N67" s="2" t="inlineStr">
        <is>
          <t>过控</t>
        </is>
      </c>
      <c r="O67" s="2" t="inlineStr">
        <is>
          <t>本科</t>
        </is>
      </c>
      <c r="P67" s="2" t="inlineStr">
        <is>
          <t>技术质量部</t>
        </is>
      </c>
      <c r="Q67" s="2" t="inlineStr">
        <is>
          <t>唐骥文</t>
        </is>
      </c>
      <c r="R67" s="2" t="inlineStr">
        <is>
          <t>男</t>
        </is>
      </c>
      <c r="S67" s="2" t="inlineStr">
        <is>
          <t>2019-08-01</t>
        </is>
      </c>
      <c r="T67" s="2" t="inlineStr">
        <is>
          <t>技术助理(一)</t>
        </is>
      </c>
      <c r="U67" s="2" t="inlineStr">
        <is>
          <t>常州工学院</t>
        </is>
      </c>
      <c r="V67" s="2" t="inlineStr">
        <is>
          <t>电气</t>
        </is>
      </c>
      <c r="W67" s="2" t="inlineStr">
        <is>
          <t>本科</t>
        </is>
      </c>
      <c r="X67" s="2" t="inlineStr">
        <is>
          <t>A.积极高效：经常提前完成，且质量超出预期。</t>
        </is>
      </c>
      <c r="Y67" s="2" t="inlineStr">
        <is>
          <t>B.基本稳定：偶有小瑕疵，但不影响整体使用。</t>
        </is>
      </c>
      <c r="Z67" s="2" t="inlineStr">
        <is>
          <t>A.极其省心：只需交代目标，剩下的一律不用管，最后不仅能准时交付，甚至能超出预期。</t>
        </is>
      </c>
      <c r="AA67" s="2" t="inlineStr">
        <is>
          <t>A.全局视野：了解上下游，能站在全业务链条考虑问题。</t>
        </is>
      </c>
      <c r="AB67" s="2" t="inlineStr">
        <is>
          <t>B.尽力而为：能解决大部分问题，解决不了的会及时求助。</t>
        </is>
      </c>
      <c r="AC67" s="2" t="inlineStr">
        <is>
          <t>B.基本合规：偶尔迟到或忘打卡，提醒后能迅速改正。</t>
        </is>
      </c>
      <c r="AD67" s="2" t="inlineStr">
        <is>
          <t>B.偶尔思考：在主管启发下，能提出一些优化想法</t>
        </is>
      </c>
      <c r="AE67" s="2" t="inlineStr">
        <is>
          <t>B.正常沟通：能清晰表达需求，维持基本的协作。</t>
        </is>
      </c>
      <c r="AF67" s="2" t="inlineStr">
        <is>
          <t>A.完美闭环：进展、难点、结果都会主动汇报，无需催促。</t>
        </is>
      </c>
      <c r="AG67" s="2" t="inlineStr">
        <is>
          <t>B.稳定器：做好自己，不给团队添乱，是可靠的一员。</t>
        </is>
      </c>
      <c r="AH67" s="2" t="inlineStr">
        <is>
          <t>B.懂得求助：在尝试后会及时向主管或同事反馈，寻求资源支持。</t>
        </is>
      </c>
      <c r="AI67" s="2" t="inlineStr">
        <is>
          <t>B. 配合接受：主管安排了就干，不推辞。</t>
        </is>
      </c>
      <c r="AJ67" s="2" t="inlineStr">
        <is>
          <t>A.越战越勇：能扛住压力，保持冷静，高效处理紧急事务。</t>
        </is>
      </c>
      <c r="AK67" s="2" t="inlineStr">
        <is>
          <t>A.虚心求教：能听进去，并积极探讨更科学的方法。</t>
        </is>
      </c>
      <c r="AL67" s="2" t="inlineStr">
        <is>
          <t>B.正常上手：经过简单培训或指导，能很快投入应用。</t>
        </is>
      </c>
      <c r="AM67" s="2" t="inlineStr">
        <is>
          <t>B.愿意传帮带：平时爱分享避坑指南，能带徒弟。</t>
        </is>
      </c>
      <c r="AN67" s="2" t="inlineStr">
        <is>
          <t>B.中上水平：高于平均线，是团队的中流砥柱。</t>
        </is>
      </c>
      <c r="AO67" s="2" t="inlineStr">
        <is>
          <t>B.业务骨干：是团队不可或缺的腰部力量。</t>
        </is>
      </c>
      <c r="AP67" s="2" t="inlineStr">
        <is>
          <t>A.晴天霹雳：极其遗憾，会不惜代价挽留，他是部门的支柱。</t>
        </is>
      </c>
      <c r="AQ67" s="2" t="inlineStr">
        <is>
          <t>A</t>
        </is>
      </c>
      <c r="AR67" s="2" t="inlineStr">
        <is>
          <t>A</t>
        </is>
      </c>
      <c r="AS67" s="2" t="inlineStr">
        <is>
          <t>一致</t>
        </is>
      </c>
      <c r="AT67" s="2" t="inlineStr">
        <is>
          <t>A</t>
        </is>
      </c>
      <c r="AU67" s="2" t="inlineStr">
        <is>
          <t>4档</t>
        </is>
      </c>
      <c r="AV67" s="3" t="n">
        <v>9200</v>
      </c>
      <c r="AW67" s="3" t="n">
        <v>7360</v>
      </c>
      <c r="AX67" s="3" t="n">
        <v>11040</v>
      </c>
      <c r="AY67" s="2" t="inlineStr">
        <is>
          <t>B</t>
        </is>
      </c>
      <c r="AZ67" s="2" t="inlineStr">
        <is>
          <t>该员工综合能力突出，学习与沟通协作能力强，工作积极高效、态度主动，纪律良好、责任心强，团队融入度高、抗压性好，交付省心靠谱，是团队骨干。</t>
        </is>
      </c>
      <c r="BA67" s="7" t="n">
        <v>5</v>
      </c>
      <c r="BB67" s="7" t="n">
        <v>4</v>
      </c>
      <c r="BC67" s="7" t="n">
        <v>5</v>
      </c>
      <c r="BD67" s="7" t="n">
        <v>5</v>
      </c>
      <c r="BE67" s="7" t="n">
        <v>4</v>
      </c>
      <c r="BF67" s="7" t="n">
        <v>3.5</v>
      </c>
      <c r="BG67" s="7" t="n">
        <v>4</v>
      </c>
      <c r="BH67" s="7" t="n">
        <v>3.5</v>
      </c>
      <c r="BI67" s="7" t="n">
        <v>5</v>
      </c>
      <c r="BJ67" s="7" t="n">
        <v>4</v>
      </c>
      <c r="BK67" s="7" t="n">
        <v>3</v>
      </c>
      <c r="BL67" s="7" t="n">
        <v>4</v>
      </c>
      <c r="BM67" s="7" t="n">
        <v>4</v>
      </c>
      <c r="BN67" s="7" t="n">
        <v>5</v>
      </c>
      <c r="BO67" s="7" t="n">
        <v>5</v>
      </c>
      <c r="BP67" s="7" t="n">
        <v>4</v>
      </c>
      <c r="BQ67" s="7" t="n">
        <v>4</v>
      </c>
      <c r="BR67" s="7" t="n">
        <v>4</v>
      </c>
      <c r="BS67" s="7" t="n">
        <v>4</v>
      </c>
      <c r="BT67" s="7" t="n">
        <v>5</v>
      </c>
      <c r="BU67" s="7" t="n">
        <v>85</v>
      </c>
      <c r="BV67" s="2"/>
      <c r="BW67" s="2"/>
      <c r="BX67" s="2"/>
      <c r="BY67" s="6">
        <f>HYPERLINK("https://www.h3yun.com/Form/Attachments/?schemacode=D148357733993cc00c048ad9898e53f5f82cbb9&amp;bizObjectId=c7d73b12-ee97-406c-a522-c4223c0e3a00&amp;name=F0000016","点击查看")</f>
        <v>0</v>
      </c>
      <c r="BZ67" s="2" t="inlineStr">
        <is>
          <t>2026-05-18 16:51:19</t>
        </is>
      </c>
      <c r="CA67" s="2"/>
      <c r="CB67" s="2" t="inlineStr">
        <is>
          <t>已提交</t>
        </is>
      </c>
      <c r="CC67" s="2" t="inlineStr">
        <is>
          <t>助理工程师</t>
        </is>
      </c>
      <c r="CD67" s="2" t="inlineStr">
        <is>
          <t>pe焊工证</t>
        </is>
      </c>
      <c r="CE67" s="2" t="inlineStr">
        <is>
          <t>无</t>
        </is>
      </c>
      <c r="CF67" s="2"/>
      <c r="CG67" s="2" t="inlineStr">
        <is>
          <t>320925199705287411</t>
        </is>
      </c>
      <c r="CH67" s="2" t="inlineStr">
        <is>
          <t>已生效</t>
        </is>
      </c>
      <c r="CI67" s="2" t="inlineStr">
        <is>
          <t>d3e76a9b-964b-4b36-beb7-bd247712a95a</t>
        </is>
      </c>
      <c r="CJ67" s="3" t="n">
        <v>1</v>
      </c>
      <c r="CK67" s="2" t="inlineStr">
        <is>
          <t>近三年至少担任过一个合同额1500万元以上项目相应岗位的主管</t>
        </is>
      </c>
      <c r="CL67" s="2" t="inlineStr">
        <is>
          <t>近三年至少担任过一个合同额1500万元以上项目相应岗位的主管</t>
        </is>
      </c>
      <c r="CM67" s="2" t="inlineStr">
        <is>
          <t>南化建司劳2017-1号文-南京南化建设有限公司施工一线专业序列人员分级管理规定</t>
        </is>
      </c>
      <c r="CN67" s="2" t="inlineStr">
        <is>
          <t>第三章第2条B类</t>
        </is>
      </c>
      <c r="CO67" s="2" t="inlineStr">
        <is>
          <t>否</t>
        </is>
      </c>
      <c r="CP67" s="2" t="inlineStr">
        <is>
          <t>该员工一直在技术质量部工作，未到现场工作</t>
        </is>
      </c>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t="inlineStr">
        <is>
          <t>6204a692-fb4e-44db-bb03-2749b72a7ae3</t>
        </is>
      </c>
      <c r="CJ68" s="3" t="n">
        <v>2</v>
      </c>
      <c r="CK68" s="2" t="inlineStr">
        <is>
          <t>公司二级单位或公司职能部门推荐</t>
        </is>
      </c>
      <c r="CL68" s="2" t="inlineStr">
        <is>
          <t>公司二级单位或公司职能部门推荐</t>
        </is>
      </c>
      <c r="CM68" s="2" t="inlineStr">
        <is>
          <t>南化建司劳2017-1号文-南京南化建设有限公司施工一线专业序列人员分级管理规定</t>
        </is>
      </c>
      <c r="CN68" s="2" t="inlineStr">
        <is>
          <t>第三章第2条B类</t>
        </is>
      </c>
      <c r="CO68" s="2" t="inlineStr">
        <is>
          <t>否</t>
        </is>
      </c>
      <c r="CP68" s="2" t="inlineStr">
        <is>
          <t>无</t>
        </is>
      </c>
    </row>
    <row r="69">
      <c r="A69" s="2" t="inlineStr">
        <is>
          <t>5ce32f6e-d9d7-4212-b01f-3517f90bf3df</t>
        </is>
      </c>
      <c r="B69" s="2" t="inlineStr">
        <is>
          <t>C.均衡，工作负荷一般，按部就班完成工作，除了突发时间几乎不用加班</t>
        </is>
      </c>
      <c r="C69" s="2" t="inlineStr">
        <is>
          <t>技术质量部    刘石    男    孙裕强</t>
        </is>
      </c>
      <c r="D69" s="2" t="inlineStr">
        <is>
          <t>Anonymous</t>
        </is>
      </c>
      <c r="E69" s="2" t="inlineStr">
        <is>
          <t>Anonymous</t>
        </is>
      </c>
      <c r="F69" s="2"/>
      <c r="G69" s="2" t="inlineStr">
        <is>
          <t>2026-05-25 10:56:15</t>
        </is>
      </c>
      <c r="H69" s="2" t="inlineStr">
        <is>
          <t>孙裕强</t>
        </is>
      </c>
      <c r="I69" s="2" t="inlineStr">
        <is>
          <t>320322199402012515</t>
        </is>
      </c>
      <c r="J69" s="2" t="inlineStr">
        <is>
          <t>男</t>
        </is>
      </c>
      <c r="K69" s="2" t="inlineStr">
        <is>
          <t>技术质量部</t>
        </is>
      </c>
      <c r="L69" s="2" t="inlineStr">
        <is>
          <t>2017-08-01</t>
        </is>
      </c>
      <c r="M69" s="2" t="inlineStr">
        <is>
          <t>淮海工学院</t>
        </is>
      </c>
      <c r="N69" s="2" t="inlineStr">
        <is>
          <t>过控</t>
        </is>
      </c>
      <c r="O69" s="2" t="inlineStr">
        <is>
          <t>本科</t>
        </is>
      </c>
      <c r="P69" s="2" t="inlineStr">
        <is>
          <t>技术质量部</t>
        </is>
      </c>
      <c r="Q69" s="2" t="inlineStr">
        <is>
          <t>刘石</t>
        </is>
      </c>
      <c r="R69" s="2" t="inlineStr">
        <is>
          <t>男</t>
        </is>
      </c>
      <c r="S69" s="2" t="inlineStr">
        <is>
          <t>2024-08-01</t>
        </is>
      </c>
      <c r="T69" s="2" t="inlineStr">
        <is>
          <t>技术助理(三)</t>
        </is>
      </c>
      <c r="U69" s="2" t="inlineStr">
        <is>
          <t>安徽科技学院</t>
        </is>
      </c>
      <c r="V69" s="2" t="inlineStr">
        <is>
          <t>电气</t>
        </is>
      </c>
      <c r="W69" s="2" t="inlineStr">
        <is>
          <t>本科</t>
        </is>
      </c>
      <c r="X69" s="2" t="inlineStr">
        <is>
          <t>B.按时推进：基本能卡着时间点完成，不掉链子。</t>
        </is>
      </c>
      <c r="Y69" s="2" t="inlineStr">
        <is>
          <t>B.基本稳定：偶有小瑕疵，但不影响整体使用。</t>
        </is>
      </c>
      <c r="Z69" s="2" t="inlineStr">
        <is>
          <t>B.比较省心：只需定期同步一下进度，不需要主管盯着细节，能独立把事情办成。</t>
        </is>
      </c>
      <c r="AA69" s="2" t="inlineStr">
        <is>
          <t>B.清楚岗位：对自己岗位的活儿很门清，略知上下游。</t>
        </is>
      </c>
      <c r="AB69" s="2" t="inlineStr">
        <is>
          <t>B.尽力而为：能解决大部分问题，解决不了的会及时求助。</t>
        </is>
      </c>
      <c r="AC69" s="2" t="inlineStr">
        <is>
          <t>B.基本合规：偶尔迟到或忘打卡，提醒后能迅速改正。</t>
        </is>
      </c>
      <c r="AD69" s="2" t="inlineStr">
        <is>
          <t>B.偶尔思考：在主管启发下，能提出一些优化想法</t>
        </is>
      </c>
      <c r="AE69" s="2" t="inlineStr">
        <is>
          <t>B.正常沟通：能清晰表达需求，维持基本的协作。</t>
        </is>
      </c>
      <c r="AF69" s="2" t="inlineStr">
        <is>
          <t>B.有问有答：问到时能说清楚进度，基本能做到及时反馈。</t>
        </is>
      </c>
      <c r="AG69" s="2" t="inlineStr">
        <is>
          <t>B.稳定器：做好自己，不给团队添乱，是可靠的一员。</t>
        </is>
      </c>
      <c r="AH69" s="2" t="inlineStr">
        <is>
          <t>B.懂得求助：在尝试后会及时向主管或同事反馈，寻求资源支持。</t>
        </is>
      </c>
      <c r="AI69" s="2" t="inlineStr">
        <is>
          <t>B. 配合接受：主管安排了就干，不推辞。</t>
        </is>
      </c>
      <c r="AJ69" s="2" t="inlineStr">
        <is>
          <t>B.配合度高：虽然有压力，但能服从大局，咬牙顶上去，且质量尚可。</t>
        </is>
      </c>
      <c r="AK69" s="2" t="inlineStr">
        <is>
          <t>B.照单全收：态度很好，虽然不一定完全理解，但会按要求改。</t>
        </is>
      </c>
      <c r="AL69" s="2" t="inlineStr">
        <is>
          <t>B.正常上手：经过简单培训或指导，能很快投入应用。</t>
        </is>
      </c>
      <c r="AM69" s="2" t="inlineStr">
        <is>
          <t>B.愿意传帮带：平时爱分享避坑指南，能带徒弟。</t>
        </is>
      </c>
      <c r="AN69" s="2" t="inlineStr">
        <is>
          <t>B.中上水平：高于平均线，是团队的中流砥柱。</t>
        </is>
      </c>
      <c r="AO69" s="2" t="inlineStr">
        <is>
          <t>B.业务骨干：是团队不可或缺的腰部力量。</t>
        </is>
      </c>
      <c r="AP69" s="2" t="inlineStr">
        <is>
          <t>A.晴天霹雳：极其遗憾，会不惜代价挽留，他是部门的支柱。</t>
        </is>
      </c>
      <c r="AQ69" s="2" t="inlineStr">
        <is>
          <t>B</t>
        </is>
      </c>
      <c r="AR69" s="2" t="inlineStr">
        <is>
          <t>B</t>
        </is>
      </c>
      <c r="AS69" s="2" t="inlineStr">
        <is>
          <t>一致</t>
        </is>
      </c>
      <c r="AT69" s="2" t="inlineStr">
        <is>
          <t>B</t>
        </is>
      </c>
      <c r="AU69" s="2" t="inlineStr">
        <is>
          <t>3档</t>
        </is>
      </c>
      <c r="AV69" s="3" t="n">
        <v>8000</v>
      </c>
      <c r="AW69" s="3" t="n">
        <v>6400</v>
      </c>
      <c r="AX69" s="3" t="n">
        <v>9600</v>
      </c>
      <c r="AY69" s="2" t="inlineStr">
        <is>
          <t>C</t>
        </is>
      </c>
      <c r="AZ69" s="2" t="inlineStr">
        <is>
          <t>该员工能按规范和按时完成本职工作，学习能力较强，能快速上手新任务；具备团队协作意识，能主动承担边界工作，抗压能力较好。但主动解决复杂问题的能力不足，岗位内容掌握不够深入，岗位经验还需积累学习。</t>
        </is>
      </c>
      <c r="BA69" s="7" t="n">
        <v>3</v>
      </c>
      <c r="BB69" s="7" t="n">
        <v>4</v>
      </c>
      <c r="BC69" s="7" t="n">
        <v>4</v>
      </c>
      <c r="BD69" s="7" t="n">
        <v>4</v>
      </c>
      <c r="BE69" s="7" t="n">
        <v>4</v>
      </c>
      <c r="BF69" s="7" t="n">
        <v>3.5</v>
      </c>
      <c r="BG69" s="7" t="n">
        <v>4</v>
      </c>
      <c r="BH69" s="7" t="n">
        <v>3.5</v>
      </c>
      <c r="BI69" s="7" t="n">
        <v>4</v>
      </c>
      <c r="BJ69" s="7" t="n">
        <v>4</v>
      </c>
      <c r="BK69" s="7" t="n">
        <v>3</v>
      </c>
      <c r="BL69" s="7" t="n">
        <v>4</v>
      </c>
      <c r="BM69" s="7" t="n">
        <v>3</v>
      </c>
      <c r="BN69" s="7" t="n">
        <v>4</v>
      </c>
      <c r="BO69" s="7" t="n">
        <v>3</v>
      </c>
      <c r="BP69" s="7" t="n">
        <v>4</v>
      </c>
      <c r="BQ69" s="7" t="n">
        <v>4</v>
      </c>
      <c r="BR69" s="7" t="n">
        <v>4</v>
      </c>
      <c r="BS69" s="7" t="n">
        <v>4</v>
      </c>
      <c r="BT69" s="7" t="n">
        <v>5</v>
      </c>
      <c r="BU69" s="7" t="n">
        <v>76</v>
      </c>
      <c r="BV69" s="2"/>
      <c r="BW69" s="2"/>
      <c r="BX69" s="2"/>
      <c r="BY69" s="6">
        <f>HYPERLINK("https://www.h3yun.com/Form/Attachments/?schemacode=D148357733993cc00c048ad9898e53f5f82cbb9&amp;bizObjectId=5ce32f6e-d9d7-4212-b01f-3517f90bf3df&amp;name=F0000016","点击查看")</f>
        <v>0</v>
      </c>
      <c r="BZ69" s="2" t="inlineStr">
        <is>
          <t>2026-05-18 16:36:57</t>
        </is>
      </c>
      <c r="CA69" s="2"/>
      <c r="CB69" s="2" t="inlineStr">
        <is>
          <t>已提交</t>
        </is>
      </c>
      <c r="CC69" s="2" t="inlineStr">
        <is>
          <t>助理工程师</t>
        </is>
      </c>
      <c r="CD69" s="2" t="inlineStr">
        <is>
          <t>无</t>
        </is>
      </c>
      <c r="CE69" s="2" t="inlineStr">
        <is>
          <t>无</t>
        </is>
      </c>
      <c r="CF69" s="2"/>
      <c r="CG69" s="2" t="inlineStr">
        <is>
          <t>341323200108062016</t>
        </is>
      </c>
      <c r="CH69" s="2" t="inlineStr">
        <is>
          <t>已生效</t>
        </is>
      </c>
      <c r="CI69" s="2" t="inlineStr">
        <is>
          <t>6709274e-6797-4fed-9b49-83173224752c</t>
        </is>
      </c>
      <c r="CJ69" s="3" t="n">
        <v>1</v>
      </c>
      <c r="CK69" s="2" t="inlineStr">
        <is>
          <t>近三年至少担任过一个合同额1000万元以上项目相应岗位的主管</t>
        </is>
      </c>
      <c r="CL69" s="2" t="inlineStr">
        <is>
          <t>近三年至少担任过一个合同额1000万元以上项目相应岗位的主管</t>
        </is>
      </c>
      <c r="CM69" s="2" t="inlineStr">
        <is>
          <t>南化建司劳2017-1号文-南京南化建设有限公司施工一线专业序列人员分级管理规定</t>
        </is>
      </c>
      <c r="CN69" s="2" t="inlineStr">
        <is>
          <t>第三章第3条C类</t>
        </is>
      </c>
      <c r="CO69" s="2" t="inlineStr">
        <is>
          <t>否</t>
        </is>
      </c>
      <c r="CP69" s="2" t="inlineStr">
        <is>
          <t>该员工在马来项目担任过技术员，非主管</t>
        </is>
      </c>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t="inlineStr">
        <is>
          <t>f0351bd1-d479-41c0-b60c-92a91fbe296b</t>
        </is>
      </c>
      <c r="CJ70" s="3" t="n">
        <v>2</v>
      </c>
      <c r="CK70" s="2" t="inlineStr">
        <is>
          <t>公司二级单位或公司职能部门推荐</t>
        </is>
      </c>
      <c r="CL70" s="2" t="inlineStr">
        <is>
          <t>公司二级单位或公司职能部门推荐</t>
        </is>
      </c>
      <c r="CM70" s="2" t="inlineStr">
        <is>
          <t>南化建司劳2017-1号文-南京南化建设有限公司施工一线专业序列人员分级管理规定</t>
        </is>
      </c>
      <c r="CN70" s="2" t="inlineStr">
        <is>
          <t>第三章第3条C类</t>
        </is>
      </c>
      <c r="CO70" s="2" t="inlineStr">
        <is>
          <t>否</t>
        </is>
      </c>
      <c r="CP70" s="2" t="inlineStr">
        <is>
          <t>无</t>
        </is>
      </c>
    </row>
    <row r="71">
      <c r="A71" s="2" t="inlineStr">
        <is>
          <t>89351d38-ba64-4904-8ee0-09f1eb4f5824</t>
        </is>
      </c>
      <c r="B71" s="2" t="inlineStr">
        <is>
          <t>C.均衡，工作负荷一般，按部就班完成工作，除了突发时间几乎不用加班</t>
        </is>
      </c>
      <c r="C71" s="2" t="inlineStr">
        <is>
          <t>HSE部    韩邢轩    女    刘少兵</t>
        </is>
      </c>
      <c r="D71" s="2" t="inlineStr">
        <is>
          <t>Anonymous</t>
        </is>
      </c>
      <c r="E71" s="2" t="inlineStr">
        <is>
          <t>Anonymous</t>
        </is>
      </c>
      <c r="F71" s="2"/>
      <c r="G71" s="2" t="inlineStr">
        <is>
          <t>2026-05-25 10:56:15</t>
        </is>
      </c>
      <c r="H71" s="2" t="inlineStr">
        <is>
          <t>刘少兵</t>
        </is>
      </c>
      <c r="I71" s="2" t="inlineStr">
        <is>
          <t>320924198511256114</t>
        </is>
      </c>
      <c r="J71" s="2" t="inlineStr">
        <is>
          <t>男</t>
        </is>
      </c>
      <c r="K71" s="2" t="inlineStr">
        <is>
          <t>HSE部</t>
        </is>
      </c>
      <c r="L71" s="2" t="inlineStr">
        <is>
          <t>2007-08-01</t>
        </is>
      </c>
      <c r="M71" s="2" t="inlineStr">
        <is>
          <t>南京工业大学</t>
        </is>
      </c>
      <c r="N71" s="2"/>
      <c r="O71" s="2" t="inlineStr">
        <is>
          <t>本科</t>
        </is>
      </c>
      <c r="P71" s="2" t="inlineStr">
        <is>
          <t>HSE部</t>
        </is>
      </c>
      <c r="Q71" s="2" t="inlineStr">
        <is>
          <t>韩邢轩</t>
        </is>
      </c>
      <c r="R71" s="2" t="inlineStr">
        <is>
          <t>女</t>
        </is>
      </c>
      <c r="S71" s="2" t="inlineStr">
        <is>
          <t>2022-09-01</t>
        </is>
      </c>
      <c r="T71" s="2" t="inlineStr">
        <is>
          <t>技术助理(二)</t>
        </is>
      </c>
      <c r="U71" s="2" t="inlineStr">
        <is>
          <t>哈尔滨师范大学</t>
        </is>
      </c>
      <c r="V71" s="2" t="inlineStr">
        <is>
          <t>其他</t>
        </is>
      </c>
      <c r="W71" s="2" t="inlineStr">
        <is>
          <t>本科</t>
        </is>
      </c>
      <c r="X71" s="2" t="inlineStr">
        <is>
          <t>B.按时推进：基本能卡着时间点完成，不掉链子。</t>
        </is>
      </c>
      <c r="Y71" s="2" t="inlineStr">
        <is>
          <t>B.基本稳定：偶有小瑕疵，但不影响整体使用。</t>
        </is>
      </c>
      <c r="Z71" s="2" t="inlineStr">
        <is>
          <t>B.比较省心：只需定期同步一下进度，不需要主管盯着细节，能独立把事情办成。</t>
        </is>
      </c>
      <c r="AA71" s="2" t="inlineStr">
        <is>
          <t>B.清楚岗位：对自己岗位的活儿很门清，略知上下游。</t>
        </is>
      </c>
      <c r="AB71" s="2" t="inlineStr">
        <is>
          <t>B.尽力而为：能解决大部分问题，解决不了的会及时求助。</t>
        </is>
      </c>
      <c r="AC71" s="2" t="inlineStr">
        <is>
          <t>B.基本合规：偶尔迟到或忘打卡，提醒后能迅速改正。</t>
        </is>
      </c>
      <c r="AD71" s="2" t="inlineStr">
        <is>
          <t>C.照章办事：给多少干多少，完全按老规矩来，从不思考变革</t>
        </is>
      </c>
      <c r="AE71" s="2" t="inlineStr">
        <is>
          <t>B.正常沟通：能清晰表达需求，维持基本的协作。</t>
        </is>
      </c>
      <c r="AF71" s="2" t="inlineStr">
        <is>
          <t>B.有问有答：问到时能说清楚进度，基本能做到及时反馈。</t>
        </is>
      </c>
      <c r="AG71" s="2" t="inlineStr">
        <is>
          <t>B.稳定器：做好自己，不给团队添乱，是可靠的一员。</t>
        </is>
      </c>
      <c r="AH71" s="2" t="inlineStr">
        <is>
          <t>B.懂得求助：在尝试后会及时向主管或同事反馈，寻求资源支持。</t>
        </is>
      </c>
      <c r="AI71" s="2" t="inlineStr">
        <is>
          <t>C. 守好地盘：只管自己那一块，多一点都不想碰。</t>
        </is>
      </c>
      <c r="AJ71" s="2" t="inlineStr">
        <is>
          <t>B.配合度高：虽然有压力，但能服从大局，咬牙顶上去，且质量尚可。</t>
        </is>
      </c>
      <c r="AK71" s="2" t="inlineStr">
        <is>
          <t>B.照单全收：态度很好，虽然不一定完全理解，但会按要求改。</t>
        </is>
      </c>
      <c r="AL71" s="2" t="inlineStr">
        <is>
          <t>B.正常上手：经过简单培训或指导，能很快投入应用。</t>
        </is>
      </c>
      <c r="AM71" s="2" t="inlineStr">
        <is>
          <t>B.愿意传帮带：平时爱分享避坑指南，能带徒弟。</t>
        </is>
      </c>
      <c r="AN71" s="2" t="inlineStr">
        <is>
          <t>C.中规中矩：刚好达标，替代性较强。</t>
        </is>
      </c>
      <c r="AO71" s="2" t="inlineStr">
        <is>
          <t>C.熟练工：能胜任重复性工作，但很难承担更高阶的挑战。</t>
        </is>
      </c>
      <c r="AP71" s="2" t="inlineStr">
        <is>
          <t>C.正常更替：走就走吧，招个新人培养一下也没什么区别。</t>
        </is>
      </c>
      <c r="AQ71" s="2" t="inlineStr">
        <is>
          <t>B</t>
        </is>
      </c>
      <c r="AR71" s="2" t="inlineStr">
        <is>
          <t>B</t>
        </is>
      </c>
      <c r="AS71" s="2" t="inlineStr">
        <is>
          <t>一致</t>
        </is>
      </c>
      <c r="AT71" s="2" t="inlineStr">
        <is>
          <t>B</t>
        </is>
      </c>
      <c r="AU71" s="2" t="inlineStr">
        <is>
          <t>3档</t>
        </is>
      </c>
      <c r="AV71" s="3" t="n">
        <v>8000</v>
      </c>
      <c r="AW71" s="3" t="n">
        <v>6400</v>
      </c>
      <c r="AX71" s="3" t="n">
        <v>9600</v>
      </c>
      <c r="AY71" s="2" t="inlineStr">
        <is>
          <t>C</t>
        </is>
      </c>
      <c r="AZ71" s="2" t="inlineStr">
        <is>
          <t>该员工能积极参加公司各类安全现场检查，能按时完成月度安各类资料收集整理工作。在专业技能上需更一步培养和提升。</t>
        </is>
      </c>
      <c r="BA71" s="7" t="n">
        <v>3</v>
      </c>
      <c r="BB71" s="7" t="n">
        <v>4</v>
      </c>
      <c r="BC71" s="7" t="n">
        <v>4</v>
      </c>
      <c r="BD71" s="7" t="n">
        <v>4</v>
      </c>
      <c r="BE71" s="7" t="n">
        <v>4</v>
      </c>
      <c r="BF71" s="7" t="n">
        <v>3.5</v>
      </c>
      <c r="BG71" s="7" t="n">
        <v>3</v>
      </c>
      <c r="BH71" s="7" t="n">
        <v>3.5</v>
      </c>
      <c r="BI71" s="7" t="n">
        <v>4</v>
      </c>
      <c r="BJ71" s="7" t="n">
        <v>4</v>
      </c>
      <c r="BK71" s="7" t="n">
        <v>3</v>
      </c>
      <c r="BL71" s="7" t="n">
        <v>3</v>
      </c>
      <c r="BM71" s="7" t="n">
        <v>3</v>
      </c>
      <c r="BN71" s="7" t="n">
        <v>4</v>
      </c>
      <c r="BO71" s="7" t="n">
        <v>3</v>
      </c>
      <c r="BP71" s="7" t="n">
        <v>4</v>
      </c>
      <c r="BQ71" s="7" t="n">
        <v>4</v>
      </c>
      <c r="BR71" s="7" t="n">
        <v>3</v>
      </c>
      <c r="BS71" s="7" t="n">
        <v>3</v>
      </c>
      <c r="BT71" s="7" t="n">
        <v>3</v>
      </c>
      <c r="BU71" s="7" t="n">
        <v>70</v>
      </c>
      <c r="BV71" s="2"/>
      <c r="BW71" s="2"/>
      <c r="BX71" s="2"/>
      <c r="BY71" s="6">
        <f>HYPERLINK("https://www.h3yun.com/Form/Attachments/?schemacode=D148357733993cc00c048ad9898e53f5f82cbb9&amp;bizObjectId=89351d38-ba64-4904-8ee0-09f1eb4f5824&amp;name=F0000016","点击查看")</f>
        <v>0</v>
      </c>
      <c r="BZ71" s="2" t="inlineStr">
        <is>
          <t>2026-05-18 10:01:36</t>
        </is>
      </c>
      <c r="CA71" s="2"/>
      <c r="CB71" s="2" t="inlineStr">
        <is>
          <t>已提交</t>
        </is>
      </c>
      <c r="CC71" s="2" t="inlineStr">
        <is>
          <t>助理工程师</t>
        </is>
      </c>
      <c r="CD71" s="2" t="inlineStr">
        <is>
          <t>无</t>
        </is>
      </c>
      <c r="CE71" s="2" t="inlineStr">
        <is>
          <t>优秀员工</t>
        </is>
      </c>
      <c r="CF71" s="2"/>
      <c r="CG71" s="2" t="inlineStr">
        <is>
          <t>320322199907165920</t>
        </is>
      </c>
      <c r="CH71" s="2" t="inlineStr">
        <is>
          <t>已生效</t>
        </is>
      </c>
      <c r="CI71" s="2" t="inlineStr">
        <is>
          <t>fad444c7-61d2-45ba-9f86-cee900b68e87</t>
        </is>
      </c>
      <c r="CJ71" s="3" t="n">
        <v>1</v>
      </c>
      <c r="CK71" s="2" t="inlineStr">
        <is>
          <t>近三年至少担任过一个合同额1000万元以上项目相应岗位的主管</t>
        </is>
      </c>
      <c r="CL71" s="2" t="inlineStr">
        <is>
          <t>近三年至少担任过一个合同额1000万元以上项目相应岗位的主管</t>
        </is>
      </c>
      <c r="CM71" s="2" t="inlineStr">
        <is>
          <t>南化建司劳2017-1号文-南京南化建设有限公司施工一线专业序列人员分级管理规定</t>
        </is>
      </c>
      <c r="CN71" s="2" t="inlineStr">
        <is>
          <t>第三章第3条C类</t>
        </is>
      </c>
      <c r="CO71" s="2" t="inlineStr">
        <is>
          <t>否</t>
        </is>
      </c>
      <c r="CP71" s="2" t="inlineStr">
        <is>
          <t>该员工为机关工作人员</t>
        </is>
      </c>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t="inlineStr">
        <is>
          <t>1a0663f5-083f-4225-8434-70899b436348</t>
        </is>
      </c>
      <c r="CJ72" s="3" t="n">
        <v>2</v>
      </c>
      <c r="CK72" s="2" t="inlineStr">
        <is>
          <t>公司二级单位或公司职能部门推荐</t>
        </is>
      </c>
      <c r="CL72" s="2" t="inlineStr">
        <is>
          <t>公司二级单位或公司职能部门推荐</t>
        </is>
      </c>
      <c r="CM72" s="2" t="inlineStr">
        <is>
          <t>南化建司劳2017-1号文-南京南化建设有限公司施工一线专业序列人员分级管理规定</t>
        </is>
      </c>
      <c r="CN72" s="2" t="inlineStr">
        <is>
          <t>第三章第3条C类</t>
        </is>
      </c>
      <c r="CO72" s="2" t="inlineStr">
        <is>
          <t>是</t>
        </is>
      </c>
      <c r="CP72" s="2" t="inlineStr">
        <is>
          <t>该员工能积极参加公司各类安全现场检查，能按时完成月度安各类资料收集整理工作。</t>
        </is>
      </c>
    </row>
    <row r="73">
      <c r="A73" s="2" t="inlineStr">
        <is>
          <t>e571e72d-6110-40e2-ba96-fd3d28067c87</t>
        </is>
      </c>
      <c r="B73" s="2" t="inlineStr">
        <is>
          <t>C.均衡，工作负荷一般，按部就班完成工作，除了突发时间几乎不用加班</t>
        </is>
      </c>
      <c r="C73" s="2" t="inlineStr">
        <is>
          <t>HSE部    薛慧    女    刘少兵</t>
        </is>
      </c>
      <c r="D73" s="2" t="inlineStr">
        <is>
          <t>Anonymous</t>
        </is>
      </c>
      <c r="E73" s="2" t="inlineStr">
        <is>
          <t>Anonymous</t>
        </is>
      </c>
      <c r="F73" s="2"/>
      <c r="G73" s="2" t="inlineStr">
        <is>
          <t>2026-05-25 10:56:15</t>
        </is>
      </c>
      <c r="H73" s="2" t="inlineStr">
        <is>
          <t>刘少兵</t>
        </is>
      </c>
      <c r="I73" s="2" t="inlineStr">
        <is>
          <t>320924198511256114</t>
        </is>
      </c>
      <c r="J73" s="2" t="inlineStr">
        <is>
          <t>男</t>
        </is>
      </c>
      <c r="K73" s="2" t="inlineStr">
        <is>
          <t>HSE部</t>
        </is>
      </c>
      <c r="L73" s="2" t="inlineStr">
        <is>
          <t>2007-08-01</t>
        </is>
      </c>
      <c r="M73" s="2" t="inlineStr">
        <is>
          <t>南京工业大学</t>
        </is>
      </c>
      <c r="N73" s="2"/>
      <c r="O73" s="2" t="inlineStr">
        <is>
          <t>本科</t>
        </is>
      </c>
      <c r="P73" s="2" t="inlineStr">
        <is>
          <t>HSE部</t>
        </is>
      </c>
      <c r="Q73" s="2" t="inlineStr">
        <is>
          <t>薛慧</t>
        </is>
      </c>
      <c r="R73" s="2" t="inlineStr">
        <is>
          <t>女</t>
        </is>
      </c>
      <c r="S73" s="2" t="inlineStr">
        <is>
          <t>2021-07-01</t>
        </is>
      </c>
      <c r="T73" s="2" t="inlineStr">
        <is>
          <t>技术助理(四)</t>
        </is>
      </c>
      <c r="U73" s="2" t="inlineStr">
        <is>
          <t>金陵科技学院</t>
        </is>
      </c>
      <c r="V73" s="2" t="inlineStr">
        <is>
          <t>安全员</t>
        </is>
      </c>
      <c r="W73" s="2" t="inlineStr">
        <is>
          <t>大专</t>
        </is>
      </c>
      <c r="X73" s="2" t="inlineStr">
        <is>
          <t>A.积极高效：经常提前完成，且质量超出预期。</t>
        </is>
      </c>
      <c r="Y73" s="2" t="inlineStr">
        <is>
          <t>A.始终如一：无论任务大小，交付件标准都很高。</t>
        </is>
      </c>
      <c r="Z73" s="2" t="inlineStr">
        <is>
          <t>B.比较省心：只需定期同步一下进度，不需要主管盯着细节，能独立把事情办成。</t>
        </is>
      </c>
      <c r="AA73" s="2" t="inlineStr">
        <is>
          <t>B.清楚岗位：对自己岗位的活儿很门清，略知上下游。</t>
        </is>
      </c>
      <c r="AB73" s="2" t="inlineStr">
        <is>
          <t>B.尽力而为：能解决大部分问题，解决不了的会及时求助。</t>
        </is>
      </c>
      <c r="AC73" s="2" t="inlineStr">
        <is>
          <t>B.基本合规：偶尔迟到或忘打卡，提醒后能迅速改正。</t>
        </is>
      </c>
      <c r="AD73" s="2" t="inlineStr">
        <is>
          <t>A.持续优化：经常提出改进流程、提升效率的实用建议</t>
        </is>
      </c>
      <c r="AE73" s="2" t="inlineStr">
        <is>
          <t>A.推进力极强：能搞定不同性格的人，让对方配合。</t>
        </is>
      </c>
      <c r="AF73" s="2" t="inlineStr">
        <is>
          <t>B.有问有答：问到时能说清楚进度，基本能做到及时反馈。</t>
        </is>
      </c>
      <c r="AG73" s="2" t="inlineStr">
        <is>
          <t>B.稳定器：做好自己，不给团队添乱，是可靠的一员。</t>
        </is>
      </c>
      <c r="AH73" s="2" t="inlineStr">
        <is>
          <t>B.懂得求助：在尝试后会及时向主管或同事反馈，寻求资源支持。</t>
        </is>
      </c>
      <c r="AI73" s="2" t="inlineStr">
        <is>
          <t>C. 守好地盘：只管自己那一块，多一点都不想碰。</t>
        </is>
      </c>
      <c r="AJ73" s="2" t="inlineStr">
        <is>
          <t>B.配合度高：虽然有压力，但能服从大局，咬牙顶上去，且质量尚可。</t>
        </is>
      </c>
      <c r="AK73" s="2" t="inlineStr">
        <is>
          <t>B.照单全收：态度很好，虽然不一定完全理解，但会按要求改。</t>
        </is>
      </c>
      <c r="AL73" s="2" t="inlineStr">
        <is>
          <t>B.正常上手：经过简单培训或指导，能很快投入应用。</t>
        </is>
      </c>
      <c r="AM73" s="2" t="inlineStr">
        <is>
          <t>B.愿意传帮带：平时爱分享避坑指南，能带徒弟。</t>
        </is>
      </c>
      <c r="AN73" s="2" t="inlineStr">
        <is>
          <t>B.中上水平：高于平均线，是团队的中流砥柱。</t>
        </is>
      </c>
      <c r="AO73" s="2" t="inlineStr">
        <is>
          <t>B.业务骨干：是团队不可或缺的腰部力量。</t>
        </is>
      </c>
      <c r="AP73" s="2" t="inlineStr">
        <is>
          <t>B.有点可惜：是个好手，需要费心再找一个相同水准的。</t>
        </is>
      </c>
      <c r="AQ73" s="2" t="inlineStr">
        <is>
          <t>B</t>
        </is>
      </c>
      <c r="AR73" s="2" t="inlineStr">
        <is>
          <t>B</t>
        </is>
      </c>
      <c r="AS73" s="2" t="inlineStr">
        <is>
          <t>一致</t>
        </is>
      </c>
      <c r="AT73" s="2" t="inlineStr">
        <is>
          <t>B</t>
        </is>
      </c>
      <c r="AU73" s="2" t="inlineStr">
        <is>
          <t>3档</t>
        </is>
      </c>
      <c r="AV73" s="3" t="n">
        <v>8000</v>
      </c>
      <c r="AW73" s="3" t="n">
        <v>6400</v>
      </c>
      <c r="AX73" s="3" t="n">
        <v>9600</v>
      </c>
      <c r="AY73" s="2" t="inlineStr">
        <is>
          <t>C</t>
        </is>
      </c>
      <c r="AZ73" s="2" t="inlineStr">
        <is>
          <t>该员工积极完成部门安排工作，在劳保管理，三类人员管理上工作突出。</t>
        </is>
      </c>
      <c r="BA73" s="7" t="n">
        <v>5</v>
      </c>
      <c r="BB73" s="7" t="n">
        <v>5</v>
      </c>
      <c r="BC73" s="7" t="n">
        <v>4</v>
      </c>
      <c r="BD73" s="7" t="n">
        <v>4</v>
      </c>
      <c r="BE73" s="7" t="n">
        <v>4</v>
      </c>
      <c r="BF73" s="7" t="n">
        <v>3.5</v>
      </c>
      <c r="BG73" s="7" t="n">
        <v>5</v>
      </c>
      <c r="BH73" s="7" t="n">
        <v>5</v>
      </c>
      <c r="BI73" s="7" t="n">
        <v>4</v>
      </c>
      <c r="BJ73" s="7" t="n">
        <v>4</v>
      </c>
      <c r="BK73" s="7" t="n">
        <v>3</v>
      </c>
      <c r="BL73" s="7" t="n">
        <v>3</v>
      </c>
      <c r="BM73" s="7" t="n">
        <v>3</v>
      </c>
      <c r="BN73" s="7" t="n">
        <v>4</v>
      </c>
      <c r="BO73" s="7" t="n">
        <v>3</v>
      </c>
      <c r="BP73" s="7" t="n">
        <v>4</v>
      </c>
      <c r="BQ73" s="7" t="n">
        <v>4</v>
      </c>
      <c r="BR73" s="7" t="n">
        <v>4</v>
      </c>
      <c r="BS73" s="7" t="n">
        <v>4</v>
      </c>
      <c r="BT73" s="7" t="n">
        <v>4</v>
      </c>
      <c r="BU73" s="7" t="n">
        <v>79.5</v>
      </c>
      <c r="BV73" s="2"/>
      <c r="BW73" s="2"/>
      <c r="BX73" s="2"/>
      <c r="BY73" s="6">
        <f>HYPERLINK("https://www.h3yun.com/Form/Attachments/?schemacode=D148357733993cc00c048ad9898e53f5f82cbb9&amp;bizObjectId=e571e72d-6110-40e2-ba96-fd3d28067c87&amp;name=F0000016","点击查看")</f>
        <v>0</v>
      </c>
      <c r="BZ73" s="2" t="inlineStr">
        <is>
          <t>2026-05-18 09:56:27</t>
        </is>
      </c>
      <c r="CA73" s="2"/>
      <c r="CB73" s="2" t="inlineStr">
        <is>
          <t>已提交</t>
        </is>
      </c>
      <c r="CC73" s="2" t="inlineStr">
        <is>
          <t>无</t>
        </is>
      </c>
      <c r="CD73" s="2" t="inlineStr">
        <is>
          <t>无</t>
        </is>
      </c>
      <c r="CE73" s="2" t="inlineStr">
        <is>
          <t>无</t>
        </is>
      </c>
      <c r="CF73" s="2"/>
      <c r="CG73" s="2" t="inlineStr">
        <is>
          <t>320981198711142223</t>
        </is>
      </c>
      <c r="CH73" s="2" t="inlineStr">
        <is>
          <t>已生效</t>
        </is>
      </c>
      <c r="CI73" s="2" t="inlineStr">
        <is>
          <t>3352d65a-4886-41e7-a847-279b9ed80cc9</t>
        </is>
      </c>
      <c r="CJ73" s="3" t="n">
        <v>1</v>
      </c>
      <c r="CK73" s="2" t="inlineStr">
        <is>
          <t>近三年至少担任过一个合同额1000万元以上项目相应岗位的主管</t>
        </is>
      </c>
      <c r="CL73" s="2" t="inlineStr">
        <is>
          <t>近三年至少担任过一个合同额1000万元以上项目相应岗位的主管</t>
        </is>
      </c>
      <c r="CM73" s="2" t="inlineStr">
        <is>
          <t>南化建司劳2017-1号文-南京南化建设有限公司施工一线专业序列人员分级管理规定</t>
        </is>
      </c>
      <c r="CN73" s="2" t="inlineStr">
        <is>
          <t>第三章第3条C类</t>
        </is>
      </c>
      <c r="CO73" s="2" t="inlineStr">
        <is>
          <t>否</t>
        </is>
      </c>
      <c r="CP73" s="2" t="inlineStr">
        <is>
          <t>该员工为机关工作人员</t>
        </is>
      </c>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t="inlineStr">
        <is>
          <t>5ea55f4f-b644-43c3-bc07-7e8ebed38dd9</t>
        </is>
      </c>
      <c r="CJ74" s="3" t="n">
        <v>2</v>
      </c>
      <c r="CK74" s="2" t="inlineStr">
        <is>
          <t>公司二级单位或公司职能部门推荐</t>
        </is>
      </c>
      <c r="CL74" s="2" t="inlineStr">
        <is>
          <t>公司二级单位或公司职能部门推荐</t>
        </is>
      </c>
      <c r="CM74" s="2" t="inlineStr">
        <is>
          <t>南化建司劳2017-1号文-南京南化建设有限公司施工一线专业序列人员分级管理规定</t>
        </is>
      </c>
      <c r="CN74" s="2" t="inlineStr">
        <is>
          <t>第三章第3条C类</t>
        </is>
      </c>
      <c r="CO74" s="2" t="inlineStr">
        <is>
          <t>是</t>
        </is>
      </c>
      <c r="CP74" s="2" t="inlineStr">
        <is>
          <t>该员工积极完成部门安排工作，在劳保管理，三类人员管理上工作突出。</t>
        </is>
      </c>
    </row>
    <row r="75">
      <c r="A75" s="2" t="inlineStr">
        <is>
          <t>8444485a-9cd6-4dbe-b29f-2592702750b1</t>
        </is>
      </c>
      <c r="B75" s="2" t="inlineStr">
        <is>
          <t>C.均衡，工作负荷一般，按部就班完成工作，除了突发时间几乎不用加班</t>
        </is>
      </c>
      <c r="C75" s="2" t="inlineStr">
        <is>
          <t>HSE部    熊宇彤    男    刘少兵</t>
        </is>
      </c>
      <c r="D75" s="2" t="inlineStr">
        <is>
          <t>Anonymous</t>
        </is>
      </c>
      <c r="E75" s="2" t="inlineStr">
        <is>
          <t>Anonymous</t>
        </is>
      </c>
      <c r="F75" s="2"/>
      <c r="G75" s="2" t="inlineStr">
        <is>
          <t>2026-05-25 10:56:15</t>
        </is>
      </c>
      <c r="H75" s="2" t="inlineStr">
        <is>
          <t>刘少兵</t>
        </is>
      </c>
      <c r="I75" s="2" t="inlineStr">
        <is>
          <t>320924198511256114</t>
        </is>
      </c>
      <c r="J75" s="2" t="inlineStr">
        <is>
          <t>男</t>
        </is>
      </c>
      <c r="K75" s="2" t="inlineStr">
        <is>
          <t>HSE部</t>
        </is>
      </c>
      <c r="L75" s="2" t="inlineStr">
        <is>
          <t>2007-08-01</t>
        </is>
      </c>
      <c r="M75" s="2" t="inlineStr">
        <is>
          <t>南京工业大学</t>
        </is>
      </c>
      <c r="N75" s="2"/>
      <c r="O75" s="2" t="inlineStr">
        <is>
          <t>本科</t>
        </is>
      </c>
      <c r="P75" s="2" t="inlineStr">
        <is>
          <t>HSE部</t>
        </is>
      </c>
      <c r="Q75" s="2" t="inlineStr">
        <is>
          <t>熊宇彤</t>
        </is>
      </c>
      <c r="R75" s="2" t="inlineStr">
        <is>
          <t>男</t>
        </is>
      </c>
      <c r="S75" s="2" t="inlineStr">
        <is>
          <t>2024-08-01</t>
        </is>
      </c>
      <c r="T75" s="2" t="inlineStr">
        <is>
          <t>技术助理(三)</t>
        </is>
      </c>
      <c r="U75" s="2" t="inlineStr">
        <is>
          <t>安徽文达信息工程学院</t>
        </is>
      </c>
      <c r="V75" s="2" t="inlineStr">
        <is>
          <t>其他</t>
        </is>
      </c>
      <c r="W75" s="2" t="inlineStr">
        <is>
          <t>本科</t>
        </is>
      </c>
      <c r="X75" s="2" t="inlineStr">
        <is>
          <t>B.按时推进：基本能卡着时间点完成，不掉链子。</t>
        </is>
      </c>
      <c r="Y75" s="2" t="inlineStr">
        <is>
          <t>B.基本稳定：偶有小瑕疵，但不影响整体使用。</t>
        </is>
      </c>
      <c r="Z75" s="2" t="inlineStr">
        <is>
          <t>B.比较省心：只需定期同步一下进度，不需要主管盯着细节，能独立把事情办成。</t>
        </is>
      </c>
      <c r="AA75" s="2" t="inlineStr">
        <is>
          <t>B.清楚岗位：对自己岗位的活儿很门清，略知上下游。</t>
        </is>
      </c>
      <c r="AB75" s="2" t="inlineStr">
        <is>
          <t>B.尽力而为：能解决大部分问题，解决不了的会及时求助。</t>
        </is>
      </c>
      <c r="AC75" s="2" t="inlineStr">
        <is>
          <t>B.基本合规：偶尔迟到或忘打卡，提醒后能迅速改正。</t>
        </is>
      </c>
      <c r="AD75" s="2" t="inlineStr">
        <is>
          <t>B.偶尔思考：在主管启发下，能提出一些优化想法</t>
        </is>
      </c>
      <c r="AE75" s="2" t="inlineStr">
        <is>
          <t>B.正常沟通：能清晰表达需求，维持基本的协作。</t>
        </is>
      </c>
      <c r="AF75" s="2" t="inlineStr">
        <is>
          <t>B.有问有答：问到时能说清楚进度，基本能做到及时反馈。</t>
        </is>
      </c>
      <c r="AG75" s="2" t="inlineStr">
        <is>
          <t>B.稳定器：做好自己，不给团队添乱，是可靠的一员。</t>
        </is>
      </c>
      <c r="AH75" s="2" t="inlineStr">
        <is>
          <t>B.懂得求助：在尝试后会及时向主管或同事反馈，寻求资源支持。</t>
        </is>
      </c>
      <c r="AI75" s="2" t="inlineStr">
        <is>
          <t>B. 配合接受：主管安排了就干，不推辞。</t>
        </is>
      </c>
      <c r="AJ75" s="2" t="inlineStr">
        <is>
          <t>B.配合度高：虽然有压力，但能服从大局，咬牙顶上去，且质量尚可。</t>
        </is>
      </c>
      <c r="AK75" s="2" t="inlineStr">
        <is>
          <t>B.照单全收：态度很好，虽然不一定完全理解，但会按要求改。</t>
        </is>
      </c>
      <c r="AL75" s="2" t="inlineStr">
        <is>
          <t>B.正常上手：经过简单培训或指导，能很快投入应用。</t>
        </is>
      </c>
      <c r="AM75" s="2" t="inlineStr">
        <is>
          <t>B.愿意传帮带：平时爱分享避坑指南，能带徒弟。</t>
        </is>
      </c>
      <c r="AN75" s="2" t="inlineStr">
        <is>
          <t>C.中规中矩：刚好达标，替代性较强。</t>
        </is>
      </c>
      <c r="AO75" s="2" t="inlineStr">
        <is>
          <t>C.熟练工：能胜任重复性工作，但很难承担更高阶的挑战。</t>
        </is>
      </c>
      <c r="AP75" s="2" t="inlineStr">
        <is>
          <t>D.有点影响：目前人员缺失，正好符合这个领域，没人用，有比没有好</t>
        </is>
      </c>
      <c r="AQ75" s="2" t="inlineStr">
        <is>
          <t>B</t>
        </is>
      </c>
      <c r="AR75" s="2" t="inlineStr">
        <is>
          <t>C</t>
        </is>
      </c>
      <c r="AS75" s="2" t="inlineStr">
        <is>
          <t>不一致</t>
        </is>
      </c>
      <c r="AT75" s="2" t="inlineStr">
        <is>
          <t>C</t>
        </is>
      </c>
      <c r="AU75" s="2" t="inlineStr">
        <is>
          <t>3档</t>
        </is>
      </c>
      <c r="AV75" s="3" t="n">
        <v>6500</v>
      </c>
      <c r="AW75" s="3" t="n">
        <v>5200</v>
      </c>
      <c r="AX75" s="3" t="n">
        <v>7800</v>
      </c>
      <c r="AY75" s="2" t="inlineStr">
        <is>
          <t>D</t>
        </is>
      </c>
      <c r="AZ75" s="2" t="inlineStr">
        <is>
          <t>该员工目前长期在十五分公司工作，能基本完成项目部指定工作，服从度和完成度较高。工作态度认真，需加强一线沟通和专业安全管理知识培养。</t>
        </is>
      </c>
      <c r="BA75" s="7" t="n">
        <v>3</v>
      </c>
      <c r="BB75" s="7" t="n">
        <v>4</v>
      </c>
      <c r="BC75" s="7" t="n">
        <v>4</v>
      </c>
      <c r="BD75" s="7" t="n">
        <v>4</v>
      </c>
      <c r="BE75" s="7" t="n">
        <v>4</v>
      </c>
      <c r="BF75" s="7" t="n">
        <v>3.5</v>
      </c>
      <c r="BG75" s="7" t="n">
        <v>4</v>
      </c>
      <c r="BH75" s="7" t="n">
        <v>3.5</v>
      </c>
      <c r="BI75" s="7" t="n">
        <v>4</v>
      </c>
      <c r="BJ75" s="7" t="n">
        <v>4</v>
      </c>
      <c r="BK75" s="7" t="n">
        <v>3</v>
      </c>
      <c r="BL75" s="7" t="n">
        <v>4</v>
      </c>
      <c r="BM75" s="7" t="n">
        <v>3</v>
      </c>
      <c r="BN75" s="7" t="n">
        <v>4</v>
      </c>
      <c r="BO75" s="7" t="n">
        <v>3</v>
      </c>
      <c r="BP75" s="7" t="n">
        <v>4</v>
      </c>
      <c r="BQ75" s="7" t="n">
        <v>4</v>
      </c>
      <c r="BR75" s="7" t="n">
        <v>3</v>
      </c>
      <c r="BS75" s="7" t="n">
        <v>3</v>
      </c>
      <c r="BT75" s="7" t="n">
        <v>1</v>
      </c>
      <c r="BU75" s="7" t="n">
        <v>70</v>
      </c>
      <c r="BV75" s="2"/>
      <c r="BW75" s="2"/>
      <c r="BX75" s="2"/>
      <c r="BY75" s="6">
        <f>HYPERLINK("https://www.h3yun.com/Form/Attachments/?schemacode=D148357733993cc00c048ad9898e53f5f82cbb9&amp;bizObjectId=8444485a-9cd6-4dbe-b29f-2592702750b1&amp;name=F0000016","点击查看")</f>
        <v>0</v>
      </c>
      <c r="BZ75" s="2" t="inlineStr">
        <is>
          <t>2026-05-18 09:52:38</t>
        </is>
      </c>
      <c r="CA75" s="2"/>
      <c r="CB75" s="2" t="inlineStr">
        <is>
          <t>已提交</t>
        </is>
      </c>
      <c r="CC75" s="2" t="inlineStr">
        <is>
          <t>无</t>
        </is>
      </c>
      <c r="CD75" s="2" t="inlineStr">
        <is>
          <t>安全C证</t>
        </is>
      </c>
      <c r="CE75" s="2" t="inlineStr">
        <is>
          <t>无</t>
        </is>
      </c>
      <c r="CF75" s="2"/>
      <c r="CG75" s="2" t="inlineStr">
        <is>
          <t>340826200111274410</t>
        </is>
      </c>
      <c r="CH75" s="2" t="inlineStr">
        <is>
          <t>已生效</t>
        </is>
      </c>
      <c r="CI75" s="2" t="inlineStr">
        <is>
          <t>ee3a322b-3542-4a5b-b4e8-318230742061</t>
        </is>
      </c>
      <c r="CJ75" s="3" t="n">
        <v>1</v>
      </c>
      <c r="CK75" s="2" t="inlineStr">
        <is>
          <t>该成员存在一线工作履历</t>
        </is>
      </c>
      <c r="CL75" s="2" t="inlineStr">
        <is>
          <t>该成员存在一线工作履历</t>
        </is>
      </c>
      <c r="CM75" s="2" t="inlineStr">
        <is>
          <t>南化建司劳2017-1号文-南京南化建设有限公司施工一线专业序列人员分级管理规定</t>
        </is>
      </c>
      <c r="CN75" s="2" t="inlineStr">
        <is>
          <t>第三章第6条D类</t>
        </is>
      </c>
      <c r="CO75" s="2" t="inlineStr">
        <is>
          <t>是</t>
        </is>
      </c>
      <c r="CP75" s="2" t="inlineStr">
        <is>
          <t>该员工目前长期在十五分公司工作，能基本完成项目部指定工作，服从度和完成度较高。</t>
        </is>
      </c>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t="inlineStr">
        <is>
          <t>f7859745-e7f9-4d4d-b717-0c1da23d042f</t>
        </is>
      </c>
      <c r="CJ76" s="3" t="n">
        <v>2</v>
      </c>
      <c r="CK76" s="2" t="inlineStr">
        <is>
          <t>近五年内该成员存在一线工作履历</t>
        </is>
      </c>
      <c r="CL76" s="2" t="inlineStr">
        <is>
          <t>近五年内该成员存在一线工作履历</t>
        </is>
      </c>
      <c r="CM76" s="2" t="inlineStr">
        <is>
          <t>南化建司劳2017-1号文-南京南化建设有限公司施工一线专业序列人员分级管理规定</t>
        </is>
      </c>
      <c r="CN76" s="2" t="inlineStr">
        <is>
          <t>第三章第6条D类</t>
        </is>
      </c>
      <c r="CO76" s="2" t="inlineStr">
        <is>
          <t>是</t>
        </is>
      </c>
      <c r="CP76" s="2" t="inlineStr">
        <is>
          <t>该员工目前长期在十五分公司工作，能基本完成项目部指定工作，服从度和完成度较高。</t>
        </is>
      </c>
    </row>
    <row r="77">
      <c r="A77" s="2" t="inlineStr">
        <is>
          <t>f54a3193-8760-4776-9cf2-570a016b2370</t>
        </is>
      </c>
      <c r="B77" s="2" t="inlineStr">
        <is>
          <t>C.均衡，工作负荷一般，按部就班完成工作，除了突发时间几乎不用加班</t>
        </is>
      </c>
      <c r="C77" s="2" t="inlineStr">
        <is>
          <t>HSE部    张晶晶    女    刘少兵</t>
        </is>
      </c>
      <c r="D77" s="2" t="inlineStr">
        <is>
          <t>Anonymous</t>
        </is>
      </c>
      <c r="E77" s="2" t="inlineStr">
        <is>
          <t>Anonymous</t>
        </is>
      </c>
      <c r="F77" s="2"/>
      <c r="G77" s="2" t="inlineStr">
        <is>
          <t>2026-05-25 10:56:15</t>
        </is>
      </c>
      <c r="H77" s="2" t="inlineStr">
        <is>
          <t>刘少兵</t>
        </is>
      </c>
      <c r="I77" s="2" t="inlineStr">
        <is>
          <t>320924198511256114</t>
        </is>
      </c>
      <c r="J77" s="2" t="inlineStr">
        <is>
          <t>男</t>
        </is>
      </c>
      <c r="K77" s="2" t="inlineStr">
        <is>
          <t>HSE部</t>
        </is>
      </c>
      <c r="L77" s="2" t="inlineStr">
        <is>
          <t>2007-08-01</t>
        </is>
      </c>
      <c r="M77" s="2" t="inlineStr">
        <is>
          <t>南京工业大学</t>
        </is>
      </c>
      <c r="N77" s="2"/>
      <c r="O77" s="2" t="inlineStr">
        <is>
          <t>本科</t>
        </is>
      </c>
      <c r="P77" s="2" t="inlineStr">
        <is>
          <t>HSE部</t>
        </is>
      </c>
      <c r="Q77" s="2" t="inlineStr">
        <is>
          <t>张晶晶</t>
        </is>
      </c>
      <c r="R77" s="2" t="inlineStr">
        <is>
          <t>女</t>
        </is>
      </c>
      <c r="S77" s="2" t="inlineStr">
        <is>
          <t>2017-07-01</t>
        </is>
      </c>
      <c r="T77" s="2" t="inlineStr">
        <is>
          <t>技术助理(一)</t>
        </is>
      </c>
      <c r="U77" s="2" t="inlineStr">
        <is>
          <t>南京晓庄学院</t>
        </is>
      </c>
      <c r="V77" s="2"/>
      <c r="W77" s="2" t="inlineStr">
        <is>
          <t>本科</t>
        </is>
      </c>
      <c r="X77" s="2" t="inlineStr">
        <is>
          <t>B.按时推进：基本能卡着时间点完成，不掉链子。</t>
        </is>
      </c>
      <c r="Y77" s="2" t="inlineStr">
        <is>
          <t>B.基本稳定：偶有小瑕疵，但不影响整体使用。</t>
        </is>
      </c>
      <c r="Z77" s="2" t="inlineStr">
        <is>
          <t>B.比较省心：只需定期同步一下进度，不需要主管盯着细节，能独立把事情办成。</t>
        </is>
      </c>
      <c r="AA77" s="2" t="inlineStr">
        <is>
          <t>B.清楚岗位：对自己岗位的活儿很门清，略知上下游。</t>
        </is>
      </c>
      <c r="AB77" s="2" t="inlineStr">
        <is>
          <t>B.尽力而为：能解决大部分问题，解决不了的会及时求助。</t>
        </is>
      </c>
      <c r="AC77" s="2" t="inlineStr">
        <is>
          <t>B.基本合规：偶尔迟到或忘打卡，提醒后能迅速改正。</t>
        </is>
      </c>
      <c r="AD77" s="2" t="inlineStr">
        <is>
          <t>B.偶尔思考：在主管启发下，能提出一些优化想法</t>
        </is>
      </c>
      <c r="AE77" s="2" t="inlineStr">
        <is>
          <t>A.推进力极强：能搞定不同性格的人，让对方配合。</t>
        </is>
      </c>
      <c r="AF77" s="2" t="inlineStr">
        <is>
          <t>B.有问有答：问到时能说清楚进度，基本能做到及时反馈。</t>
        </is>
      </c>
      <c r="AG77" s="2" t="inlineStr">
        <is>
          <t>B.稳定器：做好自己，不给团队添乱，是可靠的一员。</t>
        </is>
      </c>
      <c r="AH77" s="2" t="inlineStr">
        <is>
          <t>B.懂得求助：在尝试后会及时向主管或同事反馈，寻求资源支持。</t>
        </is>
      </c>
      <c r="AI77" s="2" t="inlineStr">
        <is>
          <t>B. 配合接受：主管安排了就干，不推辞。</t>
        </is>
      </c>
      <c r="AJ77" s="2" t="inlineStr">
        <is>
          <t>B.配合度高：虽然有压力，但能服从大局，咬牙顶上去，且质量尚可。</t>
        </is>
      </c>
      <c r="AK77" s="2" t="inlineStr">
        <is>
          <t>B.照单全收：态度很好，虽然不一定完全理解，但会按要求改。</t>
        </is>
      </c>
      <c r="AL77" s="2" t="inlineStr">
        <is>
          <t>B.正常上手：经过简单培训或指导，能很快投入应用。</t>
        </is>
      </c>
      <c r="AM77" s="2" t="inlineStr">
        <is>
          <t>B.愿意传帮带：平时爱分享避坑指南，能带徒弟。</t>
        </is>
      </c>
      <c r="AN77" s="2" t="inlineStr">
        <is>
          <t>C.中规中矩：刚好达标，替代性较强。</t>
        </is>
      </c>
      <c r="AO77" s="2" t="inlineStr">
        <is>
          <t>C.熟练工：能胜任重复性工作，但很难承担更高阶的挑战。</t>
        </is>
      </c>
      <c r="AP77" s="2" t="inlineStr">
        <is>
          <t>B.有点可惜：是个好手，需要费心再找一个相同水准的。</t>
        </is>
      </c>
      <c r="AQ77" s="2" t="inlineStr">
        <is>
          <t>B</t>
        </is>
      </c>
      <c r="AR77" s="2" t="inlineStr">
        <is>
          <t>B</t>
        </is>
      </c>
      <c r="AS77" s="2" t="inlineStr">
        <is>
          <t>一致</t>
        </is>
      </c>
      <c r="AT77" s="2" t="inlineStr">
        <is>
          <t>B</t>
        </is>
      </c>
      <c r="AU77" s="2" t="inlineStr">
        <is>
          <t>3档</t>
        </is>
      </c>
      <c r="AV77" s="3" t="n">
        <v>8000</v>
      </c>
      <c r="AW77" s="3" t="n">
        <v>6400</v>
      </c>
      <c r="AX77" s="3" t="n">
        <v>9600</v>
      </c>
      <c r="AY77" s="2" t="inlineStr">
        <is>
          <t>C</t>
        </is>
      </c>
      <c r="AZ77" s="2" t="inlineStr">
        <is>
          <t>该员工沟通能力强，对于外部接待，内部沟通都有较强能力和心得，日常事务完成度较高。</t>
        </is>
      </c>
      <c r="BA77" s="7" t="n">
        <v>3</v>
      </c>
      <c r="BB77" s="7" t="n">
        <v>4</v>
      </c>
      <c r="BC77" s="7" t="n">
        <v>4</v>
      </c>
      <c r="BD77" s="7" t="n">
        <v>4</v>
      </c>
      <c r="BE77" s="7" t="n">
        <v>4</v>
      </c>
      <c r="BF77" s="7" t="n">
        <v>3.5</v>
      </c>
      <c r="BG77" s="7" t="n">
        <v>4</v>
      </c>
      <c r="BH77" s="7" t="n">
        <v>5</v>
      </c>
      <c r="BI77" s="7" t="n">
        <v>4</v>
      </c>
      <c r="BJ77" s="7" t="n">
        <v>4</v>
      </c>
      <c r="BK77" s="7" t="n">
        <v>3</v>
      </c>
      <c r="BL77" s="7" t="n">
        <v>4</v>
      </c>
      <c r="BM77" s="7" t="n">
        <v>3</v>
      </c>
      <c r="BN77" s="7" t="n">
        <v>4</v>
      </c>
      <c r="BO77" s="7" t="n">
        <v>3</v>
      </c>
      <c r="BP77" s="7" t="n">
        <v>4</v>
      </c>
      <c r="BQ77" s="7" t="n">
        <v>4</v>
      </c>
      <c r="BR77" s="7" t="n">
        <v>3</v>
      </c>
      <c r="BS77" s="7" t="n">
        <v>3</v>
      </c>
      <c r="BT77" s="7" t="n">
        <v>4</v>
      </c>
      <c r="BU77" s="7" t="n">
        <v>74.5</v>
      </c>
      <c r="BV77" s="2"/>
      <c r="BW77" s="2"/>
      <c r="BX77" s="2"/>
      <c r="BY77" s="6">
        <f>HYPERLINK("https://www.h3yun.com/Form/Attachments/?schemacode=D148357733993cc00c048ad9898e53f5f82cbb9&amp;bizObjectId=f54a3193-8760-4776-9cf2-570a016b2370&amp;name=F0000016","点击查看")</f>
        <v>0</v>
      </c>
      <c r="BZ77" s="2" t="inlineStr">
        <is>
          <t>2026-05-18 09:46:46</t>
        </is>
      </c>
      <c r="CA77" s="2"/>
      <c r="CB77" s="2" t="inlineStr">
        <is>
          <t>已提交</t>
        </is>
      </c>
      <c r="CC77" s="2" t="inlineStr">
        <is>
          <t>初级助理工程师</t>
        </is>
      </c>
      <c r="CD77" s="2" t="inlineStr">
        <is>
          <t>安全C证</t>
        </is>
      </c>
      <c r="CE77" s="2" t="inlineStr">
        <is>
          <t>无</t>
        </is>
      </c>
      <c r="CF77" s="2"/>
      <c r="CG77" s="2" t="inlineStr">
        <is>
          <t>320682199402175982</t>
        </is>
      </c>
      <c r="CH77" s="2" t="inlineStr">
        <is>
          <t>已生效</t>
        </is>
      </c>
      <c r="CI77" s="2" t="inlineStr">
        <is>
          <t>ea35b0ee-eb3e-4818-954f-f56716b3ece3</t>
        </is>
      </c>
      <c r="CJ77" s="3" t="n">
        <v>1</v>
      </c>
      <c r="CK77" s="2" t="inlineStr">
        <is>
          <t>近三年至少担任过一个合同额1000万元以上项目相应岗位的主管</t>
        </is>
      </c>
      <c r="CL77" s="2" t="inlineStr">
        <is>
          <t>近三年至少担任过一个合同额1000万元以上项目相应岗位的主管</t>
        </is>
      </c>
      <c r="CM77" s="2" t="inlineStr">
        <is>
          <t>南化建司劳2017-1号文-南京南化建设有限公司施工一线专业序列人员分级管理规定</t>
        </is>
      </c>
      <c r="CN77" s="2" t="inlineStr">
        <is>
          <t>第三章第3条C类</t>
        </is>
      </c>
      <c r="CO77" s="2" t="inlineStr">
        <is>
          <t>否</t>
        </is>
      </c>
      <c r="CP77" s="2" t="inlineStr">
        <is>
          <t>该人员为安全资料管理人员</t>
        </is>
      </c>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t="inlineStr">
        <is>
          <t>b3c3675a-c5b5-4c23-ab7e-ba9ef4491567</t>
        </is>
      </c>
      <c r="CJ78" s="3" t="n">
        <v>2</v>
      </c>
      <c r="CK78" s="2" t="inlineStr">
        <is>
          <t>公司二级单位或公司职能部门推荐</t>
        </is>
      </c>
      <c r="CL78" s="2" t="inlineStr">
        <is>
          <t>公司二级单位或公司职能部门推荐</t>
        </is>
      </c>
      <c r="CM78" s="2" t="inlineStr">
        <is>
          <t>南化建司劳2017-1号文-南京南化建设有限公司施工一线专业序列人员分级管理规定</t>
        </is>
      </c>
      <c r="CN78" s="2" t="inlineStr">
        <is>
          <t>第三章第3条C类</t>
        </is>
      </c>
      <c r="CO78" s="2" t="inlineStr">
        <is>
          <t>是</t>
        </is>
      </c>
      <c r="CP78" s="2" t="inlineStr">
        <is>
          <t>该员工沟通能力强，对于外部接待，内部沟通都有较强能力和心得，日常事务完成度较高。</t>
        </is>
      </c>
    </row>
    <row r="79">
      <c r="A79" s="2" t="inlineStr">
        <is>
          <t>6c59cbe3-b9b8-4e15-83ba-b9219cda3d00</t>
        </is>
      </c>
      <c r="B79" s="2" t="inlineStr">
        <is>
          <t>C.均衡，工作负荷一般，按部就班完成工作，除了突发时间几乎不用加班</t>
        </is>
      </c>
      <c r="C79" s="2" t="inlineStr">
        <is>
          <t>海外事业部    张晓    男    于东轩</t>
        </is>
      </c>
      <c r="D79" s="2" t="inlineStr">
        <is>
          <t>Anonymous</t>
        </is>
      </c>
      <c r="E79" s="2" t="inlineStr">
        <is>
          <t>Anonymous</t>
        </is>
      </c>
      <c r="F79" s="2"/>
      <c r="G79" s="2" t="inlineStr">
        <is>
          <t>2026-05-25 10:56:15</t>
        </is>
      </c>
      <c r="H79" s="2" t="inlineStr">
        <is>
          <t>于东轩</t>
        </is>
      </c>
      <c r="I79" s="2" t="inlineStr">
        <is>
          <t>412729197501174537</t>
        </is>
      </c>
      <c r="J79" s="2" t="inlineStr">
        <is>
          <t>男</t>
        </is>
      </c>
      <c r="K79" s="2" t="inlineStr">
        <is>
          <t>海外事业部</t>
        </is>
      </c>
      <c r="L79" s="2" t="inlineStr">
        <is>
          <t>1997-08-14</t>
        </is>
      </c>
      <c r="M79" s="2" t="inlineStr">
        <is>
          <t>北京石油化工学院</t>
        </is>
      </c>
      <c r="N79" s="2" t="inlineStr">
        <is>
          <t>化机</t>
        </is>
      </c>
      <c r="O79" s="2" t="inlineStr">
        <is>
          <t>本科</t>
        </is>
      </c>
      <c r="P79" s="2" t="inlineStr">
        <is>
          <t>海外事业部</t>
        </is>
      </c>
      <c r="Q79" s="2" t="inlineStr">
        <is>
          <t>张晓</t>
        </is>
      </c>
      <c r="R79" s="2" t="inlineStr">
        <is>
          <t>男</t>
        </is>
      </c>
      <c r="S79" s="2" t="inlineStr">
        <is>
          <t>2022-08-01</t>
        </is>
      </c>
      <c r="T79" s="2" t="inlineStr">
        <is>
          <t>技术助理(二)</t>
        </is>
      </c>
      <c r="U79" s="2" t="inlineStr">
        <is>
          <t>常州大学怀德学院</t>
        </is>
      </c>
      <c r="V79" s="2" t="inlineStr">
        <is>
          <t>机制</t>
        </is>
      </c>
      <c r="W79" s="2" t="inlineStr">
        <is>
          <t>本科</t>
        </is>
      </c>
      <c r="X79" s="2" t="inlineStr">
        <is>
          <t>B.按时推进：基本能卡着时间点完成，不掉链子。</t>
        </is>
      </c>
      <c r="Y79" s="2" t="inlineStr">
        <is>
          <t>B.基本稳定：偶有小瑕疵，但不影响整体使用。</t>
        </is>
      </c>
      <c r="Z79" s="2" t="inlineStr">
        <is>
          <t>B.比较省心：只需定期同步一下进度，不需要主管盯着细节，能独立把事情办成。</t>
        </is>
      </c>
      <c r="AA79" s="2" t="inlineStr">
        <is>
          <t>B.清楚岗位：对自己岗位的活儿很门清，略知上下游。</t>
        </is>
      </c>
      <c r="AB79" s="2" t="inlineStr">
        <is>
          <t>A.攻坚克难：会想尽一切办法钻研，直至彻底解决。</t>
        </is>
      </c>
      <c r="AC79" s="2" t="inlineStr">
        <is>
          <t>A.模范标兵：严于律己，从未在琐事上让主管费心。</t>
        </is>
      </c>
      <c r="AD79" s="2" t="inlineStr">
        <is>
          <t>C.照章办事：给多少干多少，完全按老规矩来，从不思考变革</t>
        </is>
      </c>
      <c r="AE79" s="2" t="inlineStr">
        <is>
          <t>A.推进力极强：能搞定不同性格的人，让对方配合。</t>
        </is>
      </c>
      <c r="AF79" s="2" t="inlineStr">
        <is>
          <t>B.有问有答：问到时能说清楚进度，基本能做到及时反馈。</t>
        </is>
      </c>
      <c r="AG79" s="2" t="inlineStr">
        <is>
          <t>B.无负面影响，能做好自身工作不拖团队后腿</t>
        </is>
      </c>
      <c r="AH79" s="2" t="inlineStr">
        <is>
          <t>A.在工作中与同事相互帮助、合作融洽，自己与团队共同进步</t>
        </is>
      </c>
      <c r="AI79" s="2" t="inlineStr">
        <is>
          <t>B. 积极配合：不推诿，在主管协调下愿意承担边界任务，并努力达成目标。</t>
        </is>
      </c>
      <c r="AJ79" s="2" t="inlineStr">
        <is>
          <t>C.较为配合：不抱怨，但压力较大时，工作质量会随之下滑。</t>
        </is>
      </c>
      <c r="AK79" s="2" t="inlineStr">
        <is>
          <t>B.照单全收：态度很好，虽然不一定完全理解，但会按要求改。</t>
        </is>
      </c>
      <c r="AL79" s="2" t="inlineStr">
        <is>
          <t>C.慢工细活：需要反复教，掌握过程比较吃力。</t>
        </is>
      </c>
      <c r="AM79" s="2" t="inlineStr">
        <is>
          <t>C.技能私有：自己干得好也愿意分享，但是不会总结或讲不出来。</t>
        </is>
      </c>
      <c r="AN79" s="2" t="inlineStr">
        <is>
          <t>B.中上水平：高于平均线，是团队的中流砥柱。</t>
        </is>
      </c>
      <c r="AO79" s="2" t="inlineStr">
        <is>
          <t>B.业务骨干：是团队不可或缺的腰部力量。</t>
        </is>
      </c>
      <c r="AP79" s="2" t="inlineStr">
        <is>
          <t>B.有点可惜：是个好手，需要费心再找一个相同水准的。</t>
        </is>
      </c>
      <c r="AQ79" s="2" t="inlineStr">
        <is>
          <t>B</t>
        </is>
      </c>
      <c r="AR79" s="2" t="inlineStr">
        <is>
          <t>B</t>
        </is>
      </c>
      <c r="AS79" s="2" t="inlineStr">
        <is>
          <t>一致</t>
        </is>
      </c>
      <c r="AT79" s="2" t="inlineStr">
        <is>
          <t>B</t>
        </is>
      </c>
      <c r="AU79" s="2" t="inlineStr">
        <is>
          <t>4档</t>
        </is>
      </c>
      <c r="AV79" s="3" t="n">
        <v>8200</v>
      </c>
      <c r="AW79" s="3" t="n">
        <v>6560</v>
      </c>
      <c r="AX79" s="3" t="n">
        <v>9840</v>
      </c>
      <c r="AY79" s="2" t="inlineStr">
        <is>
          <t>C</t>
        </is>
      </c>
      <c r="AZ79" s="2" t="inlineStr">
        <is>
          <t>该员工态度端正、积极主动，是团队稳定可靠的基础力量。其本人倾向于到项目上去锻炼，一是提高自己工程技术业务水平，二是想有更多的收入以缓解房贷车贷压力。</t>
        </is>
      </c>
      <c r="BA79" s="7" t="n">
        <v>3</v>
      </c>
      <c r="BB79" s="7" t="n">
        <v>4</v>
      </c>
      <c r="BC79" s="7" t="n">
        <v>4</v>
      </c>
      <c r="BD79" s="7" t="n">
        <v>4</v>
      </c>
      <c r="BE79" s="7" t="n">
        <v>5</v>
      </c>
      <c r="BF79" s="7" t="n">
        <v>5</v>
      </c>
      <c r="BG79" s="7" t="n">
        <v>3</v>
      </c>
      <c r="BH79" s="7" t="n">
        <v>5</v>
      </c>
      <c r="BI79" s="7" t="n">
        <v>4</v>
      </c>
      <c r="BJ79" s="7" t="n">
        <v>3</v>
      </c>
      <c r="BK79" s="7" t="n">
        <v>5</v>
      </c>
      <c r="BL79" s="7" t="n">
        <v>4</v>
      </c>
      <c r="BM79" s="7" t="n">
        <v>3</v>
      </c>
      <c r="BN79" s="7" t="n">
        <v>3</v>
      </c>
      <c r="BO79" s="7" t="n">
        <v>3</v>
      </c>
      <c r="BP79" s="7" t="n">
        <v>2</v>
      </c>
      <c r="BQ79" s="7" t="n">
        <v>2</v>
      </c>
      <c r="BR79" s="7" t="n">
        <v>4</v>
      </c>
      <c r="BS79" s="7" t="n">
        <v>4</v>
      </c>
      <c r="BT79" s="7" t="n">
        <v>4</v>
      </c>
      <c r="BU79" s="7" t="n">
        <v>74</v>
      </c>
      <c r="BV79" s="2" t="inlineStr">
        <is>
          <t>A.需要存在，不可去除</t>
        </is>
      </c>
      <c r="BW79" s="2" t="inlineStr">
        <is>
          <t>无</t>
        </is>
      </c>
      <c r="BX79" s="2" t="inlineStr">
        <is>
          <t>无</t>
        </is>
      </c>
      <c r="BY79" s="6">
        <f>HYPERLINK("https://www.h3yun.com/Form/Attachments/?schemacode=D148357733993cc00c048ad9898e53f5f82cbb9&amp;bizObjectId=6c59cbe3-b9b8-4e15-83ba-b9219cda3d00&amp;name=F0000016","点击查看")</f>
        <v>0</v>
      </c>
      <c r="BZ79" s="2" t="inlineStr">
        <is>
          <t>2026-05-15 20:35:02</t>
        </is>
      </c>
      <c r="CA79" s="2" t="inlineStr">
        <is>
          <t>B</t>
        </is>
      </c>
      <c r="CB79" s="2" t="inlineStr">
        <is>
          <t>已提交</t>
        </is>
      </c>
      <c r="CC79" s="2" t="inlineStr">
        <is>
          <t>助理工程师</t>
        </is>
      </c>
      <c r="CD79" s="2" t="inlineStr">
        <is>
          <t>无</t>
        </is>
      </c>
      <c r="CE79" s="2" t="inlineStr">
        <is>
          <t>无</t>
        </is>
      </c>
      <c r="CF79" s="2"/>
      <c r="CG79" s="2" t="inlineStr">
        <is>
          <t>341124199810124838</t>
        </is>
      </c>
      <c r="CH79" s="2" t="inlineStr">
        <is>
          <t>已生效</t>
        </is>
      </c>
      <c r="CI79" s="2" t="inlineStr">
        <is>
          <t>d3ee420c-9e01-4530-92bf-90c65ddd0765</t>
        </is>
      </c>
      <c r="CJ79" s="3" t="n">
        <v>1</v>
      </c>
      <c r="CK79" s="2" t="inlineStr">
        <is>
          <t>近三年至少担任过一个合同额1000万元以上项目相应岗位的主管</t>
        </is>
      </c>
      <c r="CL79" s="2" t="inlineStr">
        <is>
          <t>近三年至少担任过一个合同额1000万元以上项目相应岗位的主管</t>
        </is>
      </c>
      <c r="CM79" s="2" t="inlineStr">
        <is>
          <t>南化建司劳2017-1号文-南京南化建设有限公司施工一线专业序列人员分级管理规定</t>
        </is>
      </c>
      <c r="CN79" s="2" t="inlineStr">
        <is>
          <t>第三章第3条C类</t>
        </is>
      </c>
      <c r="CO79" s="2"/>
      <c r="CP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t="inlineStr">
        <is>
          <t>bb8405eb-1dfe-48c3-995c-5133faa8a0a6</t>
        </is>
      </c>
      <c r="CJ80" s="3" t="n">
        <v>2</v>
      </c>
      <c r="CK80" s="2" t="inlineStr">
        <is>
          <t>公司二级单位或公司职能部门推荐</t>
        </is>
      </c>
      <c r="CL80" s="2" t="inlineStr">
        <is>
          <t>公司二级单位或公司职能部门推荐</t>
        </is>
      </c>
      <c r="CM80" s="2" t="inlineStr">
        <is>
          <t>南化建司劳2017-1号文-南京南化建设有限公司施工一线专业序列人员分级管理规定</t>
        </is>
      </c>
      <c r="CN80" s="2" t="inlineStr">
        <is>
          <t>第三章第3条C类</t>
        </is>
      </c>
      <c r="CO80" s="2"/>
      <c r="CP80" s="2"/>
    </row>
    <row r="81">
      <c r="A81" s="2" t="inlineStr">
        <is>
          <t>5c6857d8-3224-4694-a472-3ee1368880a5</t>
        </is>
      </c>
      <c r="B81" s="2" t="inlineStr">
        <is>
          <t>E.非饱和，事情很少，也不好怎么给他布置工作</t>
        </is>
      </c>
      <c r="C81" s="2" t="inlineStr">
        <is>
          <t>海外事业部    许世杰    男    于东轩</t>
        </is>
      </c>
      <c r="D81" s="2" t="inlineStr">
        <is>
          <t>Anonymous</t>
        </is>
      </c>
      <c r="E81" s="2" t="inlineStr">
        <is>
          <t>Anonymous</t>
        </is>
      </c>
      <c r="F81" s="2"/>
      <c r="G81" s="2" t="inlineStr">
        <is>
          <t>2026-05-25 10:56:15</t>
        </is>
      </c>
      <c r="H81" s="2" t="inlineStr">
        <is>
          <t>于东轩</t>
        </is>
      </c>
      <c r="I81" s="2" t="inlineStr">
        <is>
          <t>412729197501174537</t>
        </is>
      </c>
      <c r="J81" s="2" t="inlineStr">
        <is>
          <t>男</t>
        </is>
      </c>
      <c r="K81" s="2" t="inlineStr">
        <is>
          <t>海外事业部</t>
        </is>
      </c>
      <c r="L81" s="2" t="inlineStr">
        <is>
          <t>1997-08-14</t>
        </is>
      </c>
      <c r="M81" s="2" t="inlineStr">
        <is>
          <t>北京石油化工学院</t>
        </is>
      </c>
      <c r="N81" s="2" t="inlineStr">
        <is>
          <t>化机</t>
        </is>
      </c>
      <c r="O81" s="2" t="inlineStr">
        <is>
          <t>本科</t>
        </is>
      </c>
      <c r="P81" s="2" t="inlineStr">
        <is>
          <t>海外事业部</t>
        </is>
      </c>
      <c r="Q81" s="2" t="inlineStr">
        <is>
          <t>许世杰</t>
        </is>
      </c>
      <c r="R81" s="2" t="inlineStr">
        <is>
          <t>男</t>
        </is>
      </c>
      <c r="S81" s="2" t="inlineStr">
        <is>
          <t>1995-08-01</t>
        </is>
      </c>
      <c r="T81" s="2" t="inlineStr">
        <is>
          <t>副高级业务主管</t>
        </is>
      </c>
      <c r="U81" s="2"/>
      <c r="V81" s="2" t="inlineStr">
        <is>
          <t>翻译</t>
        </is>
      </c>
      <c r="W81" s="2" t="inlineStr">
        <is>
          <t>本科</t>
        </is>
      </c>
      <c r="X81" s="2" t="inlineStr">
        <is>
          <t>D.经常延误：严重缺乏时间观念，无法按时交付。</t>
        </is>
      </c>
      <c r="Y81" s="2" t="inlineStr">
        <is>
          <t>C.看心情/状态：状态好时不错，状态差时漏洞百出。</t>
        </is>
      </c>
      <c r="Z81" s="2" t="inlineStr">
        <is>
          <t>C.正常跟进：需要主管盯着节点、偶尔提醒进度，或者在跑偏时帮着拽回来。</t>
        </is>
      </c>
      <c r="AA81" s="2" t="inlineStr">
        <is>
          <t>A.全局视野：了解上下游，能站在全业务链条考虑问题。</t>
        </is>
      </c>
      <c r="AB81" s="2" t="inlineStr">
        <is>
          <t>C.容易放弃：尝试一下发现不行，就停在那等着主管给方案。</t>
        </is>
      </c>
      <c r="AC81" s="2" t="inlineStr">
        <is>
          <t>A.模范标兵：严于律己，从未在琐事上让主管费心。</t>
        </is>
      </c>
      <c r="AD81" s="2" t="inlineStr">
        <is>
          <t>C.照章办事：给多少干多少，完全按老规矩来，从不思考变革</t>
        </is>
      </c>
      <c r="AE81" s="2" t="inlineStr">
        <is>
          <t>C.沟通被动：你不催他不去，去了也带不回明确结果。</t>
        </is>
      </c>
      <c r="AF81" s="2" t="inlineStr">
        <is>
          <t>B.有问有答：问到时能说清楚进度，基本能做到及时反馈。</t>
        </is>
      </c>
      <c r="AG81" s="2" t="inlineStr">
        <is>
          <t>D.负能量源：爱传播负面情绪，影响团队士气。</t>
        </is>
      </c>
      <c r="AH81" s="2" t="inlineStr">
        <is>
          <t>D.乱找一通：没头苍蝇一样到处问，反而干扰了别人的工作。</t>
        </is>
      </c>
      <c r="AI81" s="2" t="inlineStr">
        <is>
          <t>D. 明确推诿：常以“这不在我职责内”为由拒绝协作。</t>
        </is>
      </c>
      <c r="AJ81" s="2" t="inlineStr">
        <is>
          <t>D.心理素质差，任务一多就产生排斥情绪或工作失控</t>
        </is>
      </c>
      <c r="AK81" s="2" t="inlineStr">
        <is>
          <t>A.有，他提出的思路不对</t>
        </is>
      </c>
      <c r="AL81" s="2" t="inlineStr">
        <is>
          <t>B.学的一般，也能完成</t>
        </is>
      </c>
      <c r="AM81" s="2" t="inlineStr">
        <is>
          <t>C.技能私有：自己干得好也愿意分享，但是不会总结或讲不出来。</t>
        </is>
      </c>
      <c r="AN81" s="2" t="inlineStr">
        <is>
          <t>B.中上水平：高于平均线，是团队的中流砥柱。</t>
        </is>
      </c>
      <c r="AO81" s="2" t="inlineStr">
        <is>
          <t>C.熟练工：能胜任重复性工作，但很难承担更高阶的挑战。</t>
        </is>
      </c>
      <c r="AP81" s="2" t="inlineStr">
        <is>
          <t>E.如释重负：终于走了，刚好腾出名额招个更靠谱的人。</t>
        </is>
      </c>
      <c r="AQ81" s="2" t="inlineStr">
        <is>
          <t>E</t>
        </is>
      </c>
      <c r="AR81" s="2" t="inlineStr">
        <is>
          <t>F</t>
        </is>
      </c>
      <c r="AS81" s="2" t="inlineStr">
        <is>
          <t>不一致</t>
        </is>
      </c>
      <c r="AT81" s="2" t="inlineStr">
        <is>
          <t>F</t>
        </is>
      </c>
      <c r="AU81" s="2" t="inlineStr">
        <is>
          <t>1档</t>
        </is>
      </c>
      <c r="AV81" s="3" t="n">
        <v>2800</v>
      </c>
      <c r="AW81" s="3" t="n">
        <v>2240</v>
      </c>
      <c r="AX81" s="3" t="n">
        <v>3360</v>
      </c>
      <c r="AY81" s="2" t="inlineStr">
        <is>
          <t>无对照</t>
        </is>
      </c>
      <c r="AZ81" s="2" t="inlineStr">
        <is>
          <t>该员工业务能力高，但工作态度不端正，不服从工作安排，不能产生积极的正面影响，建议调离本部门！</t>
        </is>
      </c>
      <c r="BA81" s="7" t="n">
        <v>0</v>
      </c>
      <c r="BB81" s="7" t="n">
        <v>2</v>
      </c>
      <c r="BC81" s="7" t="n">
        <v>3</v>
      </c>
      <c r="BD81" s="7" t="n">
        <v>5</v>
      </c>
      <c r="BE81" s="7" t="n">
        <v>2</v>
      </c>
      <c r="BF81" s="7" t="n">
        <v>5</v>
      </c>
      <c r="BG81" s="7" t="n">
        <v>3</v>
      </c>
      <c r="BH81" s="7" t="n">
        <v>1</v>
      </c>
      <c r="BI81" s="7" t="n">
        <v>4</v>
      </c>
      <c r="BJ81" s="7" t="n">
        <v>0</v>
      </c>
      <c r="BK81" s="7" t="n">
        <v>0</v>
      </c>
      <c r="BL81" s="7" t="n">
        <v>1</v>
      </c>
      <c r="BM81" s="7" t="n">
        <v>1</v>
      </c>
      <c r="BN81" s="7" t="n">
        <v>1</v>
      </c>
      <c r="BO81" s="7" t="n">
        <v>3</v>
      </c>
      <c r="BP81" s="7" t="n">
        <v>3</v>
      </c>
      <c r="BQ81" s="7" t="n">
        <v>2</v>
      </c>
      <c r="BR81" s="7" t="n">
        <v>4</v>
      </c>
      <c r="BS81" s="7" t="n">
        <v>3</v>
      </c>
      <c r="BT81" s="7" t="n">
        <v>0</v>
      </c>
      <c r="BU81" s="7" t="n">
        <v>43</v>
      </c>
      <c r="BV81" s="2" t="inlineStr">
        <is>
          <t>D.直接去掉，完全没有存在的必要性</t>
        </is>
      </c>
      <c r="BW81" s="2" t="inlineStr">
        <is>
          <t>无</t>
        </is>
      </c>
      <c r="BX81" s="2" t="inlineStr">
        <is>
          <t>无</t>
        </is>
      </c>
      <c r="BY81" s="6">
        <f>HYPERLINK("https://www.h3yun.com/Form/Attachments/?schemacode=D148357733993cc00c048ad9898e53f5f82cbb9&amp;bizObjectId=5c6857d8-3224-4694-a472-3ee1368880a5&amp;name=F0000016","点击查看")</f>
        <v>0</v>
      </c>
      <c r="BZ81" s="2" t="inlineStr">
        <is>
          <t>2026-05-15 20:18:03</t>
        </is>
      </c>
      <c r="CA81" s="2" t="inlineStr">
        <is>
          <t>F</t>
        </is>
      </c>
      <c r="CB81" s="2" t="inlineStr">
        <is>
          <t>已提交</t>
        </is>
      </c>
      <c r="CC81" s="2" t="inlineStr">
        <is>
          <t>无</t>
        </is>
      </c>
      <c r="CD81" s="2" t="inlineStr">
        <is>
          <t>一建</t>
        </is>
      </c>
      <c r="CE81" s="2" t="inlineStr">
        <is>
          <t>无</t>
        </is>
      </c>
      <c r="CF81" s="2"/>
      <c r="CG81" s="2" t="inlineStr">
        <is>
          <t>320112197503220417</t>
        </is>
      </c>
      <c r="CH81" s="2" t="inlineStr">
        <is>
          <t>已生效</t>
        </is>
      </c>
      <c r="CI81" s="2"/>
      <c r="CJ81" s="2"/>
      <c r="CK81" s="2"/>
      <c r="CL81" s="2"/>
      <c r="CM81" s="2"/>
      <c r="CN81" s="2"/>
      <c r="CO81" s="2"/>
      <c r="CP81" s="2"/>
    </row>
    <row r="82">
      <c r="A82" s="2" t="inlineStr">
        <is>
          <t>f8d9fa24-5e4d-4dec-88e1-be25788176e7</t>
        </is>
      </c>
      <c r="B82" s="2" t="inlineStr">
        <is>
          <t>E.非饱和，事情很少，也不好怎么给他布置工作</t>
        </is>
      </c>
      <c r="C82" s="2" t="inlineStr">
        <is>
          <t>海外事业部    沈宗豪    男    于东轩</t>
        </is>
      </c>
      <c r="D82" s="2" t="inlineStr">
        <is>
          <t>Anonymous</t>
        </is>
      </c>
      <c r="E82" s="2" t="inlineStr">
        <is>
          <t>Anonymous</t>
        </is>
      </c>
      <c r="F82" s="2"/>
      <c r="G82" s="2" t="inlineStr">
        <is>
          <t>2026-05-25 10:56:15</t>
        </is>
      </c>
      <c r="H82" s="2" t="inlineStr">
        <is>
          <t>于东轩</t>
        </is>
      </c>
      <c r="I82" s="2" t="inlineStr">
        <is>
          <t>412729197501174537</t>
        </is>
      </c>
      <c r="J82" s="2" t="inlineStr">
        <is>
          <t>男</t>
        </is>
      </c>
      <c r="K82" s="2" t="inlineStr">
        <is>
          <t>海外事业部</t>
        </is>
      </c>
      <c r="L82" s="2" t="inlineStr">
        <is>
          <t>1997-08-14</t>
        </is>
      </c>
      <c r="M82" s="2" t="inlineStr">
        <is>
          <t>北京石油化工学院</t>
        </is>
      </c>
      <c r="N82" s="2" t="inlineStr">
        <is>
          <t>化机</t>
        </is>
      </c>
      <c r="O82" s="2" t="inlineStr">
        <is>
          <t>本科</t>
        </is>
      </c>
      <c r="P82" s="2" t="inlineStr">
        <is>
          <t>海外事业部</t>
        </is>
      </c>
      <c r="Q82" s="2" t="inlineStr">
        <is>
          <t>沈宗豪</t>
        </is>
      </c>
      <c r="R82" s="2" t="inlineStr">
        <is>
          <t>男</t>
        </is>
      </c>
      <c r="S82" s="2" t="inlineStr">
        <is>
          <t>2022-08-01</t>
        </is>
      </c>
      <c r="T82" s="2" t="inlineStr">
        <is>
          <t>技术助理(二)</t>
        </is>
      </c>
      <c r="U82" s="2" t="inlineStr">
        <is>
          <t>扬州大学广陵学院</t>
        </is>
      </c>
      <c r="V82" s="2" t="inlineStr">
        <is>
          <t>机制</t>
        </is>
      </c>
      <c r="W82" s="2" t="inlineStr">
        <is>
          <t>本科</t>
        </is>
      </c>
      <c r="X82" s="2" t="inlineStr">
        <is>
          <t>C.拖沓被动：需要主管反复催促，才能勉强按时交差。</t>
        </is>
      </c>
      <c r="Y82" s="2" t="inlineStr">
        <is>
          <t>C.看心情/状态：状态好时不错，状态差时漏洞百出。</t>
        </is>
      </c>
      <c r="Z82" s="2" t="inlineStr">
        <is>
          <t>C.正常跟进：需要主管盯着节点、偶尔提醒进度，或者在跑偏时帮着拽回来。</t>
        </is>
      </c>
      <c r="AA82" s="2" t="inlineStr">
        <is>
          <t>C.只知其一：只知道自己怎么操作，不知道为什么要这么做。</t>
        </is>
      </c>
      <c r="AB82" s="2" t="inlineStr">
        <is>
          <t>B.尽力而为：能解决大部分问题，解决不了的会及时求助。</t>
        </is>
      </c>
      <c r="AC82" s="2" t="inlineStr">
        <is>
          <t>B.基本合规：偶尔迟到或忘打卡，提醒后能迅速改正。</t>
        </is>
      </c>
      <c r="AD82" s="2" t="inlineStr">
        <is>
          <t>C.照章办事：给多少干多少，完全按老规矩来，从不思考变革</t>
        </is>
      </c>
      <c r="AE82" s="2" t="inlineStr">
        <is>
          <t>C.沟通被动：你不催他不去，去了也带不回明确结果。</t>
        </is>
      </c>
      <c r="AF82" s="2" t="inlineStr">
        <is>
          <t>B.有问有答：问到时能说清楚进度，基本能做到及时反馈。</t>
        </is>
      </c>
      <c r="AG82" s="2" t="inlineStr">
        <is>
          <t>C.旁观者：不关心团队，只关心自己的工作。</t>
        </is>
      </c>
      <c r="AH82" s="2" t="inlineStr">
        <is>
          <t>C.闷头苦干：效率极低也不求助，最后事情耽误在手里。</t>
        </is>
      </c>
      <c r="AI82" s="2" t="inlineStr">
        <is>
          <t>C. 守好地盘：只管自己那一块，多一点都不想碰。</t>
        </is>
      </c>
      <c r="AJ82" s="2" t="inlineStr">
        <is>
          <t>D.情绪波动：压力大时容易抱怨或发牢骚，甚至影响他人。</t>
        </is>
      </c>
      <c r="AK82" s="2" t="inlineStr">
        <is>
          <t>B.照单全收：态度很好，虽然不一定完全理解，但会按要求改。</t>
        </is>
      </c>
      <c r="AL82" s="2" t="inlineStr">
        <is>
          <t>C.慢工细活：需要反复教，掌握过程比较吃力。</t>
        </is>
      </c>
      <c r="AM82" s="2" t="inlineStr">
        <is>
          <t>C.技能私有：自己干得好也愿意分享，但是不会总结或讲不出来。</t>
        </is>
      </c>
      <c r="AN82" s="2" t="inlineStr">
        <is>
          <t>C.中规中矩：刚好达标，替代性较强。</t>
        </is>
      </c>
      <c r="AO82" s="2" t="inlineStr">
        <is>
          <t>C.熟练工：能胜任重复性工作，但很难承担更高阶的挑战。</t>
        </is>
      </c>
      <c r="AP82" s="2" t="inlineStr">
        <is>
          <t>C.正常更替：走就走吧，招个新人培养一下也没什么区别。</t>
        </is>
      </c>
      <c r="AQ82" s="2" t="inlineStr">
        <is>
          <t>E</t>
        </is>
      </c>
      <c r="AR82" s="2" t="inlineStr">
        <is>
          <t>D</t>
        </is>
      </c>
      <c r="AS82" s="2" t="inlineStr">
        <is>
          <t>不一致</t>
        </is>
      </c>
      <c r="AT82" s="2" t="inlineStr">
        <is>
          <t>D</t>
        </is>
      </c>
      <c r="AU82" s="2" t="inlineStr">
        <is>
          <t>3档</t>
        </is>
      </c>
      <c r="AV82" s="3" t="n">
        <v>5000</v>
      </c>
      <c r="AW82" s="3" t="n">
        <v>4000</v>
      </c>
      <c r="AX82" s="3" t="n">
        <v>6000</v>
      </c>
      <c r="AY82" s="2" t="inlineStr">
        <is>
          <t>无对照</t>
        </is>
      </c>
      <c r="AZ82" s="2" t="inlineStr">
        <is>
          <t>现在部门投标需要一个编制计划的人员，因暂无合适之人，该员工后面要重点培训他计划编制能力，力争能够胜任这一岗位。</t>
        </is>
      </c>
      <c r="BA82" s="7" t="n">
        <v>2</v>
      </c>
      <c r="BB82" s="7" t="n">
        <v>2</v>
      </c>
      <c r="BC82" s="7" t="n">
        <v>3</v>
      </c>
      <c r="BD82" s="7" t="n">
        <v>2</v>
      </c>
      <c r="BE82" s="7" t="n">
        <v>4</v>
      </c>
      <c r="BF82" s="7" t="n">
        <v>3.5</v>
      </c>
      <c r="BG82" s="7" t="n">
        <v>3</v>
      </c>
      <c r="BH82" s="7" t="n">
        <v>1</v>
      </c>
      <c r="BI82" s="7" t="n">
        <v>4</v>
      </c>
      <c r="BJ82" s="7" t="n">
        <v>2</v>
      </c>
      <c r="BK82" s="7" t="n">
        <v>1</v>
      </c>
      <c r="BL82" s="7" t="n">
        <v>3</v>
      </c>
      <c r="BM82" s="7" t="n">
        <v>1</v>
      </c>
      <c r="BN82" s="7" t="n">
        <v>1</v>
      </c>
      <c r="BO82" s="7" t="n">
        <v>3</v>
      </c>
      <c r="BP82" s="7" t="n">
        <v>2</v>
      </c>
      <c r="BQ82" s="7" t="n">
        <v>2</v>
      </c>
      <c r="BR82" s="7" t="n">
        <v>3</v>
      </c>
      <c r="BS82" s="7" t="n">
        <v>3</v>
      </c>
      <c r="BT82" s="7" t="n">
        <v>3</v>
      </c>
      <c r="BU82" s="7" t="n">
        <v>48.5</v>
      </c>
      <c r="BV82" s="2" t="inlineStr">
        <is>
          <t>A.需要存在，不可去除</t>
        </is>
      </c>
      <c r="BW82" s="2" t="inlineStr">
        <is>
          <t>无</t>
        </is>
      </c>
      <c r="BX82" s="2" t="inlineStr">
        <is>
          <t>无</t>
        </is>
      </c>
      <c r="BY82" s="6">
        <f>HYPERLINK("https://www.h3yun.com/Form/Attachments/?schemacode=D148357733993cc00c048ad9898e53f5f82cbb9&amp;bizObjectId=f8d9fa24-5e4d-4dec-88e1-be25788176e7&amp;name=F0000016","点击查看")</f>
        <v>0</v>
      </c>
      <c r="BZ82" s="2" t="inlineStr">
        <is>
          <t>2026-05-15 20:04:08</t>
        </is>
      </c>
      <c r="CA82" s="2" t="inlineStr">
        <is>
          <t>D</t>
        </is>
      </c>
      <c r="CB82" s="2" t="inlineStr">
        <is>
          <t>已提交</t>
        </is>
      </c>
      <c r="CC82" s="2" t="inlineStr">
        <is>
          <t>无</t>
        </is>
      </c>
      <c r="CD82" s="2" t="inlineStr">
        <is>
          <t>无</t>
        </is>
      </c>
      <c r="CE82" s="2" t="inlineStr">
        <is>
          <t>无</t>
        </is>
      </c>
      <c r="CF82" s="2"/>
      <c r="CG82" s="2" t="inlineStr">
        <is>
          <t>320982200011231774</t>
        </is>
      </c>
      <c r="CH82" s="2" t="inlineStr">
        <is>
          <t>已生效</t>
        </is>
      </c>
      <c r="CI82" s="2"/>
      <c r="CJ82" s="2"/>
      <c r="CK82" s="2"/>
      <c r="CL82" s="2"/>
      <c r="CM82" s="2"/>
      <c r="CN82" s="2"/>
      <c r="CO82" s="2"/>
      <c r="CP82" s="2"/>
    </row>
    <row r="83">
      <c r="A83" s="2" t="inlineStr">
        <is>
          <t>dff4939c-fbcf-4523-9f81-9c7fcca7d41e</t>
        </is>
      </c>
      <c r="B83" s="2" t="inlineStr">
        <is>
          <t>C.均衡，工作负荷一般，按部就班完成工作，除了突发时间几乎不用加班</t>
        </is>
      </c>
      <c r="C83" s="2" t="inlineStr">
        <is>
          <t>海外事业部    王霞    女    王胡玲</t>
        </is>
      </c>
      <c r="D83" s="2" t="inlineStr">
        <is>
          <t>Anonymous</t>
        </is>
      </c>
      <c r="E83" s="2" t="inlineStr">
        <is>
          <t>Anonymous</t>
        </is>
      </c>
      <c r="F83" s="2"/>
      <c r="G83" s="2" t="inlineStr">
        <is>
          <t>2026-05-25 10:56:15</t>
        </is>
      </c>
      <c r="H83" s="2" t="inlineStr">
        <is>
          <t>王胡玲</t>
        </is>
      </c>
      <c r="I83" s="2" t="inlineStr">
        <is>
          <t>340826198504185822</t>
        </is>
      </c>
      <c r="J83" s="2" t="inlineStr">
        <is>
          <t>女</t>
        </is>
      </c>
      <c r="K83" s="2" t="inlineStr">
        <is>
          <t>海外事业部</t>
        </is>
      </c>
      <c r="L83" s="2" t="inlineStr">
        <is>
          <t>2009-08-25</t>
        </is>
      </c>
      <c r="M83" s="2" t="inlineStr">
        <is>
          <t>安徽建筑工业学院</t>
        </is>
      </c>
      <c r="N83" s="2" t="inlineStr">
        <is>
          <t>翻译</t>
        </is>
      </c>
      <c r="O83" s="2" t="inlineStr">
        <is>
          <t>本科</t>
        </is>
      </c>
      <c r="P83" s="2" t="inlineStr">
        <is>
          <t>海外事业部</t>
        </is>
      </c>
      <c r="Q83" s="2" t="inlineStr">
        <is>
          <t>王霞</t>
        </is>
      </c>
      <c r="R83" s="2" t="inlineStr">
        <is>
          <t>女</t>
        </is>
      </c>
      <c r="S83" s="2" t="inlineStr">
        <is>
          <t>2019-06-01</t>
        </is>
      </c>
      <c r="T83" s="2" t="inlineStr">
        <is>
          <t>专业工程师</t>
        </is>
      </c>
      <c r="U83" s="2" t="inlineStr">
        <is>
          <t>牡丹江大学</t>
        </is>
      </c>
      <c r="V83" s="2" t="inlineStr">
        <is>
          <t>翻译</t>
        </is>
      </c>
      <c r="W83" s="2" t="inlineStr">
        <is>
          <t>本科</t>
        </is>
      </c>
      <c r="X83" s="2" t="inlineStr">
        <is>
          <t>C.拖沓被动：需要主管反复催促，才能勉强按时交差。</t>
        </is>
      </c>
      <c r="Y83" s="2" t="inlineStr">
        <is>
          <t>B.基本稳定：偶有小瑕疵，但不影响整体使用。</t>
        </is>
      </c>
      <c r="Z83" s="2" t="inlineStr">
        <is>
          <t>B.比较省心：只需定期同步一下进度，不需要主管盯着细节，能独立把事情办成。</t>
        </is>
      </c>
      <c r="AA83" s="2" t="inlineStr">
        <is>
          <t>A.全局视野：了解上下游，能站在全业务链条考虑问题。</t>
        </is>
      </c>
      <c r="AB83" s="2" t="inlineStr">
        <is>
          <t>C.容易放弃：尝试一下发现不行，就停在那等着主管给方案。</t>
        </is>
      </c>
      <c r="AC83" s="2" t="inlineStr">
        <is>
          <t>A.模范标兵：严于律己，从未在琐事上让主管费心。</t>
        </is>
      </c>
      <c r="AD83" s="2" t="inlineStr">
        <is>
          <t>B.偶尔思考：在主管启发下，能提出一些优化想法</t>
        </is>
      </c>
      <c r="AE83" s="2" t="inlineStr">
        <is>
          <t>A.推进力极强：能搞定不同性格的人，让对方配合。</t>
        </is>
      </c>
      <c r="AF83" s="2" t="inlineStr">
        <is>
          <t>B.有问有答：问到时能说清楚进度，基本能做到及时反馈。</t>
        </is>
      </c>
      <c r="AG83" s="2" t="inlineStr">
        <is>
          <t>B.稳定器：做好自己，不给团队添乱，是可靠的一员。</t>
        </is>
      </c>
      <c r="AH83" s="2" t="inlineStr">
        <is>
          <t>B.懂得求助：在尝试后会及时向主管或同事反馈，寻求资源支持。</t>
        </is>
      </c>
      <c r="AI83" s="2" t="inlineStr">
        <is>
          <t>B. 配合接受：主管安排了就干，不推辞。</t>
        </is>
      </c>
      <c r="AJ83" s="2" t="inlineStr">
        <is>
          <t>C.较为配合：不抱怨，但压力较大时，工作质量会随之下滑。</t>
        </is>
      </c>
      <c r="AK83" s="2" t="inlineStr">
        <is>
          <t>B.照单全收：态度很好，虽然不一定完全理解，但会按要求改。</t>
        </is>
      </c>
      <c r="AL83" s="2" t="inlineStr">
        <is>
          <t>A.极速掌握：自学能力极强，很快就能成为该领域的“百晓生”。</t>
        </is>
      </c>
      <c r="AM83" s="2" t="inlineStr">
        <is>
          <t>C.技能私有：自己干得好也愿意分享，但是不会总结或讲不出来。</t>
        </is>
      </c>
      <c r="AN83" s="2" t="inlineStr">
        <is>
          <t>C.中规中矩：刚好达标，替代性较强。</t>
        </is>
      </c>
      <c r="AO83" s="2" t="inlineStr">
        <is>
          <t>C.熟练工：能胜任重复性工作，但很难承担更高阶的挑战。</t>
        </is>
      </c>
      <c r="AP83" s="2" t="inlineStr">
        <is>
          <t>C.正常更替：走就走吧，招个新人培养一下也没什么区别。</t>
        </is>
      </c>
      <c r="AQ83" s="2" t="inlineStr">
        <is>
          <t>B</t>
        </is>
      </c>
      <c r="AR83" s="2" t="inlineStr">
        <is>
          <t>B</t>
        </is>
      </c>
      <c r="AS83" s="2" t="inlineStr">
        <is>
          <t>一致</t>
        </is>
      </c>
      <c r="AT83" s="2" t="inlineStr">
        <is>
          <t>B</t>
        </is>
      </c>
      <c r="AU83" s="2" t="inlineStr">
        <is>
          <t>2档</t>
        </is>
      </c>
      <c r="AV83" s="3" t="n">
        <v>7800</v>
      </c>
      <c r="AW83" s="3" t="n">
        <v>6240</v>
      </c>
      <c r="AX83" s="3" t="n">
        <v>9360</v>
      </c>
      <c r="AY83" s="2" t="inlineStr">
        <is>
          <t>C</t>
        </is>
      </c>
      <c r="AZ83" s="2" t="inlineStr">
        <is>
          <t>该员工是团队中稳定可靠的基础力量，具备良好的工作态度与协作意识，能支撑岗位常规工作开展。</t>
        </is>
      </c>
      <c r="BA83" s="7" t="n">
        <v>2</v>
      </c>
      <c r="BB83" s="7" t="n">
        <v>4</v>
      </c>
      <c r="BC83" s="7" t="n">
        <v>4</v>
      </c>
      <c r="BD83" s="7" t="n">
        <v>5</v>
      </c>
      <c r="BE83" s="7" t="n">
        <v>2</v>
      </c>
      <c r="BF83" s="7" t="n">
        <v>5</v>
      </c>
      <c r="BG83" s="7" t="n">
        <v>4</v>
      </c>
      <c r="BH83" s="7" t="n">
        <v>5</v>
      </c>
      <c r="BI83" s="7" t="n">
        <v>4</v>
      </c>
      <c r="BJ83" s="7" t="n">
        <v>4</v>
      </c>
      <c r="BK83" s="7" t="n">
        <v>3</v>
      </c>
      <c r="BL83" s="7" t="n">
        <v>4</v>
      </c>
      <c r="BM83" s="7" t="n">
        <v>3</v>
      </c>
      <c r="BN83" s="7" t="n">
        <v>3</v>
      </c>
      <c r="BO83" s="7" t="n">
        <v>3</v>
      </c>
      <c r="BP83" s="7" t="n">
        <v>5</v>
      </c>
      <c r="BQ83" s="7" t="n">
        <v>2</v>
      </c>
      <c r="BR83" s="7" t="n">
        <v>3</v>
      </c>
      <c r="BS83" s="7" t="n">
        <v>3</v>
      </c>
      <c r="BT83" s="7" t="n">
        <v>3</v>
      </c>
      <c r="BU83" s="7" t="n">
        <v>71</v>
      </c>
      <c r="BV83" s="2" t="inlineStr">
        <is>
          <t>A.需要存在，不可去除</t>
        </is>
      </c>
      <c r="BW83" s="2"/>
      <c r="BX83" s="2"/>
      <c r="BY83" s="6">
        <f>HYPERLINK("https://www.h3yun.com/Form/Attachments/?schemacode=D148357733993cc00c048ad9898e53f5f82cbb9&amp;bizObjectId=dff4939c-fbcf-4523-9f81-9c7fcca7d41e&amp;name=F0000016","点击查看")</f>
        <v>0</v>
      </c>
      <c r="BZ83" s="2" t="inlineStr">
        <is>
          <t>2026-05-15 18:27:13</t>
        </is>
      </c>
      <c r="CA83" s="2" t="inlineStr">
        <is>
          <t>B</t>
        </is>
      </c>
      <c r="CB83" s="2" t="inlineStr">
        <is>
          <t>已提交</t>
        </is>
      </c>
      <c r="CC83" s="2" t="inlineStr">
        <is>
          <t>助理工程师</t>
        </is>
      </c>
      <c r="CD83" s="2" t="inlineStr">
        <is>
          <t>中级经济师</t>
        </is>
      </c>
      <c r="CE83" s="2" t="inlineStr">
        <is>
          <t>无</t>
        </is>
      </c>
      <c r="CF83" s="2"/>
      <c r="CG83" s="2" t="inlineStr">
        <is>
          <t>142201198710099022</t>
        </is>
      </c>
      <c r="CH83" s="2" t="inlineStr">
        <is>
          <t>已生效</t>
        </is>
      </c>
      <c r="CI83" s="2" t="inlineStr">
        <is>
          <t>5080cc27-c0ac-4b6c-a2d6-3bae135d51ab</t>
        </is>
      </c>
      <c r="CJ83" s="3" t="n">
        <v>1</v>
      </c>
      <c r="CK83" s="2" t="inlineStr">
        <is>
          <t>近三年至少担任过一个合同额1000万元以上项目相应岗位的主管</t>
        </is>
      </c>
      <c r="CL83" s="2" t="inlineStr">
        <is>
          <t>近三年至少担任过一个合同额1000万元以上项目相应岗位的主管</t>
        </is>
      </c>
      <c r="CM83" s="2" t="inlineStr">
        <is>
          <t>南化建司劳2017-1号文-南京南化建设有限公司施工一线专业序列人员分级管理规定</t>
        </is>
      </c>
      <c r="CN83" s="2" t="inlineStr">
        <is>
          <t>第三章第3条C类</t>
        </is>
      </c>
      <c r="CO83" s="2"/>
      <c r="CP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t="inlineStr">
        <is>
          <t>53e79d14-3c8c-41eb-b458-e124da289d09</t>
        </is>
      </c>
      <c r="CJ84" s="3" t="n">
        <v>2</v>
      </c>
      <c r="CK84" s="2" t="inlineStr">
        <is>
          <t>公司二级单位或公司职能部门推荐</t>
        </is>
      </c>
      <c r="CL84" s="2" t="inlineStr">
        <is>
          <t>公司二级单位或公司职能部门推荐</t>
        </is>
      </c>
      <c r="CM84" s="2" t="inlineStr">
        <is>
          <t>南化建司劳2017-1号文-南京南化建设有限公司施工一线专业序列人员分级管理规定</t>
        </is>
      </c>
      <c r="CN84" s="2" t="inlineStr">
        <is>
          <t>第三章第3条C类</t>
        </is>
      </c>
      <c r="CO84" s="2"/>
      <c r="CP84" s="2"/>
    </row>
    <row r="85">
      <c r="A85" s="2" t="inlineStr">
        <is>
          <t>4d9b379d-f86d-49c5-9017-2572835cf52c</t>
        </is>
      </c>
      <c r="B85" s="2" t="inlineStr">
        <is>
          <t>C.均衡，工作负荷一般，按部就班完成工作，除了突发时间几乎不用加班</t>
        </is>
      </c>
      <c r="C85" s="2" t="inlineStr">
        <is>
          <t>海外事业部    周明珠    女    王胡玲</t>
        </is>
      </c>
      <c r="D85" s="2" t="inlineStr">
        <is>
          <t>Anonymous</t>
        </is>
      </c>
      <c r="E85" s="2" t="inlineStr">
        <is>
          <t>Anonymous</t>
        </is>
      </c>
      <c r="F85" s="2"/>
      <c r="G85" s="2" t="inlineStr">
        <is>
          <t>2026-05-25 10:56:15</t>
        </is>
      </c>
      <c r="H85" s="2" t="inlineStr">
        <is>
          <t>王胡玲</t>
        </is>
      </c>
      <c r="I85" s="2" t="inlineStr">
        <is>
          <t>340826198504185822</t>
        </is>
      </c>
      <c r="J85" s="2" t="inlineStr">
        <is>
          <t>女</t>
        </is>
      </c>
      <c r="K85" s="2" t="inlineStr">
        <is>
          <t>海外事业部</t>
        </is>
      </c>
      <c r="L85" s="2" t="inlineStr">
        <is>
          <t>2009-08-25</t>
        </is>
      </c>
      <c r="M85" s="2" t="inlineStr">
        <is>
          <t>安徽建筑工业学院</t>
        </is>
      </c>
      <c r="N85" s="2" t="inlineStr">
        <is>
          <t>翻译</t>
        </is>
      </c>
      <c r="O85" s="2" t="inlineStr">
        <is>
          <t>本科</t>
        </is>
      </c>
      <c r="P85" s="2" t="inlineStr">
        <is>
          <t>海外事业部</t>
        </is>
      </c>
      <c r="Q85" s="2" t="inlineStr">
        <is>
          <t>周明珠</t>
        </is>
      </c>
      <c r="R85" s="2" t="inlineStr">
        <is>
          <t>女</t>
        </is>
      </c>
      <c r="S85" s="2" t="inlineStr">
        <is>
          <t>2017-10-01</t>
        </is>
      </c>
      <c r="T85" s="2" t="inlineStr">
        <is>
          <t>专业工程师</t>
        </is>
      </c>
      <c r="U85" s="2" t="inlineStr">
        <is>
          <t>江西师范大学</t>
        </is>
      </c>
      <c r="V85" s="2" t="inlineStr">
        <is>
          <t>翻译</t>
        </is>
      </c>
      <c r="W85" s="2" t="inlineStr">
        <is>
          <t>本科</t>
        </is>
      </c>
      <c r="X85" s="2" t="inlineStr">
        <is>
          <t>B.按时推进：基本能卡着时间点完成，不掉链子。</t>
        </is>
      </c>
      <c r="Y85" s="2" t="inlineStr">
        <is>
          <t>B.基本稳定：偶有小瑕疵，但不影响整体使用。</t>
        </is>
      </c>
      <c r="Z85" s="2" t="inlineStr">
        <is>
          <t>C.正常跟进：需要主管盯着节点、偶尔提醒进度，或者在跑偏时帮着拽回来。</t>
        </is>
      </c>
      <c r="AA85" s="2" t="inlineStr">
        <is>
          <t>A.全局视野：了解上下游，能站在全业务链条考虑问题。</t>
        </is>
      </c>
      <c r="AB85" s="2" t="inlineStr">
        <is>
          <t>B.尽力而为：能解决大部分问题，解决不了的会及时求助。</t>
        </is>
      </c>
      <c r="AC85" s="2" t="inlineStr">
        <is>
          <t>A.模范标兵：严于律己，从未在琐事上让主管费心。</t>
        </is>
      </c>
      <c r="AD85" s="2" t="inlineStr">
        <is>
          <t>C.照章办事：给多少干多少，完全按老规矩来，从不思考变革</t>
        </is>
      </c>
      <c r="AE85" s="2" t="inlineStr">
        <is>
          <t>B.正常沟通：能清晰表达需求，维持基本的协作。</t>
        </is>
      </c>
      <c r="AF85" s="2" t="inlineStr">
        <is>
          <t>A.完美闭环：进展、难点、结果都会主动汇报，无需催促。</t>
        </is>
      </c>
      <c r="AG85" s="2" t="inlineStr">
        <is>
          <t>B.稳定器：做好自己，不给团队添乱，是可靠的一员。</t>
        </is>
      </c>
      <c r="AH85" s="2" t="inlineStr">
        <is>
          <t>B.懂得求助：在尝试后会及时向主管或同事反馈，寻求资源支持。</t>
        </is>
      </c>
      <c r="AI85" s="2" t="inlineStr">
        <is>
          <t>B. 配合接受：主管安排了就干，不推辞。</t>
        </is>
      </c>
      <c r="AJ85" s="2" t="inlineStr">
        <is>
          <t>C.较为配合：不抱怨，但压力较大时，工作质量会随之下滑。</t>
        </is>
      </c>
      <c r="AK85" s="2" t="inlineStr">
        <is>
          <t>B.照单全收：态度很好，虽然不一定完全理解，但会按要求改。</t>
        </is>
      </c>
      <c r="AL85" s="2" t="inlineStr">
        <is>
          <t>B.正常上手：经过简单培训或指导，能很快投入应用。</t>
        </is>
      </c>
      <c r="AM85" s="2" t="inlineStr">
        <is>
          <t>C.技能私有：自己干得好也愿意分享，但是不会总结或讲不出来。</t>
        </is>
      </c>
      <c r="AN85" s="2" t="inlineStr">
        <is>
          <t>C.中规中矩：刚好达标，替代性较强。</t>
        </is>
      </c>
      <c r="AO85" s="2" t="inlineStr">
        <is>
          <t>C.熟练工：能胜任重复性工作，但很难承担更高阶的挑战。</t>
        </is>
      </c>
      <c r="AP85" s="2" t="inlineStr">
        <is>
          <t>C.正常更替：走就走吧，招个新人培养一下也没什么区别。</t>
        </is>
      </c>
      <c r="AQ85" s="2" t="inlineStr">
        <is>
          <t>B</t>
        </is>
      </c>
      <c r="AR85" s="2" t="inlineStr">
        <is>
          <t>B</t>
        </is>
      </c>
      <c r="AS85" s="2" t="inlineStr">
        <is>
          <t>一致</t>
        </is>
      </c>
      <c r="AT85" s="2" t="inlineStr">
        <is>
          <t>B</t>
        </is>
      </c>
      <c r="AU85" s="2" t="inlineStr">
        <is>
          <t>2档</t>
        </is>
      </c>
      <c r="AV85" s="3" t="n">
        <v>7800</v>
      </c>
      <c r="AW85" s="3" t="n">
        <v>6240</v>
      </c>
      <c r="AX85" s="3" t="n">
        <v>9360</v>
      </c>
      <c r="AY85" s="2" t="inlineStr">
        <is>
          <t>C</t>
        </is>
      </c>
      <c r="AZ85" s="2" t="inlineStr">
        <is>
          <t>该员工是团队中稳定可靠的基础力量，具备良好的工作态度与协作意识，能支撑岗位常规工作开展。</t>
        </is>
      </c>
      <c r="BA85" s="7" t="n">
        <v>3</v>
      </c>
      <c r="BB85" s="7" t="n">
        <v>4</v>
      </c>
      <c r="BC85" s="7" t="n">
        <v>3</v>
      </c>
      <c r="BD85" s="7" t="n">
        <v>5</v>
      </c>
      <c r="BE85" s="7" t="n">
        <v>4</v>
      </c>
      <c r="BF85" s="7" t="n">
        <v>5</v>
      </c>
      <c r="BG85" s="7" t="n">
        <v>3</v>
      </c>
      <c r="BH85" s="7" t="n">
        <v>3.5</v>
      </c>
      <c r="BI85" s="7" t="n">
        <v>5</v>
      </c>
      <c r="BJ85" s="7" t="n">
        <v>4</v>
      </c>
      <c r="BK85" s="7" t="n">
        <v>3</v>
      </c>
      <c r="BL85" s="7" t="n">
        <v>4</v>
      </c>
      <c r="BM85" s="7" t="n">
        <v>3</v>
      </c>
      <c r="BN85" s="7" t="n">
        <v>3</v>
      </c>
      <c r="BO85" s="7" t="n">
        <v>3</v>
      </c>
      <c r="BP85" s="7" t="n">
        <v>4</v>
      </c>
      <c r="BQ85" s="7" t="n">
        <v>2</v>
      </c>
      <c r="BR85" s="7" t="n">
        <v>3</v>
      </c>
      <c r="BS85" s="7" t="n">
        <v>3</v>
      </c>
      <c r="BT85" s="7" t="n">
        <v>3</v>
      </c>
      <c r="BU85" s="7" t="n">
        <v>70.5</v>
      </c>
      <c r="BV85" s="2" t="inlineStr">
        <is>
          <t>A.需要存在，不可去除</t>
        </is>
      </c>
      <c r="BW85" s="2"/>
      <c r="BX85" s="2"/>
      <c r="BY85" s="6">
        <f>HYPERLINK("https://www.h3yun.com/Form/Attachments/?schemacode=D148357733993cc00c048ad9898e53f5f82cbb9&amp;bizObjectId=4d9b379d-f86d-49c5-9017-2572835cf52c&amp;name=F0000016","点击查看")</f>
        <v>0</v>
      </c>
      <c r="BZ85" s="2" t="inlineStr">
        <is>
          <t>2026-05-15 18:21:09</t>
        </is>
      </c>
      <c r="CA85" s="2" t="inlineStr">
        <is>
          <t>B</t>
        </is>
      </c>
      <c r="CB85" s="2" t="inlineStr">
        <is>
          <t>已提交</t>
        </is>
      </c>
      <c r="CC85" s="2" t="inlineStr">
        <is>
          <t>助理工程师</t>
        </is>
      </c>
      <c r="CD85" s="2" t="inlineStr">
        <is>
          <t>二建，中级经济师</t>
        </is>
      </c>
      <c r="CE85" s="2" t="inlineStr">
        <is>
          <t>无</t>
        </is>
      </c>
      <c r="CF85" s="2"/>
      <c r="CG85" s="2" t="inlineStr">
        <is>
          <t>362323198701194524</t>
        </is>
      </c>
      <c r="CH85" s="2" t="inlineStr">
        <is>
          <t>已生效</t>
        </is>
      </c>
      <c r="CI85" s="2" t="inlineStr">
        <is>
          <t>d89c03fd-99f2-48ed-8887-43c3ec7ff213</t>
        </is>
      </c>
      <c r="CJ85" s="3" t="n">
        <v>1</v>
      </c>
      <c r="CK85" s="2" t="inlineStr">
        <is>
          <t>近三年至少担任过一个合同额1000万元以上项目相应岗位的主管</t>
        </is>
      </c>
      <c r="CL85" s="2" t="inlineStr">
        <is>
          <t>近三年至少担任过一个合同额1000万元以上项目相应岗位的主管</t>
        </is>
      </c>
      <c r="CM85" s="2" t="inlineStr">
        <is>
          <t>南化建司劳2017-1号文-南京南化建设有限公司施工一线专业序列人员分级管理规定</t>
        </is>
      </c>
      <c r="CN85" s="2" t="inlineStr">
        <is>
          <t>第三章第3条C类</t>
        </is>
      </c>
      <c r="CO85" s="2"/>
      <c r="CP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t="inlineStr">
        <is>
          <t>51f9f601-1eb0-47be-91dc-5746e4538ec6</t>
        </is>
      </c>
      <c r="CJ86" s="3" t="n">
        <v>2</v>
      </c>
      <c r="CK86" s="2" t="inlineStr">
        <is>
          <t>公司二级单位或公司职能部门推荐</t>
        </is>
      </c>
      <c r="CL86" s="2" t="inlineStr">
        <is>
          <t>公司二级单位或公司职能部门推荐</t>
        </is>
      </c>
      <c r="CM86" s="2" t="inlineStr">
        <is>
          <t>南化建司劳2017-1号文-南京南化建设有限公司施工一线专业序列人员分级管理规定</t>
        </is>
      </c>
      <c r="CN86" s="2" t="inlineStr">
        <is>
          <t>第三章第3条C类</t>
        </is>
      </c>
      <c r="CO86" s="2"/>
      <c r="CP86" s="2"/>
    </row>
    <row r="87">
      <c r="A87" s="2" t="inlineStr">
        <is>
          <t>d789e1d7-0513-41a3-9e06-1e80fb413de1</t>
        </is>
      </c>
      <c r="B87" s="2" t="inlineStr">
        <is>
          <t>B.满负荷，平时工作就很忙，偶尔因为非突发时间也要加班</t>
        </is>
      </c>
      <c r="C87" s="2" t="inlineStr">
        <is>
          <t>海外事业部    韩丰萍    女    王胡玲</t>
        </is>
      </c>
      <c r="D87" s="2" t="inlineStr">
        <is>
          <t>Anonymous</t>
        </is>
      </c>
      <c r="E87" s="2" t="inlineStr">
        <is>
          <t>Anonymous</t>
        </is>
      </c>
      <c r="F87" s="2"/>
      <c r="G87" s="2" t="inlineStr">
        <is>
          <t>2026-05-25 10:56:15</t>
        </is>
      </c>
      <c r="H87" s="2" t="inlineStr">
        <is>
          <t>王胡玲</t>
        </is>
      </c>
      <c r="I87" s="2" t="inlineStr">
        <is>
          <t>340826198504185822</t>
        </is>
      </c>
      <c r="J87" s="2" t="inlineStr">
        <is>
          <t>女</t>
        </is>
      </c>
      <c r="K87" s="2" t="inlineStr">
        <is>
          <t>海外事业部</t>
        </is>
      </c>
      <c r="L87" s="2" t="inlineStr">
        <is>
          <t>2009-08-25</t>
        </is>
      </c>
      <c r="M87" s="2" t="inlineStr">
        <is>
          <t>安徽建筑工业学院</t>
        </is>
      </c>
      <c r="N87" s="2" t="inlineStr">
        <is>
          <t>翻译</t>
        </is>
      </c>
      <c r="O87" s="2" t="inlineStr">
        <is>
          <t>本科</t>
        </is>
      </c>
      <c r="P87" s="2" t="inlineStr">
        <is>
          <t>海外事业部</t>
        </is>
      </c>
      <c r="Q87" s="2" t="inlineStr">
        <is>
          <t>韩丰萍</t>
        </is>
      </c>
      <c r="R87" s="2" t="inlineStr">
        <is>
          <t>女</t>
        </is>
      </c>
      <c r="S87" s="2" t="inlineStr">
        <is>
          <t>2004-08-03</t>
        </is>
      </c>
      <c r="T87" s="2" t="inlineStr">
        <is>
          <t>业务主管</t>
        </is>
      </c>
      <c r="U87" s="2" t="inlineStr">
        <is>
          <t>南京林业大学</t>
        </is>
      </c>
      <c r="V87" s="2" t="inlineStr">
        <is>
          <t>翻译</t>
        </is>
      </c>
      <c r="W87" s="2" t="inlineStr">
        <is>
          <t>本科</t>
        </is>
      </c>
      <c r="X87" s="2" t="inlineStr">
        <is>
          <t>B.按时推进：基本能卡着时间点完成，不掉链子。</t>
        </is>
      </c>
      <c r="Y87" s="2" t="inlineStr">
        <is>
          <t>B.基本稳定：偶有小瑕疵，但不影响整体使用。</t>
        </is>
      </c>
      <c r="Z87" s="2" t="inlineStr">
        <is>
          <t>C.正常跟进：需要主管盯着节点、偶尔提醒进度，或者在跑偏时帮着拽回来。</t>
        </is>
      </c>
      <c r="AA87" s="2" t="inlineStr">
        <is>
          <t>A.全局视野：了解上下游，能站在全业务链条考虑问题。</t>
        </is>
      </c>
      <c r="AB87" s="2" t="inlineStr">
        <is>
          <t>A.攻坚克难：会想尽一切办法钻研，直至彻底解决。</t>
        </is>
      </c>
      <c r="AC87" s="2" t="inlineStr">
        <is>
          <t>A.模范标兵：严于律己，从未在琐事上让主管费心。</t>
        </is>
      </c>
      <c r="AD87" s="2" t="inlineStr">
        <is>
          <t>C.照章办事：给多少干多少，完全按老规矩来，从不思考变革</t>
        </is>
      </c>
      <c r="AE87" s="2" t="inlineStr">
        <is>
          <t>A.推进力极强：能搞定不同性格的人，让对方配合。</t>
        </is>
      </c>
      <c r="AF87" s="2" t="inlineStr">
        <is>
          <t>B.有问有答：问到时能说清楚进度，基本能做到及时反馈。</t>
        </is>
      </c>
      <c r="AG87" s="2" t="inlineStr">
        <is>
          <t>B.稳定器：做好自己，不给团队添乱，是可靠的一员。</t>
        </is>
      </c>
      <c r="AH87" s="2" t="inlineStr">
        <is>
          <t>B.懂得求助：在尝试后会及时向主管或同事反馈，寻求资源支持。</t>
        </is>
      </c>
      <c r="AI87" s="2" t="inlineStr">
        <is>
          <t>B. 配合接受：主管安排了就干，不推辞。</t>
        </is>
      </c>
      <c r="AJ87" s="2" t="inlineStr">
        <is>
          <t>C.较为配合：不抱怨，但压力较大时，工作质量会随之下滑。</t>
        </is>
      </c>
      <c r="AK87" s="2" t="inlineStr">
        <is>
          <t>A.虚心求教：能听进去，并积极探讨更科学的方法。</t>
        </is>
      </c>
      <c r="AL87" s="2" t="inlineStr">
        <is>
          <t>C.慢工细活：需要反复教，掌握过程比较吃力。</t>
        </is>
      </c>
      <c r="AM87" s="2" t="inlineStr">
        <is>
          <t>C.技能私有：自己干得好也愿意分享，但是不会总结或讲不出来。</t>
        </is>
      </c>
      <c r="AN87" s="2" t="inlineStr">
        <is>
          <t>C.中规中矩：刚好达标，替代性较强。</t>
        </is>
      </c>
      <c r="AO87" s="2" t="inlineStr">
        <is>
          <t>C.熟练工：能胜任重复性工作，但很难承担更高阶的挑战。</t>
        </is>
      </c>
      <c r="AP87" s="2" t="inlineStr">
        <is>
          <t>C.正常更替：走就走吧，招个新人培养一下也没什么区别。</t>
        </is>
      </c>
      <c r="AQ87" s="2" t="inlineStr">
        <is>
          <t>B</t>
        </is>
      </c>
      <c r="AR87" s="2" t="inlineStr">
        <is>
          <t>B</t>
        </is>
      </c>
      <c r="AS87" s="2" t="inlineStr">
        <is>
          <t>一致</t>
        </is>
      </c>
      <c r="AT87" s="2" t="inlineStr">
        <is>
          <t>B</t>
        </is>
      </c>
      <c r="AU87" s="2" t="inlineStr">
        <is>
          <t>3档</t>
        </is>
      </c>
      <c r="AV87" s="3" t="n">
        <v>8000</v>
      </c>
      <c r="AW87" s="3" t="n">
        <v>6400</v>
      </c>
      <c r="AX87" s="3" t="n">
        <v>9600</v>
      </c>
      <c r="AY87" s="2" t="inlineStr">
        <is>
          <t>C</t>
        </is>
      </c>
      <c r="AZ87" s="2" t="inlineStr">
        <is>
          <t>该员工是团队中稳定可靠的基础力量，具备良好的工作态度与协作意识，能支撑岗位常规工作开展。</t>
        </is>
      </c>
      <c r="BA87" s="7" t="n">
        <v>3</v>
      </c>
      <c r="BB87" s="7" t="n">
        <v>4</v>
      </c>
      <c r="BC87" s="7" t="n">
        <v>3</v>
      </c>
      <c r="BD87" s="7" t="n">
        <v>5</v>
      </c>
      <c r="BE87" s="7" t="n">
        <v>5</v>
      </c>
      <c r="BF87" s="7" t="n">
        <v>5</v>
      </c>
      <c r="BG87" s="7" t="n">
        <v>3</v>
      </c>
      <c r="BH87" s="7" t="n">
        <v>5</v>
      </c>
      <c r="BI87" s="7" t="n">
        <v>4</v>
      </c>
      <c r="BJ87" s="7" t="n">
        <v>4</v>
      </c>
      <c r="BK87" s="7" t="n">
        <v>3</v>
      </c>
      <c r="BL87" s="7" t="n">
        <v>4</v>
      </c>
      <c r="BM87" s="7" t="n">
        <v>4</v>
      </c>
      <c r="BN87" s="7" t="n">
        <v>3</v>
      </c>
      <c r="BO87" s="7" t="n">
        <v>5</v>
      </c>
      <c r="BP87" s="7" t="n">
        <v>2</v>
      </c>
      <c r="BQ87" s="7" t="n">
        <v>2</v>
      </c>
      <c r="BR87" s="7" t="n">
        <v>3</v>
      </c>
      <c r="BS87" s="7" t="n">
        <v>3</v>
      </c>
      <c r="BT87" s="7" t="n">
        <v>3</v>
      </c>
      <c r="BU87" s="7" t="n">
        <v>73</v>
      </c>
      <c r="BV87" s="2" t="inlineStr">
        <is>
          <t>A.需要存在，不可去除</t>
        </is>
      </c>
      <c r="BW87" s="2"/>
      <c r="BX87" s="2"/>
      <c r="BY87" s="6">
        <f>HYPERLINK("https://www.h3yun.com/Form/Attachments/?schemacode=D148357733993cc00c048ad9898e53f5f82cbb9&amp;bizObjectId=d789e1d7-0513-41a3-9e06-1e80fb413de1&amp;name=F0000016","点击查看")</f>
        <v>0</v>
      </c>
      <c r="BZ87" s="2" t="inlineStr">
        <is>
          <t>2026-05-15 18:11:28</t>
        </is>
      </c>
      <c r="CA87" s="2" t="inlineStr">
        <is>
          <t>B</t>
        </is>
      </c>
      <c r="CB87" s="2" t="inlineStr">
        <is>
          <t>已提交</t>
        </is>
      </c>
      <c r="CC87" s="2" t="inlineStr">
        <is>
          <t>工程师</t>
        </is>
      </c>
      <c r="CD87" s="2" t="inlineStr">
        <is>
          <t>一建</t>
        </is>
      </c>
      <c r="CE87" s="2" t="inlineStr">
        <is>
          <t>无</t>
        </is>
      </c>
      <c r="CF87" s="2"/>
      <c r="CG87" s="2" t="inlineStr">
        <is>
          <t>320321198004047260</t>
        </is>
      </c>
      <c r="CH87" s="2" t="inlineStr">
        <is>
          <t>已生效</t>
        </is>
      </c>
      <c r="CI87" s="2" t="inlineStr">
        <is>
          <t>813fc792-7c9a-4921-92cb-f7f9a4086ab2</t>
        </is>
      </c>
      <c r="CJ87" s="3" t="n">
        <v>1</v>
      </c>
      <c r="CK87" s="2" t="inlineStr">
        <is>
          <t>近三年至少担任过一个合同额1000万元以上项目相应岗位的主管</t>
        </is>
      </c>
      <c r="CL87" s="2" t="inlineStr">
        <is>
          <t>近三年至少担任过一个合同额1000万元以上项目相应岗位的主管</t>
        </is>
      </c>
      <c r="CM87" s="2" t="inlineStr">
        <is>
          <t>南化建司劳2017-1号文-南京南化建设有限公司施工一线专业序列人员分级管理规定</t>
        </is>
      </c>
      <c r="CN87" s="2" t="inlineStr">
        <is>
          <t>第三章第3条C类</t>
        </is>
      </c>
      <c r="CO87" s="2"/>
      <c r="CP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t="inlineStr">
        <is>
          <t>8305e567-96e9-4ded-827a-9aa25f83eef0</t>
        </is>
      </c>
      <c r="CJ88" s="3" t="n">
        <v>2</v>
      </c>
      <c r="CK88" s="2" t="inlineStr">
        <is>
          <t>公司二级单位或公司职能部门推荐</t>
        </is>
      </c>
      <c r="CL88" s="2" t="inlineStr">
        <is>
          <t>公司二级单位或公司职能部门推荐</t>
        </is>
      </c>
      <c r="CM88" s="2" t="inlineStr">
        <is>
          <t>南化建司劳2017-1号文-南京南化建设有限公司施工一线专业序列人员分级管理规定</t>
        </is>
      </c>
      <c r="CN88" s="2" t="inlineStr">
        <is>
          <t>第三章第3条C类</t>
        </is>
      </c>
      <c r="CO88" s="2"/>
      <c r="CP88" s="2"/>
    </row>
    <row r="89">
      <c r="A89" s="2" t="inlineStr">
        <is>
          <t>7e4af5a0-3333-48bf-9fcf-38ee951cafe3</t>
        </is>
      </c>
      <c r="B89" s="2" t="inlineStr">
        <is>
          <t>B.满负荷，平时工作就很忙，偶尔因为非突发时间也要加班</t>
        </is>
      </c>
      <c r="C89" s="2" t="inlineStr">
        <is>
          <t>合同管理部    艾文娟    女    袁雯雯</t>
        </is>
      </c>
      <c r="D89" s="2" t="inlineStr">
        <is>
          <t>Anonymous</t>
        </is>
      </c>
      <c r="E89" s="2" t="inlineStr">
        <is>
          <t>Anonymous</t>
        </is>
      </c>
      <c r="F89" s="2"/>
      <c r="G89" s="2" t="inlineStr">
        <is>
          <t>2026-05-25 10:56:15</t>
        </is>
      </c>
      <c r="H89" s="2" t="inlineStr">
        <is>
          <t>袁雯雯</t>
        </is>
      </c>
      <c r="I89" s="2" t="inlineStr">
        <is>
          <t>320482198709030803</t>
        </is>
      </c>
      <c r="J89" s="2" t="inlineStr">
        <is>
          <t>女</t>
        </is>
      </c>
      <c r="K89" s="2" t="inlineStr">
        <is>
          <t>合同管理部</t>
        </is>
      </c>
      <c r="L89" s="2" t="inlineStr">
        <is>
          <t>2009-08-24</t>
        </is>
      </c>
      <c r="M89" s="2" t="inlineStr">
        <is>
          <t>南京航空航天大学</t>
        </is>
      </c>
      <c r="N89" s="2" t="inlineStr">
        <is>
          <t>电气</t>
        </is>
      </c>
      <c r="O89" s="2" t="inlineStr">
        <is>
          <t>本科</t>
        </is>
      </c>
      <c r="P89" s="2" t="inlineStr">
        <is>
          <t>合同管理部</t>
        </is>
      </c>
      <c r="Q89" s="2" t="inlineStr">
        <is>
          <t>艾文娟</t>
        </is>
      </c>
      <c r="R89" s="2" t="inlineStr">
        <is>
          <t>女</t>
        </is>
      </c>
      <c r="S89" s="2" t="inlineStr">
        <is>
          <t>2024-08-01</t>
        </is>
      </c>
      <c r="T89" s="2" t="inlineStr">
        <is>
          <t>技术助理(三)</t>
        </is>
      </c>
      <c r="U89" s="2" t="inlineStr">
        <is>
          <t>哈尔滨华德学院</t>
        </is>
      </c>
      <c r="V89" s="2" t="inlineStr">
        <is>
          <t>其他</t>
        </is>
      </c>
      <c r="W89" s="2" t="inlineStr">
        <is>
          <t>本科</t>
        </is>
      </c>
      <c r="X89" s="2" t="inlineStr">
        <is>
          <t>B.按时推进：基本能卡着时间点完成，不掉链子。</t>
        </is>
      </c>
      <c r="Y89" s="2" t="inlineStr">
        <is>
          <t>B.基本稳定：偶有小瑕疵，但不影响整体使用。</t>
        </is>
      </c>
      <c r="Z89" s="2" t="inlineStr">
        <is>
          <t>B.比较省心：只需定期同步一下进度，不需要主管盯着细节，能独立把事情办成。</t>
        </is>
      </c>
      <c r="AA89" s="2" t="inlineStr">
        <is>
          <t>B.清楚岗位：对自己岗位的活儿很门清，略知上下游。</t>
        </is>
      </c>
      <c r="AB89" s="2" t="inlineStr">
        <is>
          <t>B.尽力而为：能解决大部分问题，解决不了的会及时求助。</t>
        </is>
      </c>
      <c r="AC89" s="2" t="inlineStr">
        <is>
          <t>A.模范标兵：严于律己，从未在琐事上让主管费心。</t>
        </is>
      </c>
      <c r="AD89" s="2" t="inlineStr">
        <is>
          <t>C.照章办事：给多少干多少，完全按老规矩来，从不思考变革</t>
        </is>
      </c>
      <c r="AE89" s="2" t="inlineStr">
        <is>
          <t>B.正常沟通：能清晰表达需求，维持基本的协作。</t>
        </is>
      </c>
      <c r="AF89" s="2" t="inlineStr">
        <is>
          <t>B.有问有答：问到时能说清楚进度，基本能做到及时反馈。</t>
        </is>
      </c>
      <c r="AG89" s="2" t="inlineStr">
        <is>
          <t>B.稳定器：做好自己，不给团队添乱，是可靠的一员。</t>
        </is>
      </c>
      <c r="AH89" s="2" t="inlineStr">
        <is>
          <t>B.懂得求助：在尝试后会及时向主管或同事反馈，寻求资源支持。</t>
        </is>
      </c>
      <c r="AI89" s="2" t="inlineStr">
        <is>
          <t>B. 配合接受：主管安排了就干，不推辞。</t>
        </is>
      </c>
      <c r="AJ89" s="2" t="inlineStr">
        <is>
          <t>C.较为配合：不抱怨，但压力较大时，工作质量会随之下滑。</t>
        </is>
      </c>
      <c r="AK89" s="2" t="inlineStr">
        <is>
          <t>B.照单全收：态度很好，虽然不一定完全理解，但会按要求改。</t>
        </is>
      </c>
      <c r="AL89" s="2" t="inlineStr">
        <is>
          <t>C.慢工细活：需要反复教，掌握过程比较吃力。</t>
        </is>
      </c>
      <c r="AM89" s="2" t="inlineStr">
        <is>
          <t>B.愿意传帮带：平时爱分享避坑指南，能带徒弟。</t>
        </is>
      </c>
      <c r="AN89" s="2" t="inlineStr">
        <is>
          <t>C.中规中矩：刚好达标，替代性较强。</t>
        </is>
      </c>
      <c r="AO89" s="2" t="inlineStr">
        <is>
          <t>C.熟练工：能胜任重复性工作，但很难承担更高阶的挑战。</t>
        </is>
      </c>
      <c r="AP89" s="2" t="inlineStr">
        <is>
          <t>B.有点可惜：是个好手，需要费心再找一个相同水准的。</t>
        </is>
      </c>
      <c r="AQ89" s="2" t="inlineStr">
        <is>
          <t>B</t>
        </is>
      </c>
      <c r="AR89" s="2" t="inlineStr">
        <is>
          <t>B</t>
        </is>
      </c>
      <c r="AS89" s="2" t="inlineStr">
        <is>
          <t>一致</t>
        </is>
      </c>
      <c r="AT89" s="2" t="inlineStr">
        <is>
          <t>B</t>
        </is>
      </c>
      <c r="AU89" s="2" t="inlineStr">
        <is>
          <t>2档</t>
        </is>
      </c>
      <c r="AV89" s="3" t="n">
        <v>7800</v>
      </c>
      <c r="AW89" s="3" t="n">
        <v>6240</v>
      </c>
      <c r="AX89" s="3" t="n">
        <v>9360</v>
      </c>
      <c r="AY89" s="2" t="inlineStr">
        <is>
          <t>C</t>
        </is>
      </c>
      <c r="AZ89" s="2" t="inlineStr">
        <is>
          <t>工作能力尚可，但由于岗位调整缘故，知识需要从头学起，较有挑战，总体过得去。</t>
        </is>
      </c>
      <c r="BA89" s="7" t="n">
        <v>3</v>
      </c>
      <c r="BB89" s="7" t="n">
        <v>4</v>
      </c>
      <c r="BC89" s="7" t="n">
        <v>4</v>
      </c>
      <c r="BD89" s="7" t="n">
        <v>4</v>
      </c>
      <c r="BE89" s="7" t="n">
        <v>4</v>
      </c>
      <c r="BF89" s="7" t="n">
        <v>5</v>
      </c>
      <c r="BG89" s="7" t="n">
        <v>3</v>
      </c>
      <c r="BH89" s="7" t="n">
        <v>3.5</v>
      </c>
      <c r="BI89" s="7" t="n">
        <v>4</v>
      </c>
      <c r="BJ89" s="7" t="n">
        <v>4</v>
      </c>
      <c r="BK89" s="7" t="n">
        <v>3</v>
      </c>
      <c r="BL89" s="7" t="n">
        <v>4</v>
      </c>
      <c r="BM89" s="7" t="n">
        <v>4</v>
      </c>
      <c r="BN89" s="7" t="n">
        <v>3</v>
      </c>
      <c r="BO89" s="7" t="n">
        <v>3</v>
      </c>
      <c r="BP89" s="7" t="n">
        <v>2</v>
      </c>
      <c r="BQ89" s="7" t="n">
        <v>4</v>
      </c>
      <c r="BR89" s="7" t="n">
        <v>3</v>
      </c>
      <c r="BS89" s="7" t="n">
        <v>3</v>
      </c>
      <c r="BT89" s="7" t="n">
        <v>4</v>
      </c>
      <c r="BU89" s="7" t="n">
        <v>71.5</v>
      </c>
      <c r="BV89" s="2" t="inlineStr">
        <is>
          <t>A.需要存在，不可去除</t>
        </is>
      </c>
      <c r="BW89" s="2" t="inlineStr">
        <is>
          <t>薪资区间需要明确是月薪还是年薪。</t>
        </is>
      </c>
      <c r="BX89" s="2" t="inlineStr">
        <is>
          <t>无。</t>
        </is>
      </c>
      <c r="BY89" s="6">
        <f>HYPERLINK("https://www.h3yun.com/Form/Attachments/?schemacode=D148357733993cc00c048ad9898e53f5f82cbb9&amp;bizObjectId=7e4af5a0-3333-48bf-9fcf-38ee951cafe3&amp;name=F0000016","点击查看")</f>
        <v>0</v>
      </c>
      <c r="BZ89" s="2" t="inlineStr">
        <is>
          <t>2026-05-13 15:50:53</t>
        </is>
      </c>
      <c r="CA89" s="2" t="inlineStr">
        <is>
          <t>B</t>
        </is>
      </c>
      <c r="CB89" s="2" t="inlineStr">
        <is>
          <t>已提交</t>
        </is>
      </c>
      <c r="CC89" s="2" t="inlineStr">
        <is>
          <t>助理工程师</t>
        </is>
      </c>
      <c r="CD89" s="2" t="inlineStr">
        <is>
          <t>无</t>
        </is>
      </c>
      <c r="CE89" s="2" t="inlineStr">
        <is>
          <t>无</t>
        </is>
      </c>
      <c r="CF89" s="2"/>
      <c r="CG89" s="2" t="inlineStr">
        <is>
          <t>412702199907138121</t>
        </is>
      </c>
      <c r="CH89" s="2" t="inlineStr">
        <is>
          <t>已生效</t>
        </is>
      </c>
      <c r="CI89" s="2" t="inlineStr">
        <is>
          <t>02afaf38-1598-4d88-9f8d-d44b11114604</t>
        </is>
      </c>
      <c r="CJ89" s="3" t="n">
        <v>1</v>
      </c>
      <c r="CK89" s="2" t="inlineStr">
        <is>
          <t>近三年至少担任过一个合同额1000万元以上项目相应岗位的主管</t>
        </is>
      </c>
      <c r="CL89" s="2" t="inlineStr">
        <is>
          <t>近三年至少担任过一个合同额1000万元以上项目相应岗位的主管</t>
        </is>
      </c>
      <c r="CM89" s="2" t="inlineStr">
        <is>
          <t>南化建司劳2017-1号文-南京南化建设有限公司施工一线专业序列人员分级管理规定</t>
        </is>
      </c>
      <c r="CN89" s="2" t="inlineStr">
        <is>
          <t>第三章第3条C类</t>
        </is>
      </c>
      <c r="CO89" s="2"/>
      <c r="CP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t="inlineStr">
        <is>
          <t>949a2956-fa5a-4d65-aed2-149d96250723</t>
        </is>
      </c>
      <c r="CJ90" s="3" t="n">
        <v>2</v>
      </c>
      <c r="CK90" s="2" t="inlineStr">
        <is>
          <t>公司二级单位或公司职能部门推荐</t>
        </is>
      </c>
      <c r="CL90" s="2" t="inlineStr">
        <is>
          <t>公司二级单位或公司职能部门推荐</t>
        </is>
      </c>
      <c r="CM90" s="2" t="inlineStr">
        <is>
          <t>南化建司劳2017-1号文-南京南化建设有限公司施工一线专业序列人员分级管理规定</t>
        </is>
      </c>
      <c r="CN90" s="2" t="inlineStr">
        <is>
          <t>第三章第3条C类</t>
        </is>
      </c>
      <c r="CO90" s="2"/>
      <c r="CP90" s="2"/>
    </row>
    <row r="91">
      <c r="A91" s="2" t="inlineStr">
        <is>
          <t>3b4223e2-b5e3-4950-936b-441c9e38a7e7</t>
        </is>
      </c>
      <c r="B91" s="2" t="inlineStr">
        <is>
          <t>A.超负荷，平时工作就很忙，经常还要加班</t>
        </is>
      </c>
      <c r="C91" s="2" t="inlineStr">
        <is>
          <t>合同管理部    杨蕊    女    袁雯雯</t>
        </is>
      </c>
      <c r="D91" s="2" t="inlineStr">
        <is>
          <t>Anonymous</t>
        </is>
      </c>
      <c r="E91" s="2" t="inlineStr">
        <is>
          <t>Anonymous</t>
        </is>
      </c>
      <c r="F91" s="2"/>
      <c r="G91" s="2" t="inlineStr">
        <is>
          <t>2026-05-25 10:56:15</t>
        </is>
      </c>
      <c r="H91" s="2" t="inlineStr">
        <is>
          <t>袁雯雯</t>
        </is>
      </c>
      <c r="I91" s="2" t="inlineStr">
        <is>
          <t>320482198709030803</t>
        </is>
      </c>
      <c r="J91" s="2" t="inlineStr">
        <is>
          <t>女</t>
        </is>
      </c>
      <c r="K91" s="2" t="inlineStr">
        <is>
          <t>合同管理部</t>
        </is>
      </c>
      <c r="L91" s="2" t="inlineStr">
        <is>
          <t>2009-08-24</t>
        </is>
      </c>
      <c r="M91" s="2" t="inlineStr">
        <is>
          <t>南京航空航天大学</t>
        </is>
      </c>
      <c r="N91" s="2" t="inlineStr">
        <is>
          <t>电气</t>
        </is>
      </c>
      <c r="O91" s="2" t="inlineStr">
        <is>
          <t>本科</t>
        </is>
      </c>
      <c r="P91" s="2" t="inlineStr">
        <is>
          <t>合同管理部</t>
        </is>
      </c>
      <c r="Q91" s="2" t="inlineStr">
        <is>
          <t>杨蕊</t>
        </is>
      </c>
      <c r="R91" s="2" t="inlineStr">
        <is>
          <t>女</t>
        </is>
      </c>
      <c r="S91" s="2" t="inlineStr">
        <is>
          <t>2007-08-01</t>
        </is>
      </c>
      <c r="T91" s="2" t="inlineStr">
        <is>
          <t>专业工程师</t>
        </is>
      </c>
      <c r="U91" s="2" t="inlineStr">
        <is>
          <t>江苏工业学院</t>
        </is>
      </c>
      <c r="V91" s="2" t="inlineStr">
        <is>
          <t>过控</t>
        </is>
      </c>
      <c r="W91" s="2" t="inlineStr">
        <is>
          <t>本科</t>
        </is>
      </c>
      <c r="X91" s="2" t="inlineStr">
        <is>
          <t>B.按时推进：基本能卡着时间点完成，不掉链子。</t>
        </is>
      </c>
      <c r="Y91" s="2" t="inlineStr">
        <is>
          <t>B.基本稳定：偶有小瑕疵，但不影响整体使用。</t>
        </is>
      </c>
      <c r="Z91" s="2" t="inlineStr">
        <is>
          <t>B.比较省心：只需定期同步一下进度，不需要主管盯着细节，能独立把事情办成。</t>
        </is>
      </c>
      <c r="AA91" s="2" t="inlineStr">
        <is>
          <t>A.全局视野：了解上下游，能站在全业务链条考虑问题。</t>
        </is>
      </c>
      <c r="AB91" s="2" t="inlineStr">
        <is>
          <t>A.攻坚克难：会想尽一切办法钻研，直至彻底解决。</t>
        </is>
      </c>
      <c r="AC91" s="2" t="inlineStr">
        <is>
          <t>A.模范标兵：严于律己，从未在琐事上让主管费心。</t>
        </is>
      </c>
      <c r="AD91" s="2" t="inlineStr">
        <is>
          <t>B.偶尔思考：在主管启发下，能提出一些优化想法</t>
        </is>
      </c>
      <c r="AE91" s="2" t="inlineStr">
        <is>
          <t>A.推进力极强：能搞定不同性格的人，让对方配合。</t>
        </is>
      </c>
      <c r="AF91" s="2" t="inlineStr">
        <is>
          <t>A.完美闭环：进展、难点、结果都会主动汇报，无需催促。</t>
        </is>
      </c>
      <c r="AG91" s="2" t="inlineStr">
        <is>
          <t>A.动力源：像小太阳，主动分享、帮人解惑，带活团队。</t>
        </is>
      </c>
      <c r="AH91" s="2" t="inlineStr">
        <is>
          <t>B.懂得求助：在尝试后会及时向主管或同事反馈，寻求资源支持。</t>
        </is>
      </c>
      <c r="AI91" s="2" t="inlineStr">
        <is>
          <t>B. 配合接受：主管安排了就干，不推辞。</t>
        </is>
      </c>
      <c r="AJ91" s="2" t="inlineStr">
        <is>
          <t>B.配合度高：虽然有压力，但能服从大局，咬牙顶上去，且质量尚可。</t>
        </is>
      </c>
      <c r="AK91" s="2" t="inlineStr">
        <is>
          <t>B.照单全收：态度很好，虽然不一定完全理解，但会按要求改。</t>
        </is>
      </c>
      <c r="AL91" s="2" t="inlineStr">
        <is>
          <t>A.极速掌握：自学能力极强，很快就能成为该领域的“百晓生”。</t>
        </is>
      </c>
      <c r="AM91" s="2" t="inlineStr">
        <is>
          <t>B.愿意传帮带：平时爱分享避坑指南，能带徒弟。</t>
        </is>
      </c>
      <c r="AN91" s="2" t="inlineStr">
        <is>
          <t>C.中规中矩：刚好达标，替代性较强。</t>
        </is>
      </c>
      <c r="AO91" s="2" t="inlineStr">
        <is>
          <t>B.业务骨干：是团队不可或缺的腰部力量。</t>
        </is>
      </c>
      <c r="AP91" s="2" t="inlineStr">
        <is>
          <t>B.有点可惜：是个好手，需要费心再找一个相同水准的。</t>
        </is>
      </c>
      <c r="AQ91" s="2" t="inlineStr">
        <is>
          <t>B</t>
        </is>
      </c>
      <c r="AR91" s="2" t="inlineStr">
        <is>
          <t>A</t>
        </is>
      </c>
      <c r="AS91" s="2" t="inlineStr">
        <is>
          <t>不一致</t>
        </is>
      </c>
      <c r="AT91" s="2" t="inlineStr">
        <is>
          <t>A</t>
        </is>
      </c>
      <c r="AU91" s="2" t="inlineStr">
        <is>
          <t>1档</t>
        </is>
      </c>
      <c r="AV91" s="3" t="n">
        <v>8600</v>
      </c>
      <c r="AW91" s="3" t="n">
        <v>6880</v>
      </c>
      <c r="AX91" s="3" t="n">
        <v>10320</v>
      </c>
      <c r="AY91" s="2" t="inlineStr">
        <is>
          <t>B</t>
        </is>
      </c>
      <c r="AZ91" s="2" t="inlineStr">
        <is>
          <t>主观能动性和综合能力较强，但项目经验相对缺一些，又受限于家庭因素，精力有限。</t>
        </is>
      </c>
      <c r="BA91" s="7" t="n">
        <v>3</v>
      </c>
      <c r="BB91" s="7" t="n">
        <v>4</v>
      </c>
      <c r="BC91" s="7" t="n">
        <v>4</v>
      </c>
      <c r="BD91" s="7" t="n">
        <v>5</v>
      </c>
      <c r="BE91" s="7" t="n">
        <v>5</v>
      </c>
      <c r="BF91" s="7" t="n">
        <v>5</v>
      </c>
      <c r="BG91" s="7" t="n">
        <v>4</v>
      </c>
      <c r="BH91" s="7" t="n">
        <v>5</v>
      </c>
      <c r="BI91" s="7" t="n">
        <v>5</v>
      </c>
      <c r="BJ91" s="7" t="n">
        <v>5</v>
      </c>
      <c r="BK91" s="7" t="n">
        <v>3</v>
      </c>
      <c r="BL91" s="7" t="n">
        <v>4</v>
      </c>
      <c r="BM91" s="7" t="n">
        <v>5</v>
      </c>
      <c r="BN91" s="7" t="n">
        <v>4</v>
      </c>
      <c r="BO91" s="7" t="n">
        <v>3</v>
      </c>
      <c r="BP91" s="7" t="n">
        <v>5</v>
      </c>
      <c r="BQ91" s="7" t="n">
        <v>4</v>
      </c>
      <c r="BR91" s="7" t="n">
        <v>3</v>
      </c>
      <c r="BS91" s="7" t="n">
        <v>4</v>
      </c>
      <c r="BT91" s="7" t="n">
        <v>4</v>
      </c>
      <c r="BU91" s="7" t="n">
        <v>84</v>
      </c>
      <c r="BV91" s="2" t="inlineStr">
        <is>
          <t>A.需要存在，不可去除</t>
        </is>
      </c>
      <c r="BW91" s="2" t="inlineStr">
        <is>
          <t>薪资区间需要列明月薪还是年薪。</t>
        </is>
      </c>
      <c r="BX91" s="2" t="inlineStr">
        <is>
          <t>无</t>
        </is>
      </c>
      <c r="BY91" s="6">
        <f>HYPERLINK("https://www.h3yun.com/Form/Attachments/?schemacode=D148357733993cc00c048ad9898e53f5f82cbb9&amp;bizObjectId=3b4223e2-b5e3-4950-936b-441c9e38a7e7&amp;name=F0000016","点击查看")</f>
        <v>0</v>
      </c>
      <c r="BZ91" s="2" t="inlineStr">
        <is>
          <t>2026-05-13 15:43:36</t>
        </is>
      </c>
      <c r="CA91" s="2" t="inlineStr">
        <is>
          <t>A</t>
        </is>
      </c>
      <c r="CB91" s="2" t="inlineStr">
        <is>
          <t>已提交</t>
        </is>
      </c>
      <c r="CC91" s="2" t="inlineStr">
        <is>
          <t>工程师</t>
        </is>
      </c>
      <c r="CD91" s="2" t="inlineStr">
        <is>
          <t>一建，PMP</t>
        </is>
      </c>
      <c r="CE91" s="2" t="inlineStr">
        <is>
          <t>无</t>
        </is>
      </c>
      <c r="CF91" s="2"/>
      <c r="CG91" s="2" t="inlineStr">
        <is>
          <t>131024198401137225</t>
        </is>
      </c>
      <c r="CH91" s="2" t="inlineStr">
        <is>
          <t>已生效</t>
        </is>
      </c>
      <c r="CI91" s="2" t="inlineStr">
        <is>
          <t>1f249132-cc7e-4315-b9f8-e962d0bfc64d</t>
        </is>
      </c>
      <c r="CJ91" s="3" t="n">
        <v>1</v>
      </c>
      <c r="CK91" s="2" t="inlineStr">
        <is>
          <t>近三年至少担任过一个合同额1500万元以上项目相应岗位的主管</t>
        </is>
      </c>
      <c r="CL91" s="2" t="inlineStr">
        <is>
          <t>近三年至少担任过一个合同额1500万元以上项目相应岗位的主管</t>
        </is>
      </c>
      <c r="CM91" s="2" t="inlineStr">
        <is>
          <t>南化建司劳2017-1号文-南京南化建设有限公司施工一线专业序列人员分级管理规定</t>
        </is>
      </c>
      <c r="CN91" s="2" t="inlineStr">
        <is>
          <t>第三章第2条B类</t>
        </is>
      </c>
      <c r="CO91" s="2"/>
      <c r="CP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t="inlineStr">
        <is>
          <t>004d6570-1dd1-4ca6-aaa9-4f0ef745980d</t>
        </is>
      </c>
      <c r="CJ92" s="3" t="n">
        <v>2</v>
      </c>
      <c r="CK92" s="2" t="inlineStr">
        <is>
          <t>公司二级单位或公司职能部门推荐</t>
        </is>
      </c>
      <c r="CL92" s="2" t="inlineStr">
        <is>
          <t>公司二级单位或公司职能部门推荐</t>
        </is>
      </c>
      <c r="CM92" s="2" t="inlineStr">
        <is>
          <t>南化建司劳2017-1号文-南京南化建设有限公司施工一线专业序列人员分级管理规定</t>
        </is>
      </c>
      <c r="CN92" s="2" t="inlineStr">
        <is>
          <t>第三章第2条B类</t>
        </is>
      </c>
      <c r="CO92" s="2"/>
      <c r="CP92" s="2"/>
    </row>
    <row r="93">
      <c r="A93" s="2" t="inlineStr">
        <is>
          <t>08303a48-0e09-45ad-8e6b-40bf9e2d2983</t>
        </is>
      </c>
      <c r="B93" s="2" t="inlineStr">
        <is>
          <t>B.满负荷，平时工作就很忙，偶尔因为非突发时间也要加班</t>
        </is>
      </c>
      <c r="C93" s="2" t="inlineStr">
        <is>
          <t>合同管理部    台庆庆    女    袁雯雯</t>
        </is>
      </c>
      <c r="D93" s="2" t="inlineStr">
        <is>
          <t>Anonymous</t>
        </is>
      </c>
      <c r="E93" s="2" t="inlineStr">
        <is>
          <t>Anonymous</t>
        </is>
      </c>
      <c r="F93" s="2"/>
      <c r="G93" s="2" t="inlineStr">
        <is>
          <t>2026-05-25 10:56:15</t>
        </is>
      </c>
      <c r="H93" s="2" t="inlineStr">
        <is>
          <t>袁雯雯</t>
        </is>
      </c>
      <c r="I93" s="2" t="inlineStr">
        <is>
          <t>320482198709030803</t>
        </is>
      </c>
      <c r="J93" s="2" t="inlineStr">
        <is>
          <t>女</t>
        </is>
      </c>
      <c r="K93" s="2" t="inlineStr">
        <is>
          <t>合同管理部</t>
        </is>
      </c>
      <c r="L93" s="2" t="inlineStr">
        <is>
          <t>2009-08-24</t>
        </is>
      </c>
      <c r="M93" s="2" t="inlineStr">
        <is>
          <t>南京航空航天大学</t>
        </is>
      </c>
      <c r="N93" s="2" t="inlineStr">
        <is>
          <t>电气</t>
        </is>
      </c>
      <c r="O93" s="2" t="inlineStr">
        <is>
          <t>本科</t>
        </is>
      </c>
      <c r="P93" s="2" t="inlineStr">
        <is>
          <t>合同管理部</t>
        </is>
      </c>
      <c r="Q93" s="2" t="inlineStr">
        <is>
          <t>台庆庆</t>
        </is>
      </c>
      <c r="R93" s="2" t="inlineStr">
        <is>
          <t>女</t>
        </is>
      </c>
      <c r="S93" s="2" t="inlineStr">
        <is>
          <t>2003-08-01</t>
        </is>
      </c>
      <c r="T93" s="2" t="inlineStr">
        <is>
          <t>专业工程师</t>
        </is>
      </c>
      <c r="U93" s="2" t="inlineStr">
        <is>
          <t>安徽淮南化校</t>
        </is>
      </c>
      <c r="V93" s="2" t="inlineStr">
        <is>
          <t>电气</t>
        </is>
      </c>
      <c r="W93" s="2" t="inlineStr">
        <is>
          <t>中专</t>
        </is>
      </c>
      <c r="X93" s="2" t="inlineStr">
        <is>
          <t>C.拖沓被动：需要主管反复催促，才能勉强按时交差。</t>
        </is>
      </c>
      <c r="Y93" s="2" t="inlineStr">
        <is>
          <t>B.基本稳定：偶有小瑕疵，但不影响整体使用。</t>
        </is>
      </c>
      <c r="Z93" s="2" t="inlineStr">
        <is>
          <t>B.比较省心：只需定期同步一下进度，不需要主管盯着细节，能独立把事情办成。</t>
        </is>
      </c>
      <c r="AA93" s="2" t="inlineStr">
        <is>
          <t>A.全局视野：了解上下游，能站在全业务链条考虑问题。</t>
        </is>
      </c>
      <c r="AB93" s="2" t="inlineStr">
        <is>
          <t>B.尽力而为：能解决大部分问题，解决不了的会及时求助。</t>
        </is>
      </c>
      <c r="AC93" s="2" t="inlineStr">
        <is>
          <t>A.模范标兵：严于律己，从未在琐事上让主管费心。</t>
        </is>
      </c>
      <c r="AD93" s="2" t="inlineStr">
        <is>
          <t>B.偶尔思考：在主管启发下，能提出一些优化想法</t>
        </is>
      </c>
      <c r="AE93" s="2" t="inlineStr">
        <is>
          <t>A.推进力极强：能搞定不同性格的人，让对方配合。</t>
        </is>
      </c>
      <c r="AF93" s="2" t="inlineStr">
        <is>
          <t>B.有问有答：问到时能说清楚进度，基本能做到及时反馈。</t>
        </is>
      </c>
      <c r="AG93" s="2" t="inlineStr">
        <is>
          <t>B.稳定器：做好自己，不给团队添乱，是可靠的一员。</t>
        </is>
      </c>
      <c r="AH93" s="2" t="inlineStr">
        <is>
          <t>B.懂得求助：在尝试后会及时向主管或同事反馈，寻求资源支持。</t>
        </is>
      </c>
      <c r="AI93" s="2" t="inlineStr">
        <is>
          <t>B. 配合接受：主管安排了就干，不推辞。</t>
        </is>
      </c>
      <c r="AJ93" s="2" t="inlineStr">
        <is>
          <t>B.配合度高：虽然有压力，但能服从大局，咬牙顶上去，且质量尚可。</t>
        </is>
      </c>
      <c r="AK93" s="2" t="inlineStr">
        <is>
          <t>B.照单全收：态度很好，虽然不一定完全理解，但会按要求改。</t>
        </is>
      </c>
      <c r="AL93" s="2" t="inlineStr">
        <is>
          <t>C.慢工细活：需要反复教，掌握过程比较吃力。</t>
        </is>
      </c>
      <c r="AM93" s="2" t="inlineStr">
        <is>
          <t>B.愿意传帮带：平时爱分享避坑指南，能带徒弟。</t>
        </is>
      </c>
      <c r="AN93" s="2" t="inlineStr">
        <is>
          <t>C.中规中矩：刚好达标，替代性较强。</t>
        </is>
      </c>
      <c r="AO93" s="2" t="inlineStr">
        <is>
          <t>C.熟练工：能胜任重复性工作，但很难承担更高阶的挑战。</t>
        </is>
      </c>
      <c r="AP93" s="2" t="inlineStr">
        <is>
          <t>B.有点可惜：是个好手，需要费心再找一个相同水准的。</t>
        </is>
      </c>
      <c r="AQ93" s="2" t="inlineStr">
        <is>
          <t>B</t>
        </is>
      </c>
      <c r="AR93" s="2" t="inlineStr">
        <is>
          <t>B</t>
        </is>
      </c>
      <c r="AS93" s="2" t="inlineStr">
        <is>
          <t>一致</t>
        </is>
      </c>
      <c r="AT93" s="2" t="inlineStr">
        <is>
          <t>B</t>
        </is>
      </c>
      <c r="AU93" s="2" t="inlineStr">
        <is>
          <t>5档</t>
        </is>
      </c>
      <c r="AV93" s="3" t="n">
        <v>8400</v>
      </c>
      <c r="AW93" s="3" t="n">
        <v>6720</v>
      </c>
      <c r="AX93" s="3" t="n">
        <v>10080</v>
      </c>
      <c r="AY93" s="2" t="inlineStr">
        <is>
          <t>C</t>
        </is>
      </c>
      <c r="AZ93" s="2" t="inlineStr">
        <is>
          <t>具有多年工作经验，工作交给她总体较为省心，主动性和责任心较强，但学习新知识的能力稍微欠缺一些。</t>
        </is>
      </c>
      <c r="BA93" s="7" t="n">
        <v>2</v>
      </c>
      <c r="BB93" s="7" t="n">
        <v>4</v>
      </c>
      <c r="BC93" s="7" t="n">
        <v>4</v>
      </c>
      <c r="BD93" s="7" t="n">
        <v>5</v>
      </c>
      <c r="BE93" s="7" t="n">
        <v>4</v>
      </c>
      <c r="BF93" s="7" t="n">
        <v>5</v>
      </c>
      <c r="BG93" s="7" t="n">
        <v>4</v>
      </c>
      <c r="BH93" s="7" t="n">
        <v>5</v>
      </c>
      <c r="BI93" s="7" t="n">
        <v>4</v>
      </c>
      <c r="BJ93" s="7" t="n">
        <v>4</v>
      </c>
      <c r="BK93" s="7" t="n">
        <v>3</v>
      </c>
      <c r="BL93" s="7" t="n">
        <v>4</v>
      </c>
      <c r="BM93" s="7" t="n">
        <v>4</v>
      </c>
      <c r="BN93" s="7" t="n">
        <v>4</v>
      </c>
      <c r="BO93" s="7" t="n">
        <v>3</v>
      </c>
      <c r="BP93" s="7" t="n">
        <v>2</v>
      </c>
      <c r="BQ93" s="7" t="n">
        <v>4</v>
      </c>
      <c r="BR93" s="7" t="n">
        <v>3</v>
      </c>
      <c r="BS93" s="7" t="n">
        <v>3</v>
      </c>
      <c r="BT93" s="7" t="n">
        <v>4</v>
      </c>
      <c r="BU93" s="7" t="n">
        <v>75</v>
      </c>
      <c r="BV93" s="2" t="inlineStr">
        <is>
          <t>A.需要存在，不可去除</t>
        </is>
      </c>
      <c r="BW93" s="2" t="inlineStr">
        <is>
          <t>关于“薪资区间”，需要提示是月薪还是年薪，不仅要考虑税负还有五险一金或两金的问题，是否可修改为到手金额，区别较大。希望明确区分。</t>
        </is>
      </c>
      <c r="BX93" s="2" t="inlineStr">
        <is>
          <t>建议将第4题进一步增加“对新知识、新工具的应用与学习能力”选项。</t>
        </is>
      </c>
      <c r="BY93" s="6">
        <f>HYPERLINK("https://www.h3yun.com/Form/Attachments/?schemacode=D148357733993cc00c048ad9898e53f5f82cbb9&amp;bizObjectId=08303a48-0e09-45ad-8e6b-40bf9e2d2983&amp;name=F0000016","点击查看")</f>
        <v>0</v>
      </c>
      <c r="BZ93" s="2" t="inlineStr">
        <is>
          <t>2026-05-13 15:31:21</t>
        </is>
      </c>
      <c r="CA93" s="2" t="inlineStr">
        <is>
          <t>B</t>
        </is>
      </c>
      <c r="CB93" s="2" t="inlineStr">
        <is>
          <t>已提交</t>
        </is>
      </c>
      <c r="CC93" s="2" t="inlineStr">
        <is>
          <t>工程师证</t>
        </is>
      </c>
      <c r="CD93" s="2" t="inlineStr">
        <is>
          <t>资料员证、实名制管理员证</t>
        </is>
      </c>
      <c r="CE93" s="2" t="inlineStr">
        <is>
          <t>无</t>
        </is>
      </c>
      <c r="CF93" s="2"/>
      <c r="CG93" s="2" t="inlineStr">
        <is>
          <t>340403198406121626</t>
        </is>
      </c>
      <c r="CH93" s="2" t="inlineStr">
        <is>
          <t>已生效</t>
        </is>
      </c>
      <c r="CI93" s="2" t="inlineStr">
        <is>
          <t>d9158d40-c38c-4db8-848f-dcbd9a78661c</t>
        </is>
      </c>
      <c r="CJ93" s="3" t="n">
        <v>1</v>
      </c>
      <c r="CK93" s="2" t="inlineStr">
        <is>
          <t>近三年至少担任过一个合同额1000万元以上项目相应岗位的主管</t>
        </is>
      </c>
      <c r="CL93" s="2" t="inlineStr">
        <is>
          <t>近三年至少担任过一个合同额1000万元以上项目相应岗位的主管</t>
        </is>
      </c>
      <c r="CM93" s="2" t="inlineStr">
        <is>
          <t>南化建司劳2017-1号文-南京南化建设有限公司施工一线专业序列人员分级管理规定</t>
        </is>
      </c>
      <c r="CN93" s="2" t="inlineStr">
        <is>
          <t>第三章第3条C类</t>
        </is>
      </c>
      <c r="CO93" s="2"/>
      <c r="CP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t="inlineStr">
        <is>
          <t>d009fd80-5d75-4169-8a7b-6f189a877c98</t>
        </is>
      </c>
      <c r="CJ94" s="3" t="n">
        <v>2</v>
      </c>
      <c r="CK94" s="2" t="inlineStr">
        <is>
          <t>公司二级单位或公司职能部门推荐</t>
        </is>
      </c>
      <c r="CL94" s="2" t="inlineStr">
        <is>
          <t>公司二级单位或公司职能部门推荐</t>
        </is>
      </c>
      <c r="CM94" s="2" t="inlineStr">
        <is>
          <t>南化建司劳2017-1号文-南京南化建设有限公司施工一线专业序列人员分级管理规定</t>
        </is>
      </c>
      <c r="CN94" s="2" t="inlineStr">
        <is>
          <t>第三章第3条C类</t>
        </is>
      </c>
      <c r="CO94" s="2"/>
      <c r="CP94" s="2"/>
    </row>
    <row r="95">
      <c r="A95" s="2" t="inlineStr">
        <is>
          <t>b413eca7-ece0-4540-ab41-d9c3fb14a7e8</t>
        </is>
      </c>
      <c r="B95" s="2" t="inlineStr">
        <is>
          <t>C.均衡，工作负荷一般，按部就班完成工作，除了突发时间几乎不用加班</t>
        </is>
      </c>
      <c r="C95" s="2" t="inlineStr">
        <is>
          <t>马来西亚分公司（国内采购）    金洋玄    男    孙书志</t>
        </is>
      </c>
      <c r="D95" s="2" t="inlineStr">
        <is>
          <t>Anonymous</t>
        </is>
      </c>
      <c r="E95" s="2" t="inlineStr">
        <is>
          <t>Anonymous</t>
        </is>
      </c>
      <c r="F95" s="2"/>
      <c r="G95" s="2" t="inlineStr">
        <is>
          <t>2026-05-25 10:56:15</t>
        </is>
      </c>
      <c r="H95" s="2" t="inlineStr">
        <is>
          <t>孙书志</t>
        </is>
      </c>
      <c r="I95" s="2" t="inlineStr">
        <is>
          <t>340822198902171674</t>
        </is>
      </c>
      <c r="J95" s="2" t="inlineStr">
        <is>
          <t>男</t>
        </is>
      </c>
      <c r="K95" s="2" t="inlineStr">
        <is>
          <t>南京永利重工制造有限公司</t>
        </is>
      </c>
      <c r="L95" s="2" t="inlineStr">
        <is>
          <t>2012-07-01</t>
        </is>
      </c>
      <c r="M95" s="2" t="inlineStr">
        <is>
          <t>安徽理工大学</t>
        </is>
      </c>
      <c r="N95" s="2" t="inlineStr">
        <is>
          <t>过控</t>
        </is>
      </c>
      <c r="O95" s="2" t="inlineStr">
        <is>
          <t>本科</t>
        </is>
      </c>
      <c r="P95" s="2" t="inlineStr">
        <is>
          <t>马来西亚分公司（国内采购）</t>
        </is>
      </c>
      <c r="Q95" s="2" t="inlineStr">
        <is>
          <t>金洋玄</t>
        </is>
      </c>
      <c r="R95" s="2" t="inlineStr">
        <is>
          <t>男</t>
        </is>
      </c>
      <c r="S95" s="2" t="inlineStr">
        <is>
          <t>2025-08-01</t>
        </is>
      </c>
      <c r="T95" s="2" t="inlineStr">
        <is>
          <t>技术助理(三)</t>
        </is>
      </c>
      <c r="U95" s="2" t="inlineStr">
        <is>
          <t>南通理工学院</t>
        </is>
      </c>
      <c r="V95" s="2" t="inlineStr">
        <is>
          <t>化机</t>
        </is>
      </c>
      <c r="W95" s="2" t="inlineStr">
        <is>
          <t>本科</t>
        </is>
      </c>
      <c r="X95" s="2" t="inlineStr">
        <is>
          <t>B.按时推进：基本能卡着时间点完成，不掉链子。</t>
        </is>
      </c>
      <c r="Y95" s="2" t="inlineStr">
        <is>
          <t>C.看心情/状态：状态好时不错，状态差时漏洞百出。</t>
        </is>
      </c>
      <c r="Z95" s="2" t="inlineStr">
        <is>
          <t>C.正常跟进：需要主管盯着节点、偶尔提醒进度，或者在跑偏时帮着拽回来。</t>
        </is>
      </c>
      <c r="AA95" s="2" t="inlineStr">
        <is>
          <t>B.清楚岗位：对自己岗位的活儿很门清，略知上下游。</t>
        </is>
      </c>
      <c r="AB95" s="2" t="inlineStr">
        <is>
          <t>A.攻坚克难：会想尽一切办法钻研，直至彻底解决。</t>
        </is>
      </c>
      <c r="AC95" s="2" t="inlineStr">
        <is>
          <t>A.模范标兵：严于律己，从未在琐事上让主管费心。</t>
        </is>
      </c>
      <c r="AD95" s="2" t="inlineStr">
        <is>
          <t>B.偶尔思考：在主管启发下，能提出一些优化想法</t>
        </is>
      </c>
      <c r="AE95" s="2" t="inlineStr">
        <is>
          <t>B.正常沟通：能清晰表达需求，维持基本的协作。</t>
        </is>
      </c>
      <c r="AF95" s="2" t="inlineStr">
        <is>
          <t>B.有问有答：问到时能说清楚进度，基本能做到及时反馈。</t>
        </is>
      </c>
      <c r="AG95" s="2" t="inlineStr">
        <is>
          <t>B.稳定器：做好自己，不给团队添乱，是可靠的一员。</t>
        </is>
      </c>
      <c r="AH95" s="2" t="inlineStr">
        <is>
          <t>B.懂得求助：在尝试后会及时向主管或同事反馈，寻求资源支持。</t>
        </is>
      </c>
      <c r="AI95" s="2" t="inlineStr">
        <is>
          <t>B. 配合接受：主管安排了就干，不推辞。</t>
        </is>
      </c>
      <c r="AJ95" s="2" t="inlineStr">
        <is>
          <t>B.配合度高：虽然有压力，但能服从大局，咬牙顶上去，且质量尚可。</t>
        </is>
      </c>
      <c r="AK95" s="2" t="inlineStr">
        <is>
          <t>B.照单全收：态度很好，虽然不一定完全理解，但会按要求改。</t>
        </is>
      </c>
      <c r="AL95" s="2" t="inlineStr">
        <is>
          <t>B.正常上手：经过简单培训或指导，能很快投入应用。</t>
        </is>
      </c>
      <c r="AM95" s="2" t="inlineStr">
        <is>
          <t>C.技能私有：自己干得好也愿意分享，但是不会总结或讲不出来。</t>
        </is>
      </c>
      <c r="AN95" s="2" t="inlineStr">
        <is>
          <t>C.中规中矩：刚好达标，替代性较强。</t>
        </is>
      </c>
      <c r="AO95" s="2" t="inlineStr">
        <is>
          <t>C.熟练工：能胜任重复性工作，但很难承担更高阶的挑战。</t>
        </is>
      </c>
      <c r="AP95" s="2" t="inlineStr">
        <is>
          <t>B.有点可惜：是个好手，需要费心再找一个相同水准的。</t>
        </is>
      </c>
      <c r="AQ95" s="2" t="inlineStr">
        <is>
          <t>B</t>
        </is>
      </c>
      <c r="AR95" s="2" t="inlineStr">
        <is>
          <t>C</t>
        </is>
      </c>
      <c r="AS95" s="2" t="inlineStr">
        <is>
          <t>不一致</t>
        </is>
      </c>
      <c r="AT95" s="2" t="inlineStr">
        <is>
          <t>C</t>
        </is>
      </c>
      <c r="AU95" s="2"/>
      <c r="AV95" s="3"/>
      <c r="AW95" s="3"/>
      <c r="AX95" s="3"/>
      <c r="AY95" s="2" t="inlineStr">
        <is>
          <t>D</t>
        </is>
      </c>
      <c r="AZ95" s="2" t="inlineStr">
        <is>
          <t>1. 工作态度极其端正
2. 勤学好问，
3. 技术能力薄弱，需要时间积累
4. 性格温和，工作积极主动
5. 抗压能力较好
多钻研管道技术，不久将来必会成长为一位合格的工程师</t>
        </is>
      </c>
      <c r="BA95" s="7" t="n">
        <v>3</v>
      </c>
      <c r="BB95" s="7" t="n">
        <v>2</v>
      </c>
      <c r="BC95" s="7" t="n">
        <v>3</v>
      </c>
      <c r="BD95" s="7" t="n">
        <v>4</v>
      </c>
      <c r="BE95" s="7" t="n">
        <v>5</v>
      </c>
      <c r="BF95" s="7" t="n">
        <v>5</v>
      </c>
      <c r="BG95" s="7" t="n">
        <v>4</v>
      </c>
      <c r="BH95" s="7" t="n">
        <v>3.5</v>
      </c>
      <c r="BI95" s="7" t="n">
        <v>4</v>
      </c>
      <c r="BJ95" s="7" t="n">
        <v>4</v>
      </c>
      <c r="BK95" s="7" t="n">
        <v>3</v>
      </c>
      <c r="BL95" s="7" t="n">
        <v>4</v>
      </c>
      <c r="BM95" s="7" t="n">
        <v>3</v>
      </c>
      <c r="BN95" s="7" t="n">
        <v>4</v>
      </c>
      <c r="BO95" s="7" t="n">
        <v>3</v>
      </c>
      <c r="BP95" s="7" t="n">
        <v>4</v>
      </c>
      <c r="BQ95" s="7" t="n">
        <v>2</v>
      </c>
      <c r="BR95" s="7" t="n">
        <v>3</v>
      </c>
      <c r="BS95" s="7" t="n">
        <v>3</v>
      </c>
      <c r="BT95" s="7" t="n">
        <v>4</v>
      </c>
      <c r="BU95" s="7" t="n">
        <v>70.5</v>
      </c>
      <c r="BV95" s="2" t="inlineStr">
        <is>
          <t>C.建议与其他岗位合并</t>
        </is>
      </c>
      <c r="BW95" s="2" t="inlineStr">
        <is>
          <t>建议以上评定选题，区分新员工以及有项目经验的员工进行不同命题。新老员工区别：新员工有好的，但是需要时间积累经验，与有项目经验的员工以相同的题目进行评价有失公允。</t>
        </is>
      </c>
      <c r="BX95" s="2"/>
      <c r="BY95" s="6">
        <f>HYPERLINK("https://www.h3yun.com/Form/Attachments/?schemacode=D148357733993cc00c048ad9898e53f5f82cbb9&amp;bizObjectId=b413eca7-ece0-4540-ab41-d9c3fb14a7e8&amp;name=F0000016","点击查看")</f>
        <v>0</v>
      </c>
      <c r="BZ95" s="2" t="inlineStr">
        <is>
          <t>2026-05-07 22:23:46</t>
        </is>
      </c>
      <c r="CA95" s="2" t="inlineStr">
        <is>
          <t>C</t>
        </is>
      </c>
      <c r="CB95" s="2" t="inlineStr">
        <is>
          <t>已提交</t>
        </is>
      </c>
      <c r="CC95" s="2" t="inlineStr">
        <is>
          <t>无</t>
        </is>
      </c>
      <c r="CD95" s="2" t="inlineStr">
        <is>
          <t>无</t>
        </is>
      </c>
      <c r="CE95" s="2" t="inlineStr">
        <is>
          <t>无</t>
        </is>
      </c>
      <c r="CF95" s="2"/>
      <c r="CG95" s="2" t="inlineStr">
        <is>
          <t>320107200306050010</t>
        </is>
      </c>
      <c r="CH95" s="2" t="inlineStr">
        <is>
          <t>已生效</t>
        </is>
      </c>
      <c r="CI95" s="2" t="inlineStr">
        <is>
          <t>d174be3c-c692-401d-91f8-7cfa0aec8c84</t>
        </is>
      </c>
      <c r="CJ95" s="3" t="n">
        <v>1</v>
      </c>
      <c r="CK95" s="2" t="inlineStr">
        <is>
          <t>该成员存在一线工作履历</t>
        </is>
      </c>
      <c r="CL95" s="2" t="inlineStr">
        <is>
          <t>该成员存在一线工作履历</t>
        </is>
      </c>
      <c r="CM95" s="2" t="inlineStr">
        <is>
          <t>南化建司劳2017-1号文-南京南化建设有限公司施工一线专业序列人员分级管理规定</t>
        </is>
      </c>
      <c r="CN95" s="2" t="inlineStr">
        <is>
          <t>第三章第6条D类</t>
        </is>
      </c>
      <c r="CO95" s="2"/>
      <c r="CP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t="inlineStr">
        <is>
          <t>94bf4ca0-2035-4604-8e59-41cd4baaa29d</t>
        </is>
      </c>
      <c r="CJ96" s="3" t="n">
        <v>2</v>
      </c>
      <c r="CK96" s="2" t="inlineStr">
        <is>
          <t>近五年内该成员存在一线工作履历</t>
        </is>
      </c>
      <c r="CL96" s="2" t="inlineStr">
        <is>
          <t>近五年内该成员存在一线工作履历</t>
        </is>
      </c>
      <c r="CM96" s="2" t="inlineStr">
        <is>
          <t>南化建司劳2017-1号文-南京南化建设有限公司施工一线专业序列人员分级管理规定</t>
        </is>
      </c>
      <c r="CN96" s="2" t="inlineStr">
        <is>
          <t>第三章第6条D类</t>
        </is>
      </c>
      <c r="CO96" s="2"/>
      <c r="CP96" s="2"/>
    </row>
    <row r="97">
      <c r="A97" s="2" t="inlineStr">
        <is>
          <t>7d7fea5e-7e27-43f8-b6ea-a649a320f5c2</t>
        </is>
      </c>
      <c r="B97" s="2" t="inlineStr">
        <is>
          <t>D.欠饱和，没想起来给他布置工作的话很可能就是闲着</t>
        </is>
      </c>
      <c r="C97" s="2" t="inlineStr">
        <is>
          <t>马来西亚分公司（国内采购）    董士琦    男    孙书志</t>
        </is>
      </c>
      <c r="D97" s="2" t="inlineStr">
        <is>
          <t>Anonymous</t>
        </is>
      </c>
      <c r="E97" s="2" t="inlineStr">
        <is>
          <t>Anonymous</t>
        </is>
      </c>
      <c r="F97" s="2"/>
      <c r="G97" s="2" t="inlineStr">
        <is>
          <t>2026-05-25 10:56:15</t>
        </is>
      </c>
      <c r="H97" s="2" t="inlineStr">
        <is>
          <t>孙书志</t>
        </is>
      </c>
      <c r="I97" s="2" t="inlineStr">
        <is>
          <t>340822198902171674</t>
        </is>
      </c>
      <c r="J97" s="2" t="inlineStr">
        <is>
          <t>男</t>
        </is>
      </c>
      <c r="K97" s="2" t="inlineStr">
        <is>
          <t>南京永利重工制造有限公司</t>
        </is>
      </c>
      <c r="L97" s="2" t="inlineStr">
        <is>
          <t>2012-07-01</t>
        </is>
      </c>
      <c r="M97" s="2" t="inlineStr">
        <is>
          <t>安徽理工大学</t>
        </is>
      </c>
      <c r="N97" s="2" t="inlineStr">
        <is>
          <t>过控</t>
        </is>
      </c>
      <c r="O97" s="2" t="inlineStr">
        <is>
          <t>本科</t>
        </is>
      </c>
      <c r="P97" s="2" t="inlineStr">
        <is>
          <t>马来西亚分公司（国内采购）</t>
        </is>
      </c>
      <c r="Q97" s="2" t="inlineStr">
        <is>
          <t>董士琦</t>
        </is>
      </c>
      <c r="R97" s="2" t="inlineStr">
        <is>
          <t>男</t>
        </is>
      </c>
      <c r="S97" s="2" t="inlineStr">
        <is>
          <t>2021-08-01</t>
        </is>
      </c>
      <c r="T97" s="2" t="inlineStr">
        <is>
          <t>技术助理(一)</t>
        </is>
      </c>
      <c r="U97" s="2" t="inlineStr">
        <is>
          <t>南京工业大学</t>
        </is>
      </c>
      <c r="V97" s="2" t="inlineStr">
        <is>
          <t>过控</t>
        </is>
      </c>
      <c r="W97" s="2" t="inlineStr">
        <is>
          <t>本科</t>
        </is>
      </c>
      <c r="X97" s="2" t="inlineStr">
        <is>
          <t>C.拖沓被动：需要主管反复催促，才能勉强按时交差。</t>
        </is>
      </c>
      <c r="Y97" s="2" t="inlineStr">
        <is>
          <t>C.看心情/状态：状态好时不错，状态差时漏洞百出。</t>
        </is>
      </c>
      <c r="Z97" s="2" t="inlineStr">
        <is>
          <t>E.严重负担：教了也不会或者把事儿做乱了，最后往往需要主管亲自上手收拾残局。</t>
        </is>
      </c>
      <c r="AA97" s="2" t="inlineStr">
        <is>
          <t>B.清楚岗位：对自己岗位的活儿很门清，略知上下游。</t>
        </is>
      </c>
      <c r="AB97" s="2" t="inlineStr">
        <is>
          <t>B.尽力而为：能解决大部分问题，解决不了的会及时求助。</t>
        </is>
      </c>
      <c r="AC97" s="2" t="inlineStr">
        <is>
          <t>A.模范标兵：严于律己，从未在琐事上让主管费心。</t>
        </is>
      </c>
      <c r="AD97" s="2" t="inlineStr">
        <is>
          <t>C.照章办事：给多少干多少，完全按老规矩来，从不思考变革</t>
        </is>
      </c>
      <c r="AE97" s="2" t="inlineStr">
        <is>
          <t>C.沟通被动：你不催他不去，去了也带不回明确结果。</t>
        </is>
      </c>
      <c r="AF97" s="2" t="inlineStr">
        <is>
          <t>C.偶尔断片：答应得好好的，但中间不反馈，非得主管去追。</t>
        </is>
      </c>
      <c r="AG97" s="2" t="inlineStr">
        <is>
          <t>D.负能量源：爱传播负面情绪，影响团队士气。</t>
        </is>
      </c>
      <c r="AH97" s="2" t="inlineStr">
        <is>
          <t>C.闷头苦干：效率极低也不求助，最后事情耽误在手里。</t>
        </is>
      </c>
      <c r="AI97" s="2" t="inlineStr">
        <is>
          <t>C. 守好地盘：只管自己那一块，多一点都不想碰。</t>
        </is>
      </c>
      <c r="AJ97" s="2" t="inlineStr">
        <is>
          <t>C.较为配合：不抱怨，但压力较大时，工作质量会随之下滑。</t>
        </is>
      </c>
      <c r="AK97" s="2" t="inlineStr">
        <is>
          <t>D.表面服从：嘴上说好，心里不服，实际行动上依然故我。</t>
        </is>
      </c>
      <c r="AL97" s="2" t="inlineStr">
        <is>
          <t>C.慢工细活：需要反复教，掌握过程比较吃力。</t>
        </is>
      </c>
      <c r="AM97" s="2" t="inlineStr">
        <is>
          <t>D.无经验可谈：入职这么久，还没总结出自己的工作门道。</t>
        </is>
      </c>
      <c r="AN97" s="2" t="inlineStr">
        <is>
          <t>C.中规中矩：刚好达标，替代性较强。</t>
        </is>
      </c>
      <c r="AO97" s="2" t="inlineStr">
        <is>
          <t>C.熟练工：能胜任重复性工作，但很难承担更高阶的挑战。</t>
        </is>
      </c>
      <c r="AP97" s="2" t="inlineStr">
        <is>
          <t>C.正常更替：走就走吧，招个新人培养一下也没什么区别。</t>
        </is>
      </c>
      <c r="AQ97" s="2" t="inlineStr">
        <is>
          <t>E</t>
        </is>
      </c>
      <c r="AR97" s="2" t="inlineStr">
        <is>
          <t>E</t>
        </is>
      </c>
      <c r="AS97" s="2" t="inlineStr">
        <is>
          <t>一致</t>
        </is>
      </c>
      <c r="AT97" s="2" t="inlineStr">
        <is>
          <t>E</t>
        </is>
      </c>
      <c r="AU97" s="2"/>
      <c r="AV97" s="3"/>
      <c r="AW97" s="3"/>
      <c r="AX97" s="3"/>
      <c r="AY97" s="2" t="inlineStr">
        <is>
          <t>无对照</t>
        </is>
      </c>
      <c r="AZ97" s="2" t="inlineStr">
        <is>
          <t>1.工作态度尚可
2. 技术能力一般
3. 工作严谨性较弱
4. 沟通协调能力低下
望后续工作中能有长足的进步</t>
        </is>
      </c>
      <c r="BA97" s="7" t="n">
        <v>2</v>
      </c>
      <c r="BB97" s="7" t="n">
        <v>2</v>
      </c>
      <c r="BC97" s="7" t="n">
        <v>0</v>
      </c>
      <c r="BD97" s="7" t="n">
        <v>4</v>
      </c>
      <c r="BE97" s="7" t="n">
        <v>4</v>
      </c>
      <c r="BF97" s="7" t="n">
        <v>5</v>
      </c>
      <c r="BG97" s="7" t="n">
        <v>3</v>
      </c>
      <c r="BH97" s="7" t="n">
        <v>1</v>
      </c>
      <c r="BI97" s="7" t="n">
        <v>2</v>
      </c>
      <c r="BJ97" s="7" t="n">
        <v>0</v>
      </c>
      <c r="BK97" s="7" t="n">
        <v>1</v>
      </c>
      <c r="BL97" s="7" t="n">
        <v>3</v>
      </c>
      <c r="BM97" s="7" t="n">
        <v>2</v>
      </c>
      <c r="BN97" s="7" t="n">
        <v>3</v>
      </c>
      <c r="BO97" s="7" t="n">
        <v>0</v>
      </c>
      <c r="BP97" s="7" t="n">
        <v>2</v>
      </c>
      <c r="BQ97" s="7" t="n">
        <v>1</v>
      </c>
      <c r="BR97" s="7" t="n">
        <v>3</v>
      </c>
      <c r="BS97" s="7" t="n">
        <v>3</v>
      </c>
      <c r="BT97" s="7" t="n">
        <v>3</v>
      </c>
      <c r="BU97" s="7" t="n">
        <v>44</v>
      </c>
      <c r="BV97" s="2" t="inlineStr">
        <is>
          <t>C.建议与其他岗位合并</t>
        </is>
      </c>
      <c r="BW97" s="2"/>
      <c r="BX97" s="2"/>
      <c r="BY97" s="6">
        <f>HYPERLINK("https://www.h3yun.com/Form/Attachments/?schemacode=D148357733993cc00c048ad9898e53f5f82cbb9&amp;bizObjectId=7d7fea5e-7e27-43f8-b6ea-a649a320f5c2&amp;name=F0000016","点击查看")</f>
        <v>0</v>
      </c>
      <c r="BZ97" s="2" t="inlineStr">
        <is>
          <t>2026-05-07 21:55:41</t>
        </is>
      </c>
      <c r="CA97" s="2" t="inlineStr">
        <is>
          <t>E</t>
        </is>
      </c>
      <c r="CB97" s="2" t="inlineStr">
        <is>
          <t>已提交</t>
        </is>
      </c>
      <c r="CC97" s="2" t="inlineStr">
        <is>
          <t>助理工程师</t>
        </is>
      </c>
      <c r="CD97" s="2" t="inlineStr">
        <is>
          <t>化工检修钳工四级证书</t>
        </is>
      </c>
      <c r="CE97" s="2" t="inlineStr">
        <is>
          <t>无</t>
        </is>
      </c>
      <c r="CF97" s="2"/>
      <c r="CG97" s="2" t="inlineStr">
        <is>
          <t>321321199603062230</t>
        </is>
      </c>
      <c r="CH97" s="2" t="inlineStr">
        <is>
          <t>已生效</t>
        </is>
      </c>
      <c r="CI97" s="2"/>
      <c r="CJ97" s="2"/>
      <c r="CK97" s="2"/>
      <c r="CL97" s="2"/>
      <c r="CM97" s="2"/>
      <c r="CN97" s="2"/>
      <c r="CO97" s="2"/>
      <c r="CP97" s="2"/>
    </row>
    <row r="98">
      <c r="A98" s="2" t="inlineStr">
        <is>
          <t>149f1b2e-b14d-4369-aed7-9923e780ed62</t>
        </is>
      </c>
      <c r="B98" s="2" t="inlineStr">
        <is>
          <t>C.均衡，工作负荷一般，按部就班完成工作，除了突发时间几乎不用加班</t>
        </is>
      </c>
      <c r="C98" s="2" t="inlineStr">
        <is>
          <t>马来西亚分公司（国外）    鲁子恒    男    徐正玲</t>
        </is>
      </c>
      <c r="D98" s="2" t="inlineStr">
        <is>
          <t>徐正玲</t>
        </is>
      </c>
      <c r="E98" s="2" t="inlineStr">
        <is>
          <t>徐正玲</t>
        </is>
      </c>
      <c r="F98" s="2" t="inlineStr">
        <is>
          <t>石化信息化</t>
        </is>
      </c>
      <c r="G98" s="2" t="inlineStr">
        <is>
          <t>2026-05-25 10:56:15</t>
        </is>
      </c>
      <c r="H98" s="2" t="inlineStr">
        <is>
          <t>徐正玲</t>
        </is>
      </c>
      <c r="I98" s="2" t="inlineStr">
        <is>
          <t>32092519900123758X</t>
        </is>
      </c>
      <c r="J98" s="2" t="inlineStr">
        <is>
          <t>女</t>
        </is>
      </c>
      <c r="K98" s="2" t="inlineStr">
        <is>
          <t>技术中心</t>
        </is>
      </c>
      <c r="L98" s="2" t="inlineStr">
        <is>
          <t>2013-08-01</t>
        </is>
      </c>
      <c r="M98" s="2" t="inlineStr">
        <is>
          <t>常州大学</t>
        </is>
      </c>
      <c r="N98" s="2" t="inlineStr">
        <is>
          <t>化机</t>
        </is>
      </c>
      <c r="O98" s="2" t="inlineStr">
        <is>
          <t>本科</t>
        </is>
      </c>
      <c r="P98" s="2" t="inlineStr">
        <is>
          <t>马来西亚分公司（国外）</t>
        </is>
      </c>
      <c r="Q98" s="2" t="inlineStr">
        <is>
          <t>鲁子恒</t>
        </is>
      </c>
      <c r="R98" s="2" t="inlineStr">
        <is>
          <t>男</t>
        </is>
      </c>
      <c r="S98" s="2" t="inlineStr">
        <is>
          <t>2025-08-01</t>
        </is>
      </c>
      <c r="T98" s="2" t="inlineStr">
        <is>
          <t>技术助理(三)</t>
        </is>
      </c>
      <c r="U98" s="2" t="inlineStr">
        <is>
          <t>荆州学院</t>
        </is>
      </c>
      <c r="V98" s="2" t="inlineStr">
        <is>
          <t>材料员</t>
        </is>
      </c>
      <c r="W98" s="2" t="inlineStr">
        <is>
          <t>本科</t>
        </is>
      </c>
      <c r="X98" s="2" t="inlineStr">
        <is>
          <t>B.按时推进：基本能卡着时间点完成，不掉链子。</t>
        </is>
      </c>
      <c r="Y98" s="2" t="inlineStr">
        <is>
          <t>C.看心情/状态：状态好时不错，状态差时漏洞百出。</t>
        </is>
      </c>
      <c r="Z98" s="2" t="inlineStr">
        <is>
          <t>D.费心费力：必须主管手把手教、盯着改，占用了主管大量的精力和时间。</t>
        </is>
      </c>
      <c r="AA98" s="2" t="inlineStr">
        <is>
          <t>C.只知其一：只知道自己怎么操作，不知道为什么要这么做。</t>
        </is>
      </c>
      <c r="AB98" s="2" t="inlineStr">
        <is>
          <t>C.容易放弃：尝试一下发现不行，就停在那等着主管给方案。</t>
        </is>
      </c>
      <c r="AC98" s="2" t="inlineStr">
        <is>
          <t>A.模范标兵：严于律己，从未在琐事上让主管费心。</t>
        </is>
      </c>
      <c r="AD98" s="2" t="inlineStr">
        <is>
          <t>B.偶尔思考：在主管启发下，能提出一些优化想法</t>
        </is>
      </c>
      <c r="AE98" s="2" t="inlineStr">
        <is>
          <t>C.沟通被动：你不催他不去，去了也带不回明确结果。</t>
        </is>
      </c>
      <c r="AF98" s="2" t="inlineStr">
        <is>
          <t>C.偶尔断片：答应得好好的，但中间不反馈，非得主管去追。</t>
        </is>
      </c>
      <c r="AG98" s="2" t="inlineStr">
        <is>
          <t>C.旁观者：不关心团队，只关心自己的工作。</t>
        </is>
      </c>
      <c r="AH98" s="2" t="inlineStr">
        <is>
          <t>B.懂得求助：在尝试后会及时向主管或同事反馈，寻求资源支持。</t>
        </is>
      </c>
      <c r="AI98" s="2" t="inlineStr">
        <is>
          <t>C. 守好地盘：只管自己那一块，多一点都不想碰。</t>
        </is>
      </c>
      <c r="AJ98" s="2" t="inlineStr">
        <is>
          <t>C.较为配合：不抱怨，但压力较大时，工作质量会随之下滑。</t>
        </is>
      </c>
      <c r="AK98" s="2" t="inlineStr">
        <is>
          <t>B.照单全收：态度很好，虽然不一定完全理解，但会按要求改。</t>
        </is>
      </c>
      <c r="AL98" s="2" t="inlineStr">
        <is>
          <t>C.慢工细活：需要反复教，掌握过程比较吃力。</t>
        </is>
      </c>
      <c r="AM98" s="2" t="inlineStr">
        <is>
          <t>C.技能私有：自己干得好也愿意分享，但是不会总结或讲不出来。</t>
        </is>
      </c>
      <c r="AN98" s="2" t="inlineStr">
        <is>
          <t>C.中规中矩：刚好达标，替代性较强。</t>
        </is>
      </c>
      <c r="AO98" s="2" t="inlineStr">
        <is>
          <t>C.熟练工：能胜任重复性工作，但很难承担更高阶的挑战。</t>
        </is>
      </c>
      <c r="AP98" s="2" t="inlineStr">
        <is>
          <t>D.有点影响：目前人员缺失，正好符合这个领域，没人用，有比没有好</t>
        </is>
      </c>
      <c r="AQ98" s="2" t="inlineStr">
        <is>
          <t>D</t>
        </is>
      </c>
      <c r="AR98" s="2" t="inlineStr">
        <is>
          <t>D</t>
        </is>
      </c>
      <c r="AS98" s="2" t="inlineStr">
        <is>
          <t>一致</t>
        </is>
      </c>
      <c r="AT98" s="2" t="inlineStr">
        <is>
          <t>D</t>
        </is>
      </c>
      <c r="AU98" s="2"/>
      <c r="AV98" s="3"/>
      <c r="AW98" s="3"/>
      <c r="AX98" s="3"/>
      <c r="AY98" s="2" t="inlineStr">
        <is>
          <t>无对照</t>
        </is>
      </c>
      <c r="AZ98" s="2" t="inlineStr">
        <is>
          <t>鲁子恒，该成员为2025年度应届生，入职马来西亚国外，进入技术中心规培后，参与技术中心中心办公室及管理创新相关工作，主要工作由直属主管拆解后，带领和对接处理。该成员工作过程中需要直属主管详细研究并逐步拆解后，由其进行实操处理，过程中需要主管进行较大精力的跟进和答复处理。氚云表单搭建工作及RPA搭建工作目前仅能掌握基础性技能，且需要直属主管严密跟进。后续部门将做进一步的引导和培训，提高其个人的整体能力，望在后续逐步增强个人探索和作战能力，逐步降低主管分解任务的精细度，进一步提高团队整体的工作效率。</t>
        </is>
      </c>
      <c r="BA98" s="7" t="n">
        <v>3</v>
      </c>
      <c r="BB98" s="7" t="n">
        <v>2</v>
      </c>
      <c r="BC98" s="7" t="n">
        <v>1</v>
      </c>
      <c r="BD98" s="7" t="n">
        <v>2</v>
      </c>
      <c r="BE98" s="7" t="n">
        <v>2</v>
      </c>
      <c r="BF98" s="7" t="n">
        <v>5</v>
      </c>
      <c r="BG98" s="7" t="n">
        <v>4</v>
      </c>
      <c r="BH98" s="7" t="n">
        <v>1</v>
      </c>
      <c r="BI98" s="7" t="n">
        <v>2</v>
      </c>
      <c r="BJ98" s="7" t="n">
        <v>2</v>
      </c>
      <c r="BK98" s="7" t="n">
        <v>3</v>
      </c>
      <c r="BL98" s="7" t="n">
        <v>3</v>
      </c>
      <c r="BM98" s="7" t="n">
        <v>3</v>
      </c>
      <c r="BN98" s="7" t="n">
        <v>3</v>
      </c>
      <c r="BO98" s="7" t="n">
        <v>3</v>
      </c>
      <c r="BP98" s="7" t="n">
        <v>2</v>
      </c>
      <c r="BQ98" s="7" t="n">
        <v>2</v>
      </c>
      <c r="BR98" s="7" t="n">
        <v>3</v>
      </c>
      <c r="BS98" s="7" t="n">
        <v>3</v>
      </c>
      <c r="BT98" s="7" t="n">
        <v>1</v>
      </c>
      <c r="BU98" s="7" t="n">
        <v>50</v>
      </c>
      <c r="BV98" s="2" t="inlineStr">
        <is>
          <t>C.建议与其他岗位合并</t>
        </is>
      </c>
      <c r="BW98" s="2" t="inlineStr">
        <is>
          <t>暂无</t>
        </is>
      </c>
      <c r="BX98" s="2" t="inlineStr">
        <is>
          <t>暂无</t>
        </is>
      </c>
      <c r="BY98" s="6">
        <f>HYPERLINK("https://www.h3yun.com/Form/Attachments/?schemacode=D148357733993cc00c048ad9898e53f5f82cbb9&amp;bizObjectId=149f1b2e-b14d-4369-aed7-9923e780ed62&amp;name=F0000016","点击查看")</f>
        <v>0</v>
      </c>
      <c r="BZ98" s="2" t="inlineStr">
        <is>
          <t>2026-05-07 17:24:23</t>
        </is>
      </c>
      <c r="CA98" s="2" t="inlineStr">
        <is>
          <t>D</t>
        </is>
      </c>
      <c r="CB98" s="2" t="inlineStr">
        <is>
          <t>已提交</t>
        </is>
      </c>
      <c r="CC98" s="2" t="inlineStr">
        <is>
          <t>无</t>
        </is>
      </c>
      <c r="CD98" s="2" t="inlineStr">
        <is>
          <t>无</t>
        </is>
      </c>
      <c r="CE98" s="2" t="inlineStr">
        <is>
          <t>无</t>
        </is>
      </c>
      <c r="CF98" s="2"/>
      <c r="CG98" s="2" t="inlineStr">
        <is>
          <t>42900620020110633x</t>
        </is>
      </c>
      <c r="CH98" s="2" t="inlineStr">
        <is>
          <t>已生效</t>
        </is>
      </c>
      <c r="CI98" s="2"/>
      <c r="CJ98" s="2"/>
      <c r="CK98" s="2"/>
      <c r="CL98" s="2"/>
      <c r="CM98" s="2"/>
      <c r="CN98" s="2"/>
      <c r="CO98" s="2"/>
      <c r="CP98" s="2"/>
    </row>
    <row r="99">
      <c r="A99" s="2" t="inlineStr">
        <is>
          <t>86a91e93-5774-4ca9-abaf-a7a5e977f6d1</t>
        </is>
      </c>
      <c r="B99" s="2" t="inlineStr">
        <is>
          <t>D.欠饱和，没想起来给他布置工作的话很可能就是闲着</t>
        </is>
      </c>
      <c r="C99" s="2" t="inlineStr">
        <is>
          <t>马来西亚分公司（国内采购）    冯俊杰    男    张威</t>
        </is>
      </c>
      <c r="D99" s="2" t="inlineStr">
        <is>
          <t>Anonymous</t>
        </is>
      </c>
      <c r="E99" s="2" t="inlineStr">
        <is>
          <t>Anonymous</t>
        </is>
      </c>
      <c r="F99" s="2"/>
      <c r="G99" s="2" t="inlineStr">
        <is>
          <t>2026-05-25 10:56:15</t>
        </is>
      </c>
      <c r="H99" s="2" t="inlineStr">
        <is>
          <t>张威</t>
        </is>
      </c>
      <c r="I99" s="2" t="inlineStr">
        <is>
          <t>321027198912083075</t>
        </is>
      </c>
      <c r="J99" s="2" t="inlineStr">
        <is>
          <t>男</t>
        </is>
      </c>
      <c r="K99" s="2" t="inlineStr">
        <is>
          <t>技术中心</t>
        </is>
      </c>
      <c r="L99" s="2" t="inlineStr">
        <is>
          <t>2012-07-01</t>
        </is>
      </c>
      <c r="M99" s="2" t="inlineStr">
        <is>
          <t>常州大学</t>
        </is>
      </c>
      <c r="N99" s="2" t="inlineStr">
        <is>
          <t>过控</t>
        </is>
      </c>
      <c r="O99" s="2" t="inlineStr">
        <is>
          <t>本科</t>
        </is>
      </c>
      <c r="P99" s="2" t="inlineStr">
        <is>
          <t>马来西亚分公司（国内采购）</t>
        </is>
      </c>
      <c r="Q99" s="2" t="inlineStr">
        <is>
          <t>冯俊杰</t>
        </is>
      </c>
      <c r="R99" s="2" t="inlineStr">
        <is>
          <t>男</t>
        </is>
      </c>
      <c r="S99" s="2" t="inlineStr">
        <is>
          <t>2025-08-01</t>
        </is>
      </c>
      <c r="T99" s="2" t="inlineStr">
        <is>
          <t>技术助理(三)</t>
        </is>
      </c>
      <c r="U99" s="2" t="inlineStr">
        <is>
          <t>金陵科技学院</t>
        </is>
      </c>
      <c r="V99" s="2" t="inlineStr">
        <is>
          <t>自动化</t>
        </is>
      </c>
      <c r="W99" s="2" t="inlineStr">
        <is>
          <t>本科</t>
        </is>
      </c>
      <c r="X99" s="2" t="inlineStr">
        <is>
          <t>C.拖沓被动：需要主管反复催促，才能勉强按时交差。</t>
        </is>
      </c>
      <c r="Y99" s="2" t="inlineStr">
        <is>
          <t>C.看心情/状态：状态好时不错，状态差时漏洞百出。</t>
        </is>
      </c>
      <c r="Z99" s="2" t="inlineStr">
        <is>
          <t>B.比较省心：只需定期同步一下进度，不需要主管盯着细节，能独立把事情办成。</t>
        </is>
      </c>
      <c r="AA99" s="2" t="inlineStr">
        <is>
          <t>C.只知其一：只知道自己怎么操作，不知道为什么要这么做。</t>
        </is>
      </c>
      <c r="AB99" s="2" t="inlineStr">
        <is>
          <t>B.尽力而为：能解决大部分问题，解决不了的会及时求助。</t>
        </is>
      </c>
      <c r="AC99" s="2" t="inlineStr">
        <is>
          <t>A.模范标兵：严于律己，从未在琐事上让主管费心。</t>
        </is>
      </c>
      <c r="AD99" s="2" t="inlineStr">
        <is>
          <t>C.照章办事：给多少干多少，完全按老规矩来，从不思考变革</t>
        </is>
      </c>
      <c r="AE99" s="2" t="inlineStr">
        <is>
          <t>C.沟通被动：你不催他不去，去了也带不回明确结果。</t>
        </is>
      </c>
      <c r="AF99" s="2" t="inlineStr">
        <is>
          <t>C.偶尔断片：答应得好好的，但中间不反馈，非得主管去追。</t>
        </is>
      </c>
      <c r="AG99" s="2" t="inlineStr">
        <is>
          <t>C.旁观者：不关心团队，只关心自己的工作。</t>
        </is>
      </c>
      <c r="AH99" s="2" t="inlineStr">
        <is>
          <t>B.懂得求助：在尝试后会及时向主管或同事反馈，寻求资源支持。</t>
        </is>
      </c>
      <c r="AI99" s="2" t="inlineStr">
        <is>
          <t>C. 守好地盘：只管自己那一块，多一点都不想碰。</t>
        </is>
      </c>
      <c r="AJ99" s="2" t="inlineStr">
        <is>
          <t>C.较为配合：不抱怨，但压力较大时，工作质量会随之下滑。</t>
        </is>
      </c>
      <c r="AK99" s="2" t="inlineStr">
        <is>
          <t>B.照单全收：态度很好，虽然不一定完全理解，但会按要求改。</t>
        </is>
      </c>
      <c r="AL99" s="2" t="inlineStr">
        <is>
          <t>C.慢工细活：需要反复教，掌握过程比较吃力。</t>
        </is>
      </c>
      <c r="AM99" s="2" t="inlineStr">
        <is>
          <t>C.技能私有：自己干得好也愿意分享，但是不会总结或讲不出来。</t>
        </is>
      </c>
      <c r="AN99" s="2" t="inlineStr">
        <is>
          <t>D.亟待提升：明显低于平均水平，拖了部门后腿。</t>
        </is>
      </c>
      <c r="AO99" s="2" t="inlineStr">
        <is>
          <t>C.熟练工：能胜任重复性工作，但很难承担更高阶的挑战。</t>
        </is>
      </c>
      <c r="AP99" s="2" t="inlineStr">
        <is>
          <t>D.有点影响：目前人员缺失，正好符合这个领域，没人用，有比没有好</t>
        </is>
      </c>
      <c r="AQ99" s="2" t="inlineStr">
        <is>
          <t>D</t>
        </is>
      </c>
      <c r="AR99" s="2" t="inlineStr">
        <is>
          <t>D</t>
        </is>
      </c>
      <c r="AS99" s="2" t="inlineStr">
        <is>
          <t>一致</t>
        </is>
      </c>
      <c r="AT99" s="2" t="inlineStr">
        <is>
          <t>D</t>
        </is>
      </c>
      <c r="AU99" s="2"/>
      <c r="AV99" s="3"/>
      <c r="AW99" s="3"/>
      <c r="AX99" s="3"/>
      <c r="AY99" s="2" t="inlineStr">
        <is>
          <t>无对照</t>
        </is>
      </c>
      <c r="AZ99" s="2" t="inlineStr">
        <is>
          <t>工作认真负责，能够落实主管安排的各项工作。不足之处在于管道专业相关资料较为欠缺，一定程度限制了工作效率，建议后续补充完善</t>
        </is>
      </c>
      <c r="BA99" s="7" t="n">
        <v>2</v>
      </c>
      <c r="BB99" s="7" t="n">
        <v>2</v>
      </c>
      <c r="BC99" s="7" t="n">
        <v>4</v>
      </c>
      <c r="BD99" s="7" t="n">
        <v>2</v>
      </c>
      <c r="BE99" s="7" t="n">
        <v>4</v>
      </c>
      <c r="BF99" s="7" t="n">
        <v>5</v>
      </c>
      <c r="BG99" s="7" t="n">
        <v>3</v>
      </c>
      <c r="BH99" s="7" t="n">
        <v>1</v>
      </c>
      <c r="BI99" s="7" t="n">
        <v>2</v>
      </c>
      <c r="BJ99" s="7" t="n">
        <v>2</v>
      </c>
      <c r="BK99" s="7" t="n">
        <v>3</v>
      </c>
      <c r="BL99" s="7" t="n">
        <v>3</v>
      </c>
      <c r="BM99" s="7" t="n">
        <v>2</v>
      </c>
      <c r="BN99" s="7" t="n">
        <v>3</v>
      </c>
      <c r="BO99" s="7" t="n">
        <v>3</v>
      </c>
      <c r="BP99" s="7" t="n">
        <v>2</v>
      </c>
      <c r="BQ99" s="7" t="n">
        <v>2</v>
      </c>
      <c r="BR99" s="7" t="n">
        <v>1</v>
      </c>
      <c r="BS99" s="7" t="n">
        <v>3</v>
      </c>
      <c r="BT99" s="7" t="n">
        <v>1</v>
      </c>
      <c r="BU99" s="7" t="n">
        <v>50</v>
      </c>
      <c r="BV99" s="2" t="inlineStr">
        <is>
          <t>B.存不存在均可</t>
        </is>
      </c>
      <c r="BW99" s="2"/>
      <c r="BX99" s="2"/>
      <c r="BY99" s="6">
        <f>HYPERLINK("https://www.h3yun.com/Form/Attachments/?schemacode=D148357733993cc00c048ad9898e53f5f82cbb9&amp;bizObjectId=86a91e93-5774-4ca9-abaf-a7a5e977f6d1&amp;name=F0000016","点击查看")</f>
        <v>0</v>
      </c>
      <c r="BZ99" s="2" t="inlineStr">
        <is>
          <t>2026-05-07 17:16:41</t>
        </is>
      </c>
      <c r="CA99" s="2" t="inlineStr">
        <is>
          <t>D</t>
        </is>
      </c>
      <c r="CB99" s="2" t="inlineStr">
        <is>
          <t>已提交</t>
        </is>
      </c>
      <c r="CC99" s="2" t="inlineStr">
        <is>
          <t>无</t>
        </is>
      </c>
      <c r="CD99" s="2" t="inlineStr">
        <is>
          <t>无</t>
        </is>
      </c>
      <c r="CE99" s="2" t="inlineStr">
        <is>
          <t>无</t>
        </is>
      </c>
      <c r="CF99" s="2"/>
      <c r="CG99" s="2" t="inlineStr">
        <is>
          <t>32028120021028177X</t>
        </is>
      </c>
      <c r="CH99" s="2" t="inlineStr">
        <is>
          <t>已生效</t>
        </is>
      </c>
      <c r="CI99" s="2"/>
      <c r="CJ99" s="2"/>
      <c r="CK99" s="2"/>
      <c r="CL99" s="2"/>
      <c r="CM99" s="2"/>
      <c r="CN99" s="2"/>
      <c r="CO99" s="2"/>
      <c r="CP99" s="2"/>
    </row>
    <row r="100">
      <c r="A100" s="2" t="inlineStr">
        <is>
          <t>e02c4af9-1015-430a-a373-bfcf51604603</t>
        </is>
      </c>
      <c r="B100" s="2" t="inlineStr">
        <is>
          <t>C.均衡，工作负荷一般，按部就班完成工作，除了突发时间几乎不用加班</t>
        </is>
      </c>
      <c r="C100" s="2" t="inlineStr">
        <is>
          <t>物资部    周勋禹    男    张威</t>
        </is>
      </c>
      <c r="D100" s="2" t="inlineStr">
        <is>
          <t>Anonymous</t>
        </is>
      </c>
      <c r="E100" s="2" t="inlineStr">
        <is>
          <t>Anonymous</t>
        </is>
      </c>
      <c r="F100" s="2"/>
      <c r="G100" s="2" t="inlineStr">
        <is>
          <t>2026-05-25 10:56:15</t>
        </is>
      </c>
      <c r="H100" s="2" t="inlineStr">
        <is>
          <t>张威</t>
        </is>
      </c>
      <c r="I100" s="2" t="inlineStr">
        <is>
          <t>321027198912083075</t>
        </is>
      </c>
      <c r="J100" s="2" t="inlineStr">
        <is>
          <t>男</t>
        </is>
      </c>
      <c r="K100" s="2" t="inlineStr">
        <is>
          <t>技术中心</t>
        </is>
      </c>
      <c r="L100" s="2" t="inlineStr">
        <is>
          <t>2012-07-01</t>
        </is>
      </c>
      <c r="M100" s="2" t="inlineStr">
        <is>
          <t>常州大学</t>
        </is>
      </c>
      <c r="N100" s="2" t="inlineStr">
        <is>
          <t>过控</t>
        </is>
      </c>
      <c r="O100" s="2" t="inlineStr">
        <is>
          <t>本科</t>
        </is>
      </c>
      <c r="P100" s="2" t="inlineStr">
        <is>
          <t>物资部</t>
        </is>
      </c>
      <c r="Q100" s="2" t="inlineStr">
        <is>
          <t>周勋禹</t>
        </is>
      </c>
      <c r="R100" s="2" t="inlineStr">
        <is>
          <t>男</t>
        </is>
      </c>
      <c r="S100" s="2" t="inlineStr">
        <is>
          <t>2023-08-01</t>
        </is>
      </c>
      <c r="T100" s="2" t="inlineStr">
        <is>
          <t>技术助理(二)</t>
        </is>
      </c>
      <c r="U100" s="2" t="inlineStr">
        <is>
          <t>宿州学院</t>
        </is>
      </c>
      <c r="V100" s="2" t="inlineStr">
        <is>
          <t>材料员</t>
        </is>
      </c>
      <c r="W100" s="2" t="inlineStr">
        <is>
          <t>本科</t>
        </is>
      </c>
      <c r="X100" s="2" t="inlineStr">
        <is>
          <t>C.拖沓被动：需要主管反复催促，才能勉强按时交差。</t>
        </is>
      </c>
      <c r="Y100" s="2" t="inlineStr">
        <is>
          <t>C.看心情/状态：状态好时不错，状态差时漏洞百出。</t>
        </is>
      </c>
      <c r="Z100" s="2" t="inlineStr">
        <is>
          <t>B.比较省心：只需定期同步一下进度，不需要主管盯着细节，能独立把事情办成。</t>
        </is>
      </c>
      <c r="AA100" s="2" t="inlineStr">
        <is>
          <t>B.清楚岗位：对自己岗位的活儿很门清，略知上下游。</t>
        </is>
      </c>
      <c r="AB100" s="2" t="inlineStr">
        <is>
          <t>B.尽力而为：能解决大部分问题，解决不了的会及时求助。</t>
        </is>
      </c>
      <c r="AC100" s="2" t="inlineStr">
        <is>
          <t>A.模范标兵：严于律己，从未在琐事上让主管费心。</t>
        </is>
      </c>
      <c r="AD100" s="2" t="inlineStr">
        <is>
          <t>B.偶尔思考：在主管启发下，能提出一些优化想法</t>
        </is>
      </c>
      <c r="AE100" s="2" t="inlineStr">
        <is>
          <t>B.正常沟通：能清晰表达需求，维持基本的协作。</t>
        </is>
      </c>
      <c r="AF100" s="2" t="inlineStr">
        <is>
          <t>C.偶尔断片：答应得好好的，但中间不反馈，非得主管去追。</t>
        </is>
      </c>
      <c r="AG100" s="2" t="inlineStr">
        <is>
          <t>B.稳定器：做好自己，不给团队添乱，是可靠的一员。</t>
        </is>
      </c>
      <c r="AH100" s="2" t="inlineStr">
        <is>
          <t>B.懂得求助：在尝试后会及时向主管或同事反馈，寻求资源支持。</t>
        </is>
      </c>
      <c r="AI100" s="2" t="inlineStr">
        <is>
          <t>C. 守好地盘：只管自己那一块，多一点都不想碰。</t>
        </is>
      </c>
      <c r="AJ100" s="2" t="inlineStr">
        <is>
          <t>C.较为配合：不抱怨，但压力较大时，工作质量会随之下滑。</t>
        </is>
      </c>
      <c r="AK100" s="2" t="inlineStr">
        <is>
          <t>B.照单全收：态度很好，虽然不一定完全理解，但会按要求改。</t>
        </is>
      </c>
      <c r="AL100" s="2" t="inlineStr">
        <is>
          <t>C.慢工细活：需要反复教，掌握过程比较吃力。</t>
        </is>
      </c>
      <c r="AM100" s="2" t="inlineStr">
        <is>
          <t>C.技能私有：自己干得好也愿意分享，但是不会总结或讲不出来。</t>
        </is>
      </c>
      <c r="AN100" s="2" t="inlineStr">
        <is>
          <t>C.中规中矩：刚好达标，替代性较强。</t>
        </is>
      </c>
      <c r="AO100" s="2" t="inlineStr">
        <is>
          <t>C.熟练工：能胜任重复性工作，但很难承担更高阶的挑战。</t>
        </is>
      </c>
      <c r="AP100" s="2" t="inlineStr">
        <is>
          <t>D.有点影响：目前人员缺失，正好符合这个领域，没人用，有比没有好</t>
        </is>
      </c>
      <c r="AQ100" s="2" t="inlineStr">
        <is>
          <t>C</t>
        </is>
      </c>
      <c r="AR100" s="2" t="inlineStr">
        <is>
          <t>C</t>
        </is>
      </c>
      <c r="AS100" s="2" t="inlineStr">
        <is>
          <t>一致</t>
        </is>
      </c>
      <c r="AT100" s="2" t="inlineStr">
        <is>
          <t>C</t>
        </is>
      </c>
      <c r="AU100" s="2"/>
      <c r="AV100" s="3"/>
      <c r="AW100" s="3"/>
      <c r="AX100" s="3"/>
      <c r="AY100" s="2" t="inlineStr">
        <is>
          <t>D</t>
        </is>
      </c>
      <c r="AZ100" s="2" t="inlineStr">
        <is>
          <t>在兼顾原部门与轮岗部门工作的过程中，因精力有限，轮岗部门的材料代码核对工作效率与准确率难以持续稳定，偶尔会出现错误率偏高的情况。</t>
        </is>
      </c>
      <c r="BA100" s="7" t="n">
        <v>2</v>
      </c>
      <c r="BB100" s="7" t="n">
        <v>2</v>
      </c>
      <c r="BC100" s="7" t="n">
        <v>4</v>
      </c>
      <c r="BD100" s="7" t="n">
        <v>4</v>
      </c>
      <c r="BE100" s="7" t="n">
        <v>4</v>
      </c>
      <c r="BF100" s="7" t="n">
        <v>5</v>
      </c>
      <c r="BG100" s="7" t="n">
        <v>4</v>
      </c>
      <c r="BH100" s="7" t="n">
        <v>3.5</v>
      </c>
      <c r="BI100" s="7" t="n">
        <v>2</v>
      </c>
      <c r="BJ100" s="7" t="n">
        <v>4</v>
      </c>
      <c r="BK100" s="7" t="n">
        <v>3</v>
      </c>
      <c r="BL100" s="7" t="n">
        <v>3</v>
      </c>
      <c r="BM100" s="7" t="n">
        <v>3</v>
      </c>
      <c r="BN100" s="7" t="n">
        <v>3</v>
      </c>
      <c r="BO100" s="7" t="n">
        <v>3</v>
      </c>
      <c r="BP100" s="7" t="n">
        <v>2</v>
      </c>
      <c r="BQ100" s="7" t="n">
        <v>2</v>
      </c>
      <c r="BR100" s="7" t="n">
        <v>3</v>
      </c>
      <c r="BS100" s="7" t="n">
        <v>3</v>
      </c>
      <c r="BT100" s="7" t="n">
        <v>1</v>
      </c>
      <c r="BU100" s="7" t="n">
        <v>60.5</v>
      </c>
      <c r="BV100" s="2" t="inlineStr">
        <is>
          <t>B.存不存在均可</t>
        </is>
      </c>
      <c r="BW100" s="2"/>
      <c r="BX100" s="2"/>
      <c r="BY100" s="6">
        <f>HYPERLINK("https://www.h3yun.com/Form/Attachments/?schemacode=D148357733993cc00c048ad9898e53f5f82cbb9&amp;bizObjectId=e02c4af9-1015-430a-a373-bfcf51604603&amp;name=F0000016","点击查看")</f>
        <v>0</v>
      </c>
      <c r="BZ100" s="2" t="inlineStr">
        <is>
          <t>2026-05-07 17:08:22</t>
        </is>
      </c>
      <c r="CA100" s="2" t="inlineStr">
        <is>
          <t>C</t>
        </is>
      </c>
      <c r="CB100" s="2" t="inlineStr">
        <is>
          <t>已提交</t>
        </is>
      </c>
      <c r="CC100" s="2" t="inlineStr">
        <is>
          <t>无</t>
        </is>
      </c>
      <c r="CD100" s="2" t="inlineStr">
        <is>
          <t>无</t>
        </is>
      </c>
      <c r="CE100" s="2" t="inlineStr">
        <is>
          <t>无</t>
        </is>
      </c>
      <c r="CF100" s="2"/>
      <c r="CG100" s="2" t="inlineStr">
        <is>
          <t>340111200101085031</t>
        </is>
      </c>
      <c r="CH100" s="2" t="inlineStr">
        <is>
          <t>已生效</t>
        </is>
      </c>
      <c r="CI100" s="2" t="inlineStr">
        <is>
          <t>a5874b18-4a81-4b4e-9373-22a27893c1ba</t>
        </is>
      </c>
      <c r="CJ100" s="3" t="n">
        <v>1</v>
      </c>
      <c r="CK100" s="2" t="inlineStr">
        <is>
          <t>该成员存在一线工作履历</t>
        </is>
      </c>
      <c r="CL100" s="2" t="inlineStr">
        <is>
          <t>该成员存在一线工作履历</t>
        </is>
      </c>
      <c r="CM100" s="2" t="inlineStr">
        <is>
          <t>南化建司劳2017-1号文-南京南化建设有限公司施工一线专业序列人员分级管理规定</t>
        </is>
      </c>
      <c r="CN100" s="2" t="inlineStr">
        <is>
          <t>第三章第6条D类</t>
        </is>
      </c>
      <c r="CO100" s="2"/>
      <c r="CP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t="inlineStr">
        <is>
          <t>f036535d-aebb-456f-9a97-31083ded304a</t>
        </is>
      </c>
      <c r="CJ101" s="3" t="n">
        <v>2</v>
      </c>
      <c r="CK101" s="2" t="inlineStr">
        <is>
          <t>近五年内该成员存在一线工作履历</t>
        </is>
      </c>
      <c r="CL101" s="2" t="inlineStr">
        <is>
          <t>近五年内该成员存在一线工作履历</t>
        </is>
      </c>
      <c r="CM101" s="2" t="inlineStr">
        <is>
          <t>南化建司劳2017-1号文-南京南化建设有限公司施工一线专业序列人员分级管理规定</t>
        </is>
      </c>
      <c r="CN101" s="2" t="inlineStr">
        <is>
          <t>第三章第6条D类</t>
        </is>
      </c>
      <c r="CO101" s="2"/>
      <c r="CP101" s="2"/>
    </row>
    <row r="102">
      <c r="A102" s="2" t="inlineStr">
        <is>
          <t>fc55e364-496f-45ed-82c7-e2040a2baf2b</t>
        </is>
      </c>
      <c r="B102" s="2" t="inlineStr">
        <is>
          <t>C.均衡，工作负荷一般，按部就班完成工作，除了突发时间几乎不用加班</t>
        </is>
      </c>
      <c r="C102" s="2" t="inlineStr">
        <is>
          <t>信息化中心    杨荣康    男    蔡雷萌</t>
        </is>
      </c>
      <c r="D102" s="2" t="inlineStr">
        <is>
          <t>Anonymous</t>
        </is>
      </c>
      <c r="E102" s="2" t="inlineStr">
        <is>
          <t>Anonymous</t>
        </is>
      </c>
      <c r="F102" s="2"/>
      <c r="G102" s="2" t="inlineStr">
        <is>
          <t>2026-05-25 10:56:15</t>
        </is>
      </c>
      <c r="H102" s="2" t="inlineStr">
        <is>
          <t>蔡雷萌</t>
        </is>
      </c>
      <c r="I102" s="2" t="inlineStr">
        <is>
          <t>320705197403302019</t>
        </is>
      </c>
      <c r="J102" s="2" t="inlineStr">
        <is>
          <t>男</t>
        </is>
      </c>
      <c r="K102" s="2" t="inlineStr">
        <is>
          <t>信息化中心</t>
        </is>
      </c>
      <c r="L102" s="2" t="inlineStr">
        <is>
          <t>1995-08-01</t>
        </is>
      </c>
      <c r="M102" s="2" t="inlineStr">
        <is>
          <t>连云港化工高等专业学校</t>
        </is>
      </c>
      <c r="N102" s="2" t="inlineStr">
        <is>
          <t>电气</t>
        </is>
      </c>
      <c r="O102" s="2" t="inlineStr">
        <is>
          <t>大专</t>
        </is>
      </c>
      <c r="P102" s="2" t="inlineStr">
        <is>
          <t>信息化中心</t>
        </is>
      </c>
      <c r="Q102" s="2" t="inlineStr">
        <is>
          <t>杨荣康</t>
        </is>
      </c>
      <c r="R102" s="2" t="inlineStr">
        <is>
          <t>男</t>
        </is>
      </c>
      <c r="S102" s="2" t="inlineStr">
        <is>
          <t>2026-01-01</t>
        </is>
      </c>
      <c r="T102" s="2" t="inlineStr">
        <is>
          <t>技术助理(一)</t>
        </is>
      </c>
      <c r="U102" s="2" t="inlineStr">
        <is>
          <t>南京理工大学泰州学院</t>
        </is>
      </c>
      <c r="V102" s="2" t="inlineStr">
        <is>
          <t>其他</t>
        </is>
      </c>
      <c r="W102" s="2" t="inlineStr">
        <is>
          <t>本科</t>
        </is>
      </c>
      <c r="X102" s="2" t="inlineStr">
        <is>
          <t>B.按时推进：基本能卡着时间点完成，不掉链子。</t>
        </is>
      </c>
      <c r="Y102" s="2" t="inlineStr">
        <is>
          <t>A.始终如一：无论任务大小，交付件标准都很高。</t>
        </is>
      </c>
      <c r="Z102" s="2" t="inlineStr">
        <is>
          <t>B.比较省心：只需定期同步一下进度，不需要主管盯着细节，能独立把事情办成。</t>
        </is>
      </c>
      <c r="AA102" s="2" t="inlineStr">
        <is>
          <t>A.全局视野：了解上下游，能站在全业务链条考虑问题。</t>
        </is>
      </c>
      <c r="AB102" s="2" t="inlineStr">
        <is>
          <t>A.攻坚克难：会想尽一切办法钻研，直至彻底解决。</t>
        </is>
      </c>
      <c r="AC102" s="2" t="inlineStr">
        <is>
          <t>A.模范标兵：严于律己，从未在琐事上让主管费心。</t>
        </is>
      </c>
      <c r="AD102" s="2" t="inlineStr">
        <is>
          <t>B.偶尔思考：在主管启发下，能提出一些优化想法</t>
        </is>
      </c>
      <c r="AE102" s="2" t="inlineStr">
        <is>
          <t>B.正常沟通：能清晰表达需求，维持基本的协作。</t>
        </is>
      </c>
      <c r="AF102" s="2" t="inlineStr">
        <is>
          <t>B.有问有答：问到时能说清楚进度，基本能做到及时反馈。</t>
        </is>
      </c>
      <c r="AG102" s="2" t="inlineStr">
        <is>
          <t>B.稳定器：做好自己，不给团队添乱，是可靠的一员。</t>
        </is>
      </c>
      <c r="AH102" s="2" t="inlineStr">
        <is>
          <t>B.懂得求助：在尝试后会及时向主管或同事反馈，寻求资源支持。</t>
        </is>
      </c>
      <c r="AI102" s="2" t="inlineStr">
        <is>
          <t>B. 配合接受：主管安排了就干，不推辞。</t>
        </is>
      </c>
      <c r="AJ102" s="2" t="inlineStr">
        <is>
          <t>B.配合度高：虽然有压力，但能服从大局，咬牙顶上去，且质量尚可。</t>
        </is>
      </c>
      <c r="AK102" s="2" t="inlineStr">
        <is>
          <t>A.虚心求教：能听进去，并积极探讨更科学的方法。</t>
        </is>
      </c>
      <c r="AL102" s="2" t="inlineStr">
        <is>
          <t>A.极速掌握：自学能力极强，很快就能成为该领域的“百晓生”。</t>
        </is>
      </c>
      <c r="AM102" s="2" t="inlineStr">
        <is>
          <t>A.总结达人：能把复杂工作写成标准 SOP，让新手直接用。</t>
        </is>
      </c>
      <c r="AN102" s="2" t="inlineStr">
        <is>
          <t>A.第一梯队（Top 10%）：部门的标杆。</t>
        </is>
      </c>
      <c r="AO102" s="2" t="inlineStr">
        <is>
          <t>B.业务骨干：是团队不可或缺的腰部力量。</t>
        </is>
      </c>
      <c r="AP102" s="2" t="inlineStr">
        <is>
          <t>A.晴天霹雳：极其遗憾，会不惜代价挽留，他是部门的支柱。</t>
        </is>
      </c>
      <c r="AQ102" s="2" t="inlineStr">
        <is>
          <t>A</t>
        </is>
      </c>
      <c r="AR102" s="2" t="inlineStr">
        <is>
          <t>A</t>
        </is>
      </c>
      <c r="AS102" s="2" t="inlineStr">
        <is>
          <t>一致</t>
        </is>
      </c>
      <c r="AT102" s="2" t="inlineStr">
        <is>
          <t>A</t>
        </is>
      </c>
      <c r="AU102" s="2"/>
      <c r="AV102" s="3"/>
      <c r="AW102" s="3"/>
      <c r="AX102" s="3"/>
      <c r="AY102" s="2" t="inlineStr">
        <is>
          <t>B</t>
        </is>
      </c>
      <c r="AZ102" s="2" t="inlineStr">
        <is>
          <t>工作积极努力，能独立应对并解决问题，需进一步熟悉企业制度，才能更为彻底的解决问题。同时，杨荣康还需进一步努力学习和使用AI工具，提高效率。</t>
        </is>
      </c>
      <c r="BA102" s="7" t="n">
        <v>3</v>
      </c>
      <c r="BB102" s="7" t="n">
        <v>5</v>
      </c>
      <c r="BC102" s="7" t="n">
        <v>4</v>
      </c>
      <c r="BD102" s="7" t="n">
        <v>5</v>
      </c>
      <c r="BE102" s="7" t="n">
        <v>5</v>
      </c>
      <c r="BF102" s="7" t="n">
        <v>5</v>
      </c>
      <c r="BG102" s="7" t="n">
        <v>4</v>
      </c>
      <c r="BH102" s="7" t="n">
        <v>3.5</v>
      </c>
      <c r="BI102" s="7" t="n">
        <v>4</v>
      </c>
      <c r="BJ102" s="7" t="n">
        <v>4</v>
      </c>
      <c r="BK102" s="7" t="n">
        <v>3</v>
      </c>
      <c r="BL102" s="7" t="n">
        <v>4</v>
      </c>
      <c r="BM102" s="7" t="n">
        <v>3</v>
      </c>
      <c r="BN102" s="7" t="n">
        <v>4</v>
      </c>
      <c r="BO102" s="7" t="n">
        <v>5</v>
      </c>
      <c r="BP102" s="7" t="n">
        <v>5</v>
      </c>
      <c r="BQ102" s="7" t="n">
        <v>5</v>
      </c>
      <c r="BR102" s="7" t="n">
        <v>5</v>
      </c>
      <c r="BS102" s="7" t="n">
        <v>4</v>
      </c>
      <c r="BT102" s="7" t="n">
        <v>5</v>
      </c>
      <c r="BU102" s="7" t="n">
        <v>85.5</v>
      </c>
      <c r="BV102" s="2" t="inlineStr">
        <is>
          <t>A.需要存在，不可去除</t>
        </is>
      </c>
      <c r="BW102" s="2"/>
      <c r="BX102" s="2"/>
      <c r="BY102" s="6">
        <f>HYPERLINK("https://www.h3yun.com/Form/Attachments/?schemacode=D148357733993cc00c048ad9898e53f5f82cbb9&amp;bizObjectId=fc55e364-496f-45ed-82c7-e2040a2baf2b&amp;name=F0000016","点击查看")</f>
        <v>0</v>
      </c>
      <c r="BZ102" s="2" t="inlineStr">
        <is>
          <t>2026-05-07 17:01:45</t>
        </is>
      </c>
      <c r="CA102" s="2" t="inlineStr">
        <is>
          <t>A</t>
        </is>
      </c>
      <c r="CB102" s="2" t="inlineStr">
        <is>
          <t>未提交</t>
        </is>
      </c>
      <c r="CC102" s="2"/>
      <c r="CD102" s="2"/>
      <c r="CE102" s="2"/>
      <c r="CF102" s="2"/>
      <c r="CG102" s="2"/>
      <c r="CH102" s="2" t="inlineStr">
        <is>
          <t>已生效</t>
        </is>
      </c>
      <c r="CI102" s="2" t="inlineStr">
        <is>
          <t>0faee134-3841-4800-a106-5fa4d1227a54</t>
        </is>
      </c>
      <c r="CJ102" s="3" t="n">
        <v>1</v>
      </c>
      <c r="CK102" s="2" t="inlineStr">
        <is>
          <t>近三年至少担任过一个合同额1500万元以上项目相应岗位的主管</t>
        </is>
      </c>
      <c r="CL102" s="2" t="inlineStr">
        <is>
          <t>近三年至少担任过一个合同额1500万元以上项目相应岗位的主管</t>
        </is>
      </c>
      <c r="CM102" s="2" t="inlineStr">
        <is>
          <t>南化建司劳2017-1号文-南京南化建设有限公司施工一线专业序列人员分级管理规定</t>
        </is>
      </c>
      <c r="CN102" s="2" t="inlineStr">
        <is>
          <t>第三章第2条B类</t>
        </is>
      </c>
      <c r="CO102" s="2"/>
      <c r="CP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t="inlineStr">
        <is>
          <t>ee3313b5-46a6-4bc1-9398-b72403d3b1bf</t>
        </is>
      </c>
      <c r="CJ103" s="3" t="n">
        <v>2</v>
      </c>
      <c r="CK103" s="2" t="inlineStr">
        <is>
          <t>公司二级单位或公司职能部门推荐</t>
        </is>
      </c>
      <c r="CL103" s="2" t="inlineStr">
        <is>
          <t>公司二级单位或公司职能部门推荐</t>
        </is>
      </c>
      <c r="CM103" s="2" t="inlineStr">
        <is>
          <t>南化建司劳2017-1号文-南京南化建设有限公司施工一线专业序列人员分级管理规定</t>
        </is>
      </c>
      <c r="CN103" s="2" t="inlineStr">
        <is>
          <t>第三章第2条B类</t>
        </is>
      </c>
      <c r="CO103" s="2"/>
      <c r="CP103" s="2"/>
    </row>
    <row r="104">
      <c r="A104" s="2" t="inlineStr">
        <is>
          <t>776fdc0d-bb20-45ee-9410-26746a41dffc</t>
        </is>
      </c>
      <c r="B104" s="2" t="inlineStr">
        <is>
          <t>C.均衡，工作负荷一般，按部就班完成工作，除了突发时间几乎不用加班</t>
        </is>
      </c>
      <c r="C104" s="2" t="inlineStr">
        <is>
          <t>马来西亚分公司（国内采购）    周瑜来    男    孙书志</t>
        </is>
      </c>
      <c r="D104" s="2" t="inlineStr">
        <is>
          <t>Anonymous</t>
        </is>
      </c>
      <c r="E104" s="2" t="inlineStr">
        <is>
          <t>Anonymous</t>
        </is>
      </c>
      <c r="F104" s="2"/>
      <c r="G104" s="2" t="inlineStr">
        <is>
          <t>2026-05-25 10:56:15</t>
        </is>
      </c>
      <c r="H104" s="2" t="inlineStr">
        <is>
          <t>孙书志</t>
        </is>
      </c>
      <c r="I104" s="2" t="inlineStr">
        <is>
          <t>340822198902171674</t>
        </is>
      </c>
      <c r="J104" s="2" t="inlineStr">
        <is>
          <t>男</t>
        </is>
      </c>
      <c r="K104" s="2" t="inlineStr">
        <is>
          <t>南京永利重工制造有限公司</t>
        </is>
      </c>
      <c r="L104" s="2" t="inlineStr">
        <is>
          <t>2012-07-01</t>
        </is>
      </c>
      <c r="M104" s="2" t="inlineStr">
        <is>
          <t>安徽理工大学</t>
        </is>
      </c>
      <c r="N104" s="2" t="inlineStr">
        <is>
          <t>过控</t>
        </is>
      </c>
      <c r="O104" s="2" t="inlineStr">
        <is>
          <t>本科</t>
        </is>
      </c>
      <c r="P104" s="2" t="inlineStr">
        <is>
          <t>马来西亚分公司（国内采购）</t>
        </is>
      </c>
      <c r="Q104" s="2" t="inlineStr">
        <is>
          <t>周瑜来</t>
        </is>
      </c>
      <c r="R104" s="2" t="inlineStr">
        <is>
          <t>男</t>
        </is>
      </c>
      <c r="S104" s="2" t="inlineStr">
        <is>
          <t>2022-08-01</t>
        </is>
      </c>
      <c r="T104" s="2" t="inlineStr">
        <is>
          <t>技术助理(二)</t>
        </is>
      </c>
      <c r="U104" s="2" t="inlineStr">
        <is>
          <t>常州大学怀德学院</t>
        </is>
      </c>
      <c r="V104" s="2" t="inlineStr">
        <is>
          <t>机制</t>
        </is>
      </c>
      <c r="W104" s="2" t="inlineStr">
        <is>
          <t>本科</t>
        </is>
      </c>
      <c r="X104" s="2" t="inlineStr">
        <is>
          <t>C.拖沓被动：需要主管反复催促，才能勉强按时交差。</t>
        </is>
      </c>
      <c r="Y104" s="2" t="inlineStr">
        <is>
          <t>C.看心情/状态：状态好时不错，状态差时漏洞百出。</t>
        </is>
      </c>
      <c r="Z104" s="2" t="inlineStr">
        <is>
          <t>C.正常跟进：需要主管盯着节点、偶尔提醒进度，或者在跑偏时帮着拽回来。</t>
        </is>
      </c>
      <c r="AA104" s="2" t="inlineStr">
        <is>
          <t>B.清楚岗位：对自己岗位的活儿很门清，略知上下游。</t>
        </is>
      </c>
      <c r="AB104" s="2" t="inlineStr">
        <is>
          <t>B.尽力而为：能解决大部分问题，解决不了的会及时求助。</t>
        </is>
      </c>
      <c r="AC104" s="2" t="inlineStr">
        <is>
          <t>A.模范标兵：严于律己，从未在琐事上让主管费心。</t>
        </is>
      </c>
      <c r="AD104" s="2" t="inlineStr">
        <is>
          <t>C.照章办事：给多少干多少，完全按老规矩来，从不思考变革</t>
        </is>
      </c>
      <c r="AE104" s="2" t="inlineStr">
        <is>
          <t>B.正常沟通：能清晰表达需求，维持基本的协作。</t>
        </is>
      </c>
      <c r="AF104" s="2" t="inlineStr">
        <is>
          <t>B.有问有答：问到时能说清楚进度，基本能做到及时反馈。</t>
        </is>
      </c>
      <c r="AG104" s="2" t="inlineStr">
        <is>
          <t>B.稳定器：做好自己，不给团队添乱，是可靠的一员。</t>
        </is>
      </c>
      <c r="AH104" s="2" t="inlineStr">
        <is>
          <t>B.懂得求助：在尝试后会及时向主管或同事反馈，寻求资源支持。</t>
        </is>
      </c>
      <c r="AI104" s="2" t="inlineStr">
        <is>
          <t>B. 配合接受：主管安排了就干，不推辞。</t>
        </is>
      </c>
      <c r="AJ104" s="2" t="inlineStr">
        <is>
          <t>C.较为配合：不抱怨，但压力较大时，工作质量会随之下滑。</t>
        </is>
      </c>
      <c r="AK104" s="2" t="inlineStr">
        <is>
          <t>B.照单全收：态度很好，虽然不一定完全理解，但会按要求改。</t>
        </is>
      </c>
      <c r="AL104" s="2" t="inlineStr">
        <is>
          <t>C.慢工细活：需要反复教，掌握过程比较吃力。</t>
        </is>
      </c>
      <c r="AM104" s="2" t="inlineStr">
        <is>
          <t>C.技能私有：自己干得好也愿意分享，但是不会总结或讲不出来。</t>
        </is>
      </c>
      <c r="AN104" s="2" t="inlineStr">
        <is>
          <t>C.中规中矩：刚好达标，替代性较强。</t>
        </is>
      </c>
      <c r="AO104" s="2" t="inlineStr">
        <is>
          <t>C.熟练工：能胜任重复性工作，但很难承担更高阶的挑战。</t>
        </is>
      </c>
      <c r="AP104" s="2" t="inlineStr">
        <is>
          <t>C.正常更替：走就走吧，招个新人培养一下也没什么区别。</t>
        </is>
      </c>
      <c r="AQ104" s="2" t="inlineStr">
        <is>
          <t>C</t>
        </is>
      </c>
      <c r="AR104" s="2" t="inlineStr">
        <is>
          <t>C</t>
        </is>
      </c>
      <c r="AS104" s="2" t="inlineStr">
        <is>
          <t>一致</t>
        </is>
      </c>
      <c r="AT104" s="2" t="inlineStr">
        <is>
          <t>C</t>
        </is>
      </c>
      <c r="AU104" s="2"/>
      <c r="AV104" s="3"/>
      <c r="AW104" s="3"/>
      <c r="AX104" s="3"/>
      <c r="AY104" s="2" t="inlineStr">
        <is>
          <t>D</t>
        </is>
      </c>
      <c r="AZ104" s="2" t="inlineStr">
        <is>
          <t>1.工作态度较好
2.专业性尚可
3.协调能力较弱
希望积极主动掌握新技术新方法</t>
        </is>
      </c>
      <c r="BA104" s="7" t="n">
        <v>2</v>
      </c>
      <c r="BB104" s="7" t="n">
        <v>2</v>
      </c>
      <c r="BC104" s="7" t="n">
        <v>3</v>
      </c>
      <c r="BD104" s="7" t="n">
        <v>4</v>
      </c>
      <c r="BE104" s="7" t="n">
        <v>4</v>
      </c>
      <c r="BF104" s="7" t="n">
        <v>5</v>
      </c>
      <c r="BG104" s="7" t="n">
        <v>3</v>
      </c>
      <c r="BH104" s="7" t="n">
        <v>3.5</v>
      </c>
      <c r="BI104" s="7" t="n">
        <v>4</v>
      </c>
      <c r="BJ104" s="7" t="n">
        <v>4</v>
      </c>
      <c r="BK104" s="7" t="n">
        <v>3</v>
      </c>
      <c r="BL104" s="7" t="n">
        <v>4</v>
      </c>
      <c r="BM104" s="7" t="n">
        <v>3</v>
      </c>
      <c r="BN104" s="7" t="n">
        <v>3</v>
      </c>
      <c r="BO104" s="7" t="n">
        <v>3</v>
      </c>
      <c r="BP104" s="7" t="n">
        <v>2</v>
      </c>
      <c r="BQ104" s="7" t="n">
        <v>2</v>
      </c>
      <c r="BR104" s="7" t="n">
        <v>3</v>
      </c>
      <c r="BS104" s="7" t="n">
        <v>3</v>
      </c>
      <c r="BT104" s="7" t="n">
        <v>3</v>
      </c>
      <c r="BU104" s="7" t="n">
        <v>63.5</v>
      </c>
      <c r="BV104" s="2" t="inlineStr">
        <is>
          <t>B.存不存在均可</t>
        </is>
      </c>
      <c r="BW104" s="2"/>
      <c r="BX104" s="2"/>
      <c r="BY104" s="6">
        <f>HYPERLINK("https://www.h3yun.com/Form/Attachments/?schemacode=D148357733993cc00c048ad9898e53f5f82cbb9&amp;bizObjectId=776fdc0d-bb20-45ee-9410-26746a41dffc&amp;name=F0000016","点击查看")</f>
        <v>0</v>
      </c>
      <c r="BZ104" s="2" t="inlineStr">
        <is>
          <t>2026-05-07 16:59:20</t>
        </is>
      </c>
      <c r="CA104" s="2" t="inlineStr">
        <is>
          <t>C</t>
        </is>
      </c>
      <c r="CB104" s="2" t="inlineStr">
        <is>
          <t>已提交</t>
        </is>
      </c>
      <c r="CC104" s="2" t="inlineStr">
        <is>
          <t>助理工程师</t>
        </is>
      </c>
      <c r="CD104" s="2" t="inlineStr">
        <is>
          <t>无</t>
        </is>
      </c>
      <c r="CE104" s="2" t="inlineStr">
        <is>
          <t>优秀员工</t>
        </is>
      </c>
      <c r="CF104" s="2"/>
      <c r="CG104" s="2" t="inlineStr">
        <is>
          <t>360481199911012014</t>
        </is>
      </c>
      <c r="CH104" s="2" t="inlineStr">
        <is>
          <t>已生效</t>
        </is>
      </c>
      <c r="CI104" s="2" t="inlineStr">
        <is>
          <t>411f9c4b-b868-4c70-9565-1d58b737c49f</t>
        </is>
      </c>
      <c r="CJ104" s="3" t="n">
        <v>1</v>
      </c>
      <c r="CK104" s="2" t="inlineStr">
        <is>
          <t>该成员存在一线工作履历</t>
        </is>
      </c>
      <c r="CL104" s="2" t="inlineStr">
        <is>
          <t>该成员存在一线工作履历</t>
        </is>
      </c>
      <c r="CM104" s="2" t="inlineStr">
        <is>
          <t>南化建司劳2017-1号文-南京南化建设有限公司施工一线专业序列人员分级管理规定</t>
        </is>
      </c>
      <c r="CN104" s="2" t="inlineStr">
        <is>
          <t>第三章第6条D类</t>
        </is>
      </c>
      <c r="CO104" s="2"/>
      <c r="CP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t="inlineStr">
        <is>
          <t>f72bef17-0602-424c-a5d0-4fcf3cc37fbf</t>
        </is>
      </c>
      <c r="CJ105" s="3" t="n">
        <v>2</v>
      </c>
      <c r="CK105" s="2" t="inlineStr">
        <is>
          <t>近五年内该成员存在一线工作履历</t>
        </is>
      </c>
      <c r="CL105" s="2" t="inlineStr">
        <is>
          <t>近五年内该成员存在一线工作履历</t>
        </is>
      </c>
      <c r="CM105" s="2" t="inlineStr">
        <is>
          <t>南化建司劳2017-1号文-南京南化建设有限公司施工一线专业序列人员分级管理规定</t>
        </is>
      </c>
      <c r="CN105" s="2" t="inlineStr">
        <is>
          <t>第三章第6条D类</t>
        </is>
      </c>
      <c r="CO105" s="2"/>
      <c r="CP105" s="2"/>
    </row>
    <row r="106">
      <c r="A106" s="2" t="inlineStr">
        <is>
          <t>a9984187-d443-48e6-89cd-ea6fe3efebb2</t>
        </is>
      </c>
      <c r="B106" s="2" t="inlineStr">
        <is>
          <t>C.均衡，工作负荷一般，按部就班完成工作，除了突发时间几乎不用加班</t>
        </is>
      </c>
      <c r="C106" s="2" t="inlineStr">
        <is>
          <t>马来西亚分公司（国内采购）    周国龙    男    孙书志</t>
        </is>
      </c>
      <c r="D106" s="2" t="inlineStr">
        <is>
          <t>Anonymous</t>
        </is>
      </c>
      <c r="E106" s="2" t="inlineStr">
        <is>
          <t>Anonymous</t>
        </is>
      </c>
      <c r="F106" s="2"/>
      <c r="G106" s="2" t="inlineStr">
        <is>
          <t>2026-05-25 10:56:15</t>
        </is>
      </c>
      <c r="H106" s="2" t="inlineStr">
        <is>
          <t>孙书志</t>
        </is>
      </c>
      <c r="I106" s="2" t="inlineStr">
        <is>
          <t>340822198902171674</t>
        </is>
      </c>
      <c r="J106" s="2" t="inlineStr">
        <is>
          <t>男</t>
        </is>
      </c>
      <c r="K106" s="2" t="inlineStr">
        <is>
          <t>南京永利重工制造有限公司</t>
        </is>
      </c>
      <c r="L106" s="2" t="inlineStr">
        <is>
          <t>2012-07-01</t>
        </is>
      </c>
      <c r="M106" s="2" t="inlineStr">
        <is>
          <t>安徽理工大学</t>
        </is>
      </c>
      <c r="N106" s="2" t="inlineStr">
        <is>
          <t>过控</t>
        </is>
      </c>
      <c r="O106" s="2" t="inlineStr">
        <is>
          <t>本科</t>
        </is>
      </c>
      <c r="P106" s="2" t="inlineStr">
        <is>
          <t>马来西亚分公司（国内采购）</t>
        </is>
      </c>
      <c r="Q106" s="2" t="inlineStr">
        <is>
          <t>周国龙</t>
        </is>
      </c>
      <c r="R106" s="2" t="inlineStr">
        <is>
          <t>男</t>
        </is>
      </c>
      <c r="S106" s="2" t="inlineStr">
        <is>
          <t>2023-08-01</t>
        </is>
      </c>
      <c r="T106" s="2" t="inlineStr">
        <is>
          <t>技术助理(二)</t>
        </is>
      </c>
      <c r="U106" s="2" t="inlineStr">
        <is>
          <t>昆明理工大学</t>
        </is>
      </c>
      <c r="V106" s="2" t="inlineStr">
        <is>
          <t>焊接</t>
        </is>
      </c>
      <c r="W106" s="2" t="inlineStr">
        <is>
          <t>本科</t>
        </is>
      </c>
      <c r="X106" s="2" t="inlineStr">
        <is>
          <t>B.按时推进：基本能卡着时间点完成，不掉链子。</t>
        </is>
      </c>
      <c r="Y106" s="2" t="inlineStr">
        <is>
          <t>B.基本稳定：偶有小瑕疵，但不影响整体使用。</t>
        </is>
      </c>
      <c r="Z106" s="2" t="inlineStr">
        <is>
          <t>B.比较省心：只需定期同步一下进度，不需要主管盯着细节，能独立把事情办成。</t>
        </is>
      </c>
      <c r="AA106" s="2" t="inlineStr">
        <is>
          <t>B.清楚岗位：对自己岗位的活儿很门清，略知上下游。</t>
        </is>
      </c>
      <c r="AB106" s="2" t="inlineStr">
        <is>
          <t>A.攻坚克难：会想尽一切办法钻研，直至彻底解决。</t>
        </is>
      </c>
      <c r="AC106" s="2" t="inlineStr">
        <is>
          <t>A.模范标兵：严于律己，从未在琐事上让主管费心。</t>
        </is>
      </c>
      <c r="AD106" s="2" t="inlineStr">
        <is>
          <t>B.偶尔思考：在主管启发下，能提出一些优化想法</t>
        </is>
      </c>
      <c r="AE106" s="2" t="inlineStr">
        <is>
          <t>B.正常沟通：能清晰表达需求，维持基本的协作。</t>
        </is>
      </c>
      <c r="AF106" s="2" t="inlineStr">
        <is>
          <t>B.有问有答：问到时能说清楚进度，基本能做到及时反馈。</t>
        </is>
      </c>
      <c r="AG106" s="2" t="inlineStr">
        <is>
          <t>B.稳定器：做好自己，不给团队添乱，是可靠的一员。</t>
        </is>
      </c>
      <c r="AH106" s="2" t="inlineStr">
        <is>
          <t>B.懂得求助：在尝试后会及时向主管或同事反馈，寻求资源支持。</t>
        </is>
      </c>
      <c r="AI106" s="2" t="inlineStr">
        <is>
          <t>B. 配合接受：主管安排了就干，不推辞。</t>
        </is>
      </c>
      <c r="AJ106" s="2" t="inlineStr">
        <is>
          <t>B.配合度高：虽然有压力，但能服从大局，咬牙顶上去，且质量尚可。</t>
        </is>
      </c>
      <c r="AK106" s="2" t="inlineStr">
        <is>
          <t>B.照单全收：态度很好，虽然不一定完全理解，但会按要求改。</t>
        </is>
      </c>
      <c r="AL106" s="2" t="inlineStr">
        <is>
          <t>C.慢工细活：需要反复教，掌握过程比较吃力。</t>
        </is>
      </c>
      <c r="AM106" s="2" t="inlineStr">
        <is>
          <t>B.愿意传帮带：平时爱分享避坑指南，能带徒弟。</t>
        </is>
      </c>
      <c r="AN106" s="2" t="inlineStr">
        <is>
          <t>C.中规中矩：刚好达标，替代性较强。</t>
        </is>
      </c>
      <c r="AO106" s="2" t="inlineStr">
        <is>
          <t>C.熟练工：能胜任重复性工作，但很难承担更高阶的挑战。</t>
        </is>
      </c>
      <c r="AP106" s="2" t="inlineStr">
        <is>
          <t>B.有点可惜：是个好手，需要费心再找一个相同水准的。</t>
        </is>
      </c>
      <c r="AQ106" s="2" t="inlineStr">
        <is>
          <t>B</t>
        </is>
      </c>
      <c r="AR106" s="2" t="inlineStr">
        <is>
          <t>B</t>
        </is>
      </c>
      <c r="AS106" s="2" t="inlineStr">
        <is>
          <t>一致</t>
        </is>
      </c>
      <c r="AT106" s="2" t="inlineStr">
        <is>
          <t>B</t>
        </is>
      </c>
      <c r="AU106" s="2"/>
      <c r="AV106" s="3"/>
      <c r="AW106" s="3"/>
      <c r="AX106" s="3"/>
      <c r="AY106" s="2" t="inlineStr">
        <is>
          <t>C</t>
        </is>
      </c>
      <c r="AZ106" s="2" t="inlineStr">
        <is>
          <t>1.专业能力较强
2.工作积极主动
3.沟通能力尚可
新思路新技术加强学习</t>
        </is>
      </c>
      <c r="BA106" s="7" t="n">
        <v>3</v>
      </c>
      <c r="BB106" s="7" t="n">
        <v>4</v>
      </c>
      <c r="BC106" s="7" t="n">
        <v>4</v>
      </c>
      <c r="BD106" s="7" t="n">
        <v>4</v>
      </c>
      <c r="BE106" s="7" t="n">
        <v>5</v>
      </c>
      <c r="BF106" s="7" t="n">
        <v>5</v>
      </c>
      <c r="BG106" s="7" t="n">
        <v>4</v>
      </c>
      <c r="BH106" s="7" t="n">
        <v>3.5</v>
      </c>
      <c r="BI106" s="7" t="n">
        <v>4</v>
      </c>
      <c r="BJ106" s="7" t="n">
        <v>4</v>
      </c>
      <c r="BK106" s="7" t="n">
        <v>3</v>
      </c>
      <c r="BL106" s="7" t="n">
        <v>4</v>
      </c>
      <c r="BM106" s="7" t="n">
        <v>3</v>
      </c>
      <c r="BN106" s="7" t="n">
        <v>4</v>
      </c>
      <c r="BO106" s="7" t="n">
        <v>3</v>
      </c>
      <c r="BP106" s="7" t="n">
        <v>2</v>
      </c>
      <c r="BQ106" s="7" t="n">
        <v>4</v>
      </c>
      <c r="BR106" s="7" t="n">
        <v>3</v>
      </c>
      <c r="BS106" s="7" t="n">
        <v>3</v>
      </c>
      <c r="BT106" s="7" t="n">
        <v>4</v>
      </c>
      <c r="BU106" s="7" t="n">
        <v>73.5</v>
      </c>
      <c r="BV106" s="2" t="inlineStr">
        <is>
          <t>C.建议与其他岗位合并</t>
        </is>
      </c>
      <c r="BW106" s="2"/>
      <c r="BX106" s="2"/>
      <c r="BY106" s="6">
        <f>HYPERLINK("https://www.h3yun.com/Form/Attachments/?schemacode=D148357733993cc00c048ad9898e53f5f82cbb9&amp;bizObjectId=a9984187-d443-48e6-89cd-ea6fe3efebb2&amp;name=F0000016","点击查看")</f>
        <v>0</v>
      </c>
      <c r="BZ106" s="2" t="inlineStr">
        <is>
          <t>2026-05-07 16:55:11</t>
        </is>
      </c>
      <c r="CA106" s="2" t="inlineStr">
        <is>
          <t>B</t>
        </is>
      </c>
      <c r="CB106" s="2" t="inlineStr">
        <is>
          <t>已提交</t>
        </is>
      </c>
      <c r="CC106" s="2" t="inlineStr">
        <is>
          <t>无</t>
        </is>
      </c>
      <c r="CD106" s="2" t="inlineStr">
        <is>
          <t>无</t>
        </is>
      </c>
      <c r="CE106" s="2" t="inlineStr">
        <is>
          <t>优秀员工证书</t>
        </is>
      </c>
      <c r="CF106" s="2"/>
      <c r="CG106" s="2" t="inlineStr">
        <is>
          <t>532323200012131933</t>
        </is>
      </c>
      <c r="CH106" s="2" t="inlineStr">
        <is>
          <t>已生效</t>
        </is>
      </c>
      <c r="CI106" s="2" t="inlineStr">
        <is>
          <t>70d3d67a-41b9-4146-b1a7-a04281df692b</t>
        </is>
      </c>
      <c r="CJ106" s="3" t="n">
        <v>1</v>
      </c>
      <c r="CK106" s="2" t="inlineStr">
        <is>
          <t>近三年至少担任过一个合同额1000万元以上项目相应岗位的主管</t>
        </is>
      </c>
      <c r="CL106" s="2" t="inlineStr">
        <is>
          <t>近三年至少担任过一个合同额1000万元以上项目相应岗位的主管</t>
        </is>
      </c>
      <c r="CM106" s="2" t="inlineStr">
        <is>
          <t>南化建司劳2017-1号文-南京南化建设有限公司施工一线专业序列人员分级管理规定</t>
        </is>
      </c>
      <c r="CN106" s="2" t="inlineStr">
        <is>
          <t>第三章第3条C类</t>
        </is>
      </c>
      <c r="CO106" s="2"/>
      <c r="CP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t="inlineStr">
        <is>
          <t>6c49f7b1-b7f9-446b-825e-7c0dccd4fcad</t>
        </is>
      </c>
      <c r="CJ107" s="3" t="n">
        <v>2</v>
      </c>
      <c r="CK107" s="2" t="inlineStr">
        <is>
          <t>公司二级单位或公司职能部门推荐</t>
        </is>
      </c>
      <c r="CL107" s="2" t="inlineStr">
        <is>
          <t>公司二级单位或公司职能部门推荐</t>
        </is>
      </c>
      <c r="CM107" s="2" t="inlineStr">
        <is>
          <t>南化建司劳2017-1号文-南京南化建设有限公司施工一线专业序列人员分级管理规定</t>
        </is>
      </c>
      <c r="CN107" s="2" t="inlineStr">
        <is>
          <t>第三章第3条C类</t>
        </is>
      </c>
      <c r="CO107" s="2"/>
      <c r="CP107" s="2"/>
    </row>
    <row r="108">
      <c r="A108" s="2" t="inlineStr">
        <is>
          <t>6644ceeb-e73a-4f50-9696-15e3fd2a9054</t>
        </is>
      </c>
      <c r="B108" s="2" t="inlineStr">
        <is>
          <t>C.均衡，工作负荷一般，按部就班完成工作，除了突发时间几乎不用加班</t>
        </is>
      </c>
      <c r="C108" s="2" t="inlineStr">
        <is>
          <t>马来西亚分公司（国内采购）    丁建    男    孙书志</t>
        </is>
      </c>
      <c r="D108" s="2" t="inlineStr">
        <is>
          <t>Anonymous</t>
        </is>
      </c>
      <c r="E108" s="2" t="inlineStr">
        <is>
          <t>Anonymous</t>
        </is>
      </c>
      <c r="F108" s="2"/>
      <c r="G108" s="2" t="inlineStr">
        <is>
          <t>2026-05-25 10:56:15</t>
        </is>
      </c>
      <c r="H108" s="2" t="inlineStr">
        <is>
          <t>孙书志</t>
        </is>
      </c>
      <c r="I108" s="2" t="inlineStr">
        <is>
          <t>340822198902171674</t>
        </is>
      </c>
      <c r="J108" s="2" t="inlineStr">
        <is>
          <t>男</t>
        </is>
      </c>
      <c r="K108" s="2" t="inlineStr">
        <is>
          <t>南京永利重工制造有限公司</t>
        </is>
      </c>
      <c r="L108" s="2" t="inlineStr">
        <is>
          <t>2012-07-01</t>
        </is>
      </c>
      <c r="M108" s="2" t="inlineStr">
        <is>
          <t>安徽理工大学</t>
        </is>
      </c>
      <c r="N108" s="2" t="inlineStr">
        <is>
          <t>过控</t>
        </is>
      </c>
      <c r="O108" s="2" t="inlineStr">
        <is>
          <t>本科</t>
        </is>
      </c>
      <c r="P108" s="2" t="inlineStr">
        <is>
          <t>马来西亚分公司（国内采购）</t>
        </is>
      </c>
      <c r="Q108" s="2" t="inlineStr">
        <is>
          <t>丁建</t>
        </is>
      </c>
      <c r="R108" s="2" t="inlineStr">
        <is>
          <t>男</t>
        </is>
      </c>
      <c r="S108" s="2" t="inlineStr">
        <is>
          <t>2022-08-01</t>
        </is>
      </c>
      <c r="T108" s="2" t="inlineStr">
        <is>
          <t>技术助理(三)</t>
        </is>
      </c>
      <c r="U108" s="2" t="inlineStr">
        <is>
          <t>甘肃机电职业技术学院</t>
        </is>
      </c>
      <c r="V108" s="2" t="inlineStr">
        <is>
          <t>机制</t>
        </is>
      </c>
      <c r="W108" s="2" t="inlineStr">
        <is>
          <t>大专</t>
        </is>
      </c>
      <c r="X108" s="2" t="inlineStr">
        <is>
          <t>C.拖沓被动：需要主管反复催促，才能勉强按时交差。</t>
        </is>
      </c>
      <c r="Y108" s="2" t="inlineStr">
        <is>
          <t>B.基本稳定：偶有小瑕疵，但不影响整体使用。</t>
        </is>
      </c>
      <c r="Z108" s="2" t="inlineStr">
        <is>
          <t>C.正常跟进：需要主管盯着节点、偶尔提醒进度，或者在跑偏时帮着拽回来。</t>
        </is>
      </c>
      <c r="AA108" s="2" t="inlineStr">
        <is>
          <t>B.清楚岗位：对自己岗位的活儿很门清，略知上下游。</t>
        </is>
      </c>
      <c r="AB108" s="2" t="inlineStr">
        <is>
          <t>A.攻坚克难：会想尽一切办法钻研，直至彻底解决。</t>
        </is>
      </c>
      <c r="AC108" s="2" t="inlineStr">
        <is>
          <t>A.模范标兵：严于律己，从未在琐事上让主管费心。</t>
        </is>
      </c>
      <c r="AD108" s="2" t="inlineStr">
        <is>
          <t>C.照章办事：给多少干多少，完全按老规矩来，从不思考变革</t>
        </is>
      </c>
      <c r="AE108" s="2" t="inlineStr">
        <is>
          <t>C.沟通被动：你不催他不去，去了也带不回明确结果。</t>
        </is>
      </c>
      <c r="AF108" s="2" t="inlineStr">
        <is>
          <t>B.有问有答：问到时能说清楚进度，基本能做到及时反馈。</t>
        </is>
      </c>
      <c r="AG108" s="2" t="inlineStr">
        <is>
          <t>B.稳定器：做好自己，不给团队添乱，是可靠的一员。</t>
        </is>
      </c>
      <c r="AH108" s="2" t="inlineStr">
        <is>
          <t>B.懂得求助：在尝试后会及时向主管或同事反馈，寻求资源支持。</t>
        </is>
      </c>
      <c r="AI108" s="2" t="inlineStr">
        <is>
          <t>B. 配合接受：主管安排了就干，不推辞。</t>
        </is>
      </c>
      <c r="AJ108" s="2" t="inlineStr">
        <is>
          <t>C.较为配合：不抱怨，但压力较大时，工作质量会随之下滑。</t>
        </is>
      </c>
      <c r="AK108" s="2" t="inlineStr">
        <is>
          <t>B.照单全收：态度很好，虽然不一定完全理解，但会按要求改。</t>
        </is>
      </c>
      <c r="AL108" s="2" t="inlineStr">
        <is>
          <t>B.正常上手：经过简单培训或指导，能很快投入应用。</t>
        </is>
      </c>
      <c r="AM108" s="2" t="inlineStr">
        <is>
          <t>C.技能私有：自己干得好也愿意分享，但是不会总结或讲不出来。</t>
        </is>
      </c>
      <c r="AN108" s="2" t="inlineStr">
        <is>
          <t>C.中规中矩：刚好达标，替代性较强。</t>
        </is>
      </c>
      <c r="AO108" s="2" t="inlineStr">
        <is>
          <t>C.熟练工：能胜任重复性工作，但很难承担更高阶的挑战。</t>
        </is>
      </c>
      <c r="AP108" s="2" t="inlineStr">
        <is>
          <t>C.正常更替：走就走吧，招个新人培养一下也没什么区别。</t>
        </is>
      </c>
      <c r="AQ108" s="2" t="inlineStr">
        <is>
          <t>C</t>
        </is>
      </c>
      <c r="AR108" s="2" t="inlineStr">
        <is>
          <t>C</t>
        </is>
      </c>
      <c r="AS108" s="2" t="inlineStr">
        <is>
          <t>一致</t>
        </is>
      </c>
      <c r="AT108" s="2" t="inlineStr">
        <is>
          <t>C</t>
        </is>
      </c>
      <c r="AU108" s="2"/>
      <c r="AV108" s="3"/>
      <c r="AW108" s="3"/>
      <c r="AX108" s="3"/>
      <c r="AY108" s="2" t="inlineStr">
        <is>
          <t>D</t>
        </is>
      </c>
      <c r="AZ108" s="2" t="inlineStr">
        <is>
          <t>1，技术能力较好
2，工作态度端正
3，效率较高
综合协调能力有待加强</t>
        </is>
      </c>
      <c r="BA108" s="7" t="n">
        <v>2</v>
      </c>
      <c r="BB108" s="7" t="n">
        <v>4</v>
      </c>
      <c r="BC108" s="7" t="n">
        <v>3</v>
      </c>
      <c r="BD108" s="7" t="n">
        <v>4</v>
      </c>
      <c r="BE108" s="7" t="n">
        <v>5</v>
      </c>
      <c r="BF108" s="7" t="n">
        <v>5</v>
      </c>
      <c r="BG108" s="7" t="n">
        <v>3</v>
      </c>
      <c r="BH108" s="7" t="n">
        <v>1</v>
      </c>
      <c r="BI108" s="7" t="n">
        <v>4</v>
      </c>
      <c r="BJ108" s="7" t="n">
        <v>4</v>
      </c>
      <c r="BK108" s="7" t="n">
        <v>3</v>
      </c>
      <c r="BL108" s="7" t="n">
        <v>4</v>
      </c>
      <c r="BM108" s="7" t="n">
        <v>3</v>
      </c>
      <c r="BN108" s="7" t="n">
        <v>3</v>
      </c>
      <c r="BO108" s="7" t="n">
        <v>3</v>
      </c>
      <c r="BP108" s="7" t="n">
        <v>4</v>
      </c>
      <c r="BQ108" s="7" t="n">
        <v>2</v>
      </c>
      <c r="BR108" s="7" t="n">
        <v>3</v>
      </c>
      <c r="BS108" s="7" t="n">
        <v>3</v>
      </c>
      <c r="BT108" s="7" t="n">
        <v>3</v>
      </c>
      <c r="BU108" s="7" t="n">
        <v>66</v>
      </c>
      <c r="BV108" s="2" t="inlineStr">
        <is>
          <t>B.存不存在均可</t>
        </is>
      </c>
      <c r="BW108" s="2"/>
      <c r="BX108" s="2"/>
      <c r="BY108" s="6">
        <f>HYPERLINK("https://www.h3yun.com/Form/Attachments/?schemacode=D148357733993cc00c048ad9898e53f5f82cbb9&amp;bizObjectId=6644ceeb-e73a-4f50-9696-15e3fd2a9054&amp;name=F0000016","点击查看")</f>
        <v>0</v>
      </c>
      <c r="BZ108" s="2" t="inlineStr">
        <is>
          <t>2026-05-07 16:47:39</t>
        </is>
      </c>
      <c r="CA108" s="2" t="inlineStr">
        <is>
          <t>C</t>
        </is>
      </c>
      <c r="CB108" s="2" t="inlineStr">
        <is>
          <t>已提交</t>
        </is>
      </c>
      <c r="CC108" s="2" t="inlineStr">
        <is>
          <t>无</t>
        </is>
      </c>
      <c r="CD108" s="2" t="inlineStr">
        <is>
          <t>无</t>
        </is>
      </c>
      <c r="CE108" s="2" t="inlineStr">
        <is>
          <t>优秀员工</t>
        </is>
      </c>
      <c r="CF108" s="2"/>
      <c r="CG108" s="2" t="inlineStr">
        <is>
          <t>622701200001083214</t>
        </is>
      </c>
      <c r="CH108" s="2" t="inlineStr">
        <is>
          <t>已生效</t>
        </is>
      </c>
      <c r="CI108" s="2" t="inlineStr">
        <is>
          <t>c0beab51-d492-43f7-baf6-33dd28299283</t>
        </is>
      </c>
      <c r="CJ108" s="3" t="n">
        <v>1</v>
      </c>
      <c r="CK108" s="2" t="inlineStr">
        <is>
          <t>该成员存在一线工作履历</t>
        </is>
      </c>
      <c r="CL108" s="2" t="inlineStr">
        <is>
          <t>该成员存在一线工作履历</t>
        </is>
      </c>
      <c r="CM108" s="2" t="inlineStr">
        <is>
          <t>南化建司劳2017-1号文-南京南化建设有限公司施工一线专业序列人员分级管理规定</t>
        </is>
      </c>
      <c r="CN108" s="2" t="inlineStr">
        <is>
          <t>第三章第6条D类</t>
        </is>
      </c>
      <c r="CO108" s="2"/>
      <c r="CP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t="inlineStr">
        <is>
          <t>9081660f-3fd8-43ff-8a09-7483c33a00ac</t>
        </is>
      </c>
      <c r="CJ109" s="3" t="n">
        <v>2</v>
      </c>
      <c r="CK109" s="2" t="inlineStr">
        <is>
          <t>近五年内该成员存在一线工作履历</t>
        </is>
      </c>
      <c r="CL109" s="2" t="inlineStr">
        <is>
          <t>近五年内该成员存在一线工作履历</t>
        </is>
      </c>
      <c r="CM109" s="2" t="inlineStr">
        <is>
          <t>南化建司劳2017-1号文-南京南化建设有限公司施工一线专业序列人员分级管理规定</t>
        </is>
      </c>
      <c r="CN109" s="2" t="inlineStr">
        <is>
          <t>第三章第6条D类</t>
        </is>
      </c>
      <c r="CO109" s="2"/>
      <c r="CP109" s="2"/>
    </row>
    <row r="110">
      <c r="A110" s="2" t="inlineStr">
        <is>
          <t>05b0a295-7cf2-4c1b-ac75-13cfdbc4f8af</t>
        </is>
      </c>
      <c r="B110" s="2" t="inlineStr">
        <is>
          <t>D.欠饱和，没想起来给他布置工作的话很可能就是闲着</t>
        </is>
      </c>
      <c r="C110" s="2" t="inlineStr">
        <is>
          <t>马来西亚分公司（国内采购）    董士琦    男    张威</t>
        </is>
      </c>
      <c r="D110" s="2" t="inlineStr">
        <is>
          <t>Anonymous</t>
        </is>
      </c>
      <c r="E110" s="2" t="inlineStr">
        <is>
          <t>Anonymous</t>
        </is>
      </c>
      <c r="F110" s="2"/>
      <c r="G110" s="2" t="inlineStr">
        <is>
          <t>2026-05-25 10:56:15</t>
        </is>
      </c>
      <c r="H110" s="2" t="inlineStr">
        <is>
          <t>张威</t>
        </is>
      </c>
      <c r="I110" s="2" t="inlineStr">
        <is>
          <t>321027198912083075</t>
        </is>
      </c>
      <c r="J110" s="2" t="inlineStr">
        <is>
          <t>男</t>
        </is>
      </c>
      <c r="K110" s="2" t="inlineStr">
        <is>
          <t>技术中心</t>
        </is>
      </c>
      <c r="L110" s="2" t="inlineStr">
        <is>
          <t>2012-07-01</t>
        </is>
      </c>
      <c r="M110" s="2" t="inlineStr">
        <is>
          <t>常州大学</t>
        </is>
      </c>
      <c r="N110" s="2" t="inlineStr">
        <is>
          <t>过控</t>
        </is>
      </c>
      <c r="O110" s="2" t="inlineStr">
        <is>
          <t>本科</t>
        </is>
      </c>
      <c r="P110" s="2" t="inlineStr">
        <is>
          <t>马来西亚分公司（国内采购）</t>
        </is>
      </c>
      <c r="Q110" s="2" t="inlineStr">
        <is>
          <t>董士琦</t>
        </is>
      </c>
      <c r="R110" s="2" t="inlineStr">
        <is>
          <t>男</t>
        </is>
      </c>
      <c r="S110" s="2" t="inlineStr">
        <is>
          <t>2021-08-01</t>
        </is>
      </c>
      <c r="T110" s="2" t="inlineStr">
        <is>
          <t>技术助理(一)</t>
        </is>
      </c>
      <c r="U110" s="2" t="inlineStr">
        <is>
          <t>南京工业大学</t>
        </is>
      </c>
      <c r="V110" s="2" t="inlineStr">
        <is>
          <t>过控</t>
        </is>
      </c>
      <c r="W110" s="2" t="inlineStr">
        <is>
          <t>本科</t>
        </is>
      </c>
      <c r="X110" s="2" t="inlineStr">
        <is>
          <t>C.拖沓被动：需要主管反复催促，才能勉强按时交差。</t>
        </is>
      </c>
      <c r="Y110" s="2" t="inlineStr">
        <is>
          <t>B.基本稳定：偶有小瑕疵，但不影响整体使用。</t>
        </is>
      </c>
      <c r="Z110" s="2" t="inlineStr">
        <is>
          <t>C.正常跟进：需要主管盯着节点、偶尔提醒进度，或者在跑偏时帮着拽回来。</t>
        </is>
      </c>
      <c r="AA110" s="2" t="inlineStr">
        <is>
          <t>B.清楚岗位：对自己岗位的活儿很门清，略知上下游。</t>
        </is>
      </c>
      <c r="AB110" s="2" t="inlineStr">
        <is>
          <t>A.攻坚克难：会想尽一切办法钻研，直至彻底解决。</t>
        </is>
      </c>
      <c r="AC110" s="2" t="inlineStr">
        <is>
          <t>A.模范标兵：严于律己，从未在琐事上让主管费心。</t>
        </is>
      </c>
      <c r="AD110" s="2" t="inlineStr">
        <is>
          <t>C.照章办事：给多少干多少，完全按老规矩来，从不思考变革</t>
        </is>
      </c>
      <c r="AE110" s="2" t="inlineStr">
        <is>
          <t>B.正常沟通：能清晰表达需求，维持基本的协作。</t>
        </is>
      </c>
      <c r="AF110" s="2" t="inlineStr">
        <is>
          <t>B.有问有答：问到时能说清楚进度，基本能做到及时反馈。</t>
        </is>
      </c>
      <c r="AG110" s="2" t="inlineStr">
        <is>
          <t>B.稳定器：做好自己，不给团队添乱，是可靠的一员。</t>
        </is>
      </c>
      <c r="AH110" s="2" t="inlineStr">
        <is>
          <t>B.懂得求助：在尝试后会及时向主管或同事反馈，寻求资源支持。</t>
        </is>
      </c>
      <c r="AI110" s="2" t="inlineStr">
        <is>
          <t>B. 配合接受：主管安排了就干，不推辞。</t>
        </is>
      </c>
      <c r="AJ110" s="2" t="inlineStr">
        <is>
          <t>C.较为配合：不抱怨，但压力较大时，工作质量会随之下滑。</t>
        </is>
      </c>
      <c r="AK110" s="2" t="inlineStr">
        <is>
          <t>B.照单全收：态度很好，虽然不一定完全理解，但会按要求改。</t>
        </is>
      </c>
      <c r="AL110" s="2" t="inlineStr">
        <is>
          <t>C.慢工细活：需要反复教，掌握过程比较吃力。</t>
        </is>
      </c>
      <c r="AM110" s="2" t="inlineStr">
        <is>
          <t>C.技能私有：自己干得好也愿意分享，但是不会总结或讲不出来。</t>
        </is>
      </c>
      <c r="AN110" s="2" t="inlineStr">
        <is>
          <t>C.中规中矩：刚好达标，替代性较强。</t>
        </is>
      </c>
      <c r="AO110" s="2" t="inlineStr">
        <is>
          <t>C.熟练工：能胜任重复性工作，但很难承担更高阶的挑战。</t>
        </is>
      </c>
      <c r="AP110" s="2" t="inlineStr">
        <is>
          <t>D.有点影响：目前人员缺失，正好符合这个领域，没人用，有比没有好</t>
        </is>
      </c>
      <c r="AQ110" s="2" t="inlineStr">
        <is>
          <t>C</t>
        </is>
      </c>
      <c r="AR110" s="2" t="inlineStr">
        <is>
          <t>C</t>
        </is>
      </c>
      <c r="AS110" s="2" t="inlineStr">
        <is>
          <t>一致</t>
        </is>
      </c>
      <c r="AT110" s="2" t="inlineStr">
        <is>
          <t>C</t>
        </is>
      </c>
      <c r="AU110" s="2"/>
      <c r="AV110" s="3"/>
      <c r="AW110" s="3"/>
      <c r="AX110" s="3"/>
      <c r="AY110" s="2" t="inlineStr">
        <is>
          <t>D</t>
        </is>
      </c>
      <c r="AZ110" s="2" t="inlineStr">
        <is>
          <t>合格级</t>
        </is>
      </c>
      <c r="BA110" s="7" t="n">
        <v>2</v>
      </c>
      <c r="BB110" s="7" t="n">
        <v>4</v>
      </c>
      <c r="BC110" s="7" t="n">
        <v>3</v>
      </c>
      <c r="BD110" s="7" t="n">
        <v>4</v>
      </c>
      <c r="BE110" s="7" t="n">
        <v>5</v>
      </c>
      <c r="BF110" s="7" t="n">
        <v>5</v>
      </c>
      <c r="BG110" s="7" t="n">
        <v>3</v>
      </c>
      <c r="BH110" s="7" t="n">
        <v>3.5</v>
      </c>
      <c r="BI110" s="7" t="n">
        <v>4</v>
      </c>
      <c r="BJ110" s="7" t="n">
        <v>4</v>
      </c>
      <c r="BK110" s="7" t="n">
        <v>3</v>
      </c>
      <c r="BL110" s="7" t="n">
        <v>4</v>
      </c>
      <c r="BM110" s="7" t="n">
        <v>2</v>
      </c>
      <c r="BN110" s="7" t="n">
        <v>3</v>
      </c>
      <c r="BO110" s="7" t="n">
        <v>3</v>
      </c>
      <c r="BP110" s="7" t="n">
        <v>2</v>
      </c>
      <c r="BQ110" s="7" t="n">
        <v>2</v>
      </c>
      <c r="BR110" s="7" t="n">
        <v>3</v>
      </c>
      <c r="BS110" s="7" t="n">
        <v>3</v>
      </c>
      <c r="BT110" s="7" t="n">
        <v>1</v>
      </c>
      <c r="BU110" s="7" t="n">
        <v>63.5</v>
      </c>
      <c r="BV110" s="2" t="inlineStr">
        <is>
          <t>B.存不存在均可</t>
        </is>
      </c>
      <c r="BW110" s="2"/>
      <c r="BX110" s="2"/>
      <c r="BY110" s="6">
        <f>HYPERLINK("https://www.h3yun.com/Form/Attachments/?schemacode=D148357733993cc00c048ad9898e53f5f82cbb9&amp;bizObjectId=05b0a295-7cf2-4c1b-ac75-13cfdbc4f8af&amp;name=F0000016","点击查看")</f>
        <v>0</v>
      </c>
      <c r="BZ110" s="2" t="inlineStr">
        <is>
          <t>2026-05-07 16:44:34</t>
        </is>
      </c>
      <c r="CA110" s="2" t="inlineStr">
        <is>
          <t>C</t>
        </is>
      </c>
      <c r="CB110" s="2" t="inlineStr">
        <is>
          <t>已提交</t>
        </is>
      </c>
      <c r="CC110" s="2" t="inlineStr">
        <is>
          <t>助理工程师</t>
        </is>
      </c>
      <c r="CD110" s="2" t="inlineStr">
        <is>
          <t>化工检修钳工四级证书</t>
        </is>
      </c>
      <c r="CE110" s="2" t="inlineStr">
        <is>
          <t>无</t>
        </is>
      </c>
      <c r="CF110" s="2"/>
      <c r="CG110" s="2" t="inlineStr">
        <is>
          <t>321321199603062230</t>
        </is>
      </c>
      <c r="CH110" s="2" t="inlineStr">
        <is>
          <t>已生效</t>
        </is>
      </c>
      <c r="CI110" s="2" t="inlineStr">
        <is>
          <t>dae3978c-c02f-4fad-a18b-6b1fdcc179e9</t>
        </is>
      </c>
      <c r="CJ110" s="3" t="n">
        <v>1</v>
      </c>
      <c r="CK110" s="2" t="inlineStr">
        <is>
          <t>该成员存在一线工作履历</t>
        </is>
      </c>
      <c r="CL110" s="2" t="inlineStr">
        <is>
          <t>该成员存在一线工作履历</t>
        </is>
      </c>
      <c r="CM110" s="2" t="inlineStr">
        <is>
          <t>南化建司劳2017-1号文-南京南化建设有限公司施工一线专业序列人员分级管理规定</t>
        </is>
      </c>
      <c r="CN110" s="2" t="inlineStr">
        <is>
          <t>第三章第6条D类</t>
        </is>
      </c>
      <c r="CO110" s="2"/>
      <c r="CP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t="inlineStr">
        <is>
          <t>de87bb2c-fa5d-42f6-826a-3f562971e365</t>
        </is>
      </c>
      <c r="CJ111" s="3" t="n">
        <v>2</v>
      </c>
      <c r="CK111" s="2" t="inlineStr">
        <is>
          <t>近五年内该成员存在一线工作履历</t>
        </is>
      </c>
      <c r="CL111" s="2" t="inlineStr">
        <is>
          <t>近五年内该成员存在一线工作履历</t>
        </is>
      </c>
      <c r="CM111" s="2" t="inlineStr">
        <is>
          <t>南化建司劳2017-1号文-南京南化建设有限公司施工一线专业序列人员分级管理规定</t>
        </is>
      </c>
      <c r="CN111" s="2" t="inlineStr">
        <is>
          <t>第三章第6条D类</t>
        </is>
      </c>
      <c r="CO111" s="2"/>
      <c r="CP111" s="2"/>
    </row>
    <row r="112">
      <c r="A112" s="2" t="inlineStr">
        <is>
          <t>fffc1f50-384c-408a-a0a0-c6dc3903856f</t>
        </is>
      </c>
      <c r="B112" s="2" t="inlineStr">
        <is>
          <t>B.满负荷，平时工作就很忙，偶尔因为非突发时间也要加班</t>
        </is>
      </c>
      <c r="C112" s="2" t="inlineStr">
        <is>
          <t>技术中心    沙雪平    女    徐正玲</t>
        </is>
      </c>
      <c r="D112" s="2" t="inlineStr">
        <is>
          <t>Anonymous</t>
        </is>
      </c>
      <c r="E112" s="2" t="inlineStr">
        <is>
          <t>Anonymous</t>
        </is>
      </c>
      <c r="F112" s="2"/>
      <c r="G112" s="2" t="inlineStr">
        <is>
          <t>2026-05-25 10:56:15</t>
        </is>
      </c>
      <c r="H112" s="2" t="inlineStr">
        <is>
          <t>徐正玲</t>
        </is>
      </c>
      <c r="I112" s="2" t="inlineStr">
        <is>
          <t>32092519900123758X</t>
        </is>
      </c>
      <c r="J112" s="2" t="inlineStr">
        <is>
          <t>女</t>
        </is>
      </c>
      <c r="K112" s="2" t="inlineStr">
        <is>
          <t>技术中心</t>
        </is>
      </c>
      <c r="L112" s="2" t="inlineStr">
        <is>
          <t>2013-08-01</t>
        </is>
      </c>
      <c r="M112" s="2" t="inlineStr">
        <is>
          <t>常州大学</t>
        </is>
      </c>
      <c r="N112" s="2" t="inlineStr">
        <is>
          <t>化机</t>
        </is>
      </c>
      <c r="O112" s="2" t="inlineStr">
        <is>
          <t>本科</t>
        </is>
      </c>
      <c r="P112" s="2" t="inlineStr">
        <is>
          <t>技术中心</t>
        </is>
      </c>
      <c r="Q112" s="2" t="inlineStr">
        <is>
          <t>沙雪平</t>
        </is>
      </c>
      <c r="R112" s="2" t="inlineStr">
        <is>
          <t>女</t>
        </is>
      </c>
      <c r="S112" s="2" t="inlineStr">
        <is>
          <t>2021-05-01</t>
        </is>
      </c>
      <c r="T112" s="2" t="inlineStr">
        <is>
          <t>辅助工种初级工</t>
        </is>
      </c>
      <c r="U112" s="2" t="inlineStr">
        <is>
          <t>徐州工业学校</t>
        </is>
      </c>
      <c r="V112" s="2" t="inlineStr">
        <is>
          <t>其他</t>
        </is>
      </c>
      <c r="W112" s="2" t="inlineStr">
        <is>
          <t>大专</t>
        </is>
      </c>
      <c r="X112" s="2" t="inlineStr">
        <is>
          <t>B.按时推进：基本能卡着时间点完成，不掉链子。</t>
        </is>
      </c>
      <c r="Y112" s="2" t="inlineStr">
        <is>
          <t>B.基本稳定：偶有小瑕疵，但不影响整体使用。</t>
        </is>
      </c>
      <c r="Z112" s="2" t="inlineStr">
        <is>
          <t>B.比较省心：只需定期同步一下进度，不需要主管盯着细节，能独立把事情办成。</t>
        </is>
      </c>
      <c r="AA112" s="2" t="inlineStr">
        <is>
          <t>B.清楚岗位：对自己岗位的活儿很门清，略知上下游。</t>
        </is>
      </c>
      <c r="AB112" s="2" t="inlineStr">
        <is>
          <t>B.尽力而为：能解决大部分问题，解决不了的会及时求助。</t>
        </is>
      </c>
      <c r="AC112" s="2" t="inlineStr">
        <is>
          <t>A.模范标兵：严于律己，从未在琐事上让主管费心。</t>
        </is>
      </c>
      <c r="AD112" s="2" t="inlineStr">
        <is>
          <t>C.照章办事：给多少干多少，完全按老规矩来，从不思考变革</t>
        </is>
      </c>
      <c r="AE112" s="2" t="inlineStr">
        <is>
          <t>B.正常沟通：能清晰表达需求，维持基本的协作。</t>
        </is>
      </c>
      <c r="AF112" s="2" t="inlineStr">
        <is>
          <t>B.有问有答：问到时能说清楚进度，基本能做到及时反馈。</t>
        </is>
      </c>
      <c r="AG112" s="2" t="inlineStr">
        <is>
          <t>B.稳定器：做好自己，不给团队添乱，是可靠的一员。</t>
        </is>
      </c>
      <c r="AH112" s="2" t="inlineStr">
        <is>
          <t>B.懂得求助：在尝试后会及时向主管或同事反馈，寻求资源支持。</t>
        </is>
      </c>
      <c r="AI112" s="2" t="inlineStr">
        <is>
          <t>C. 守好地盘：只管自己那一块，多一点都不想碰。</t>
        </is>
      </c>
      <c r="AJ112" s="2" t="inlineStr">
        <is>
          <t>C.较为配合：不抱怨，但压力较大时，工作质量会随之下滑。</t>
        </is>
      </c>
      <c r="AK112" s="2" t="inlineStr">
        <is>
          <t>B.照单全收：态度很好，虽然不一定完全理解，但会按要求改。</t>
        </is>
      </c>
      <c r="AL112" s="2" t="inlineStr">
        <is>
          <t>B.正常上手：经过简单培训或指导，能很快投入应用。</t>
        </is>
      </c>
      <c r="AM112" s="2" t="inlineStr">
        <is>
          <t>C.技能私有：自己干得好也愿意分享，但是不会总结或讲不出来。</t>
        </is>
      </c>
      <c r="AN112" s="2" t="inlineStr">
        <is>
          <t>C.中规中矩：刚好达标，替代性较强。</t>
        </is>
      </c>
      <c r="AO112" s="2" t="inlineStr">
        <is>
          <t>C.熟练工：能胜任重复性工作，但很难承担更高阶的挑战。</t>
        </is>
      </c>
      <c r="AP112" s="2" t="inlineStr">
        <is>
          <t>C.正常更替：走就走吧，招个新人培养一下也没什么区别。</t>
        </is>
      </c>
      <c r="AQ112" s="2" t="inlineStr">
        <is>
          <t>C</t>
        </is>
      </c>
      <c r="AR112" s="2" t="inlineStr">
        <is>
          <t>C</t>
        </is>
      </c>
      <c r="AS112" s="2" t="inlineStr">
        <is>
          <t>一致</t>
        </is>
      </c>
      <c r="AT112" s="2" t="inlineStr">
        <is>
          <t>C</t>
        </is>
      </c>
      <c r="AU112" s="2"/>
      <c r="AV112" s="3"/>
      <c r="AW112" s="3"/>
      <c r="AX112" s="3"/>
      <c r="AY112" s="2" t="inlineStr">
        <is>
          <t>D</t>
        </is>
      </c>
      <c r="AZ112" s="2" t="inlineStr">
        <is>
          <t>沙雪平自2018年入职部门，从事数据组相关工作以来，工作态度端正，处理基础数据尤其材料相关数据时经验相对丰富，对于管理层的指令偶有不理解的情况，但大多经过沟通能够顺畅完成工作。当前阶段从事技术中心数据科学相关工作，配合进行材料代码质检、系统沟通、软件测试和项目数据分析相关工作，在其岗位满足岗位要求。</t>
        </is>
      </c>
      <c r="BA112" s="7" t="n">
        <v>3</v>
      </c>
      <c r="BB112" s="7" t="n">
        <v>4</v>
      </c>
      <c r="BC112" s="7" t="n">
        <v>4</v>
      </c>
      <c r="BD112" s="7" t="n">
        <v>4</v>
      </c>
      <c r="BE112" s="7" t="n">
        <v>4</v>
      </c>
      <c r="BF112" s="7" t="n">
        <v>5</v>
      </c>
      <c r="BG112" s="7" t="n">
        <v>3</v>
      </c>
      <c r="BH112" s="7" t="n">
        <v>3.5</v>
      </c>
      <c r="BI112" s="7" t="n">
        <v>4</v>
      </c>
      <c r="BJ112" s="7" t="n">
        <v>4</v>
      </c>
      <c r="BK112" s="7" t="n">
        <v>3</v>
      </c>
      <c r="BL112" s="7" t="n">
        <v>3</v>
      </c>
      <c r="BM112" s="7" t="n">
        <v>4</v>
      </c>
      <c r="BN112" s="7" t="n">
        <v>3</v>
      </c>
      <c r="BO112" s="7" t="n">
        <v>3</v>
      </c>
      <c r="BP112" s="7" t="n">
        <v>4</v>
      </c>
      <c r="BQ112" s="7" t="n">
        <v>2</v>
      </c>
      <c r="BR112" s="7" t="n">
        <v>3</v>
      </c>
      <c r="BS112" s="7" t="n">
        <v>3</v>
      </c>
      <c r="BT112" s="7" t="n">
        <v>3</v>
      </c>
      <c r="BU112" s="7" t="n">
        <v>69.5</v>
      </c>
      <c r="BV112" s="2" t="inlineStr">
        <is>
          <t>A.需要存在，不可去除</t>
        </is>
      </c>
      <c r="BW112" s="2" t="inlineStr">
        <is>
          <t>暂无</t>
        </is>
      </c>
      <c r="BX112" s="2" t="inlineStr">
        <is>
          <t>暂无</t>
        </is>
      </c>
      <c r="BY112" s="6">
        <f>HYPERLINK("https://www.h3yun.com/Form/Attachments/?schemacode=D148357733993cc00c048ad9898e53f5f82cbb9&amp;bizObjectId=fffc1f50-384c-408a-a0a0-c6dc3903856f&amp;name=F0000016","点击查看")</f>
        <v>0</v>
      </c>
      <c r="BZ112" s="2" t="inlineStr">
        <is>
          <t>2026-05-07 16:42:07</t>
        </is>
      </c>
      <c r="CA112" s="2" t="inlineStr">
        <is>
          <t>C</t>
        </is>
      </c>
      <c r="CB112" s="2" t="inlineStr">
        <is>
          <t>已提交</t>
        </is>
      </c>
      <c r="CC112" s="2" t="inlineStr">
        <is>
          <t>无</t>
        </is>
      </c>
      <c r="CD112" s="2" t="inlineStr">
        <is>
          <t>安全员C2</t>
        </is>
      </c>
      <c r="CE112" s="2" t="inlineStr">
        <is>
          <t>无</t>
        </is>
      </c>
      <c r="CF112" s="2"/>
      <c r="CG112" s="2" t="inlineStr">
        <is>
          <t>320325198101249142</t>
        </is>
      </c>
      <c r="CH112" s="2" t="inlineStr">
        <is>
          <t>已生效</t>
        </is>
      </c>
      <c r="CI112" s="2" t="inlineStr">
        <is>
          <t>afd91340-04e4-4f07-a93c-32d4965310fc</t>
        </is>
      </c>
      <c r="CJ112" s="3" t="n">
        <v>1</v>
      </c>
      <c r="CK112" s="2" t="inlineStr">
        <is>
          <t>该成员存在一线工作履历</t>
        </is>
      </c>
      <c r="CL112" s="2" t="inlineStr">
        <is>
          <t>该成员存在一线工作履历</t>
        </is>
      </c>
      <c r="CM112" s="2" t="inlineStr">
        <is>
          <t>南化建司劳2017-1号文-南京南化建设有限公司施工一线专业序列人员分级管理规定</t>
        </is>
      </c>
      <c r="CN112" s="2" t="inlineStr">
        <is>
          <t>第三章第6条D类</t>
        </is>
      </c>
      <c r="CO112" s="2"/>
      <c r="CP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t="inlineStr">
        <is>
          <t>69f030f6-3f31-4d72-8b11-3a6ef657fe12</t>
        </is>
      </c>
      <c r="CJ113" s="3" t="n">
        <v>2</v>
      </c>
      <c r="CK113" s="2" t="inlineStr">
        <is>
          <t>近五年内该成员存在一线工作履历</t>
        </is>
      </c>
      <c r="CL113" s="2" t="inlineStr">
        <is>
          <t>近五年内该成员存在一线工作履历</t>
        </is>
      </c>
      <c r="CM113" s="2" t="inlineStr">
        <is>
          <t>南化建司劳2017-1号文-南京南化建设有限公司施工一线专业序列人员分级管理规定</t>
        </is>
      </c>
      <c r="CN113" s="2" t="inlineStr">
        <is>
          <t>第三章第6条D类</t>
        </is>
      </c>
      <c r="CO113" s="2"/>
      <c r="CP113" s="2"/>
    </row>
    <row r="114">
      <c r="A114" s="2" t="inlineStr">
        <is>
          <t>ad2ad54f-345a-4522-a31e-1801e699ae05</t>
        </is>
      </c>
      <c r="B114" s="2" t="inlineStr">
        <is>
          <t>B.满负荷，平时工作就很忙，偶尔因为非突发时间也要加班</t>
        </is>
      </c>
      <c r="C114" s="2" t="inlineStr">
        <is>
          <t>物资部    邢冬梅    女    范磊</t>
        </is>
      </c>
      <c r="D114" s="2" t="inlineStr">
        <is>
          <t>Anonymous</t>
        </is>
      </c>
      <c r="E114" s="2" t="inlineStr">
        <is>
          <t>Anonymous</t>
        </is>
      </c>
      <c r="F114" s="2"/>
      <c r="G114" s="2" t="inlineStr">
        <is>
          <t>2026-05-25 10:56:15</t>
        </is>
      </c>
      <c r="H114" s="2" t="inlineStr">
        <is>
          <t>范磊</t>
        </is>
      </c>
      <c r="I114" s="2" t="inlineStr">
        <is>
          <t>34212919820817761x</t>
        </is>
      </c>
      <c r="J114" s="2" t="inlineStr">
        <is>
          <t>男</t>
        </is>
      </c>
      <c r="K114" s="2" t="inlineStr">
        <is>
          <t>物资部</t>
        </is>
      </c>
      <c r="L114" s="2" t="inlineStr">
        <is>
          <t>2005-08-20</t>
        </is>
      </c>
      <c r="M114" s="2" t="inlineStr">
        <is>
          <t>安徽理工大学</t>
        </is>
      </c>
      <c r="N114" s="2" t="inlineStr">
        <is>
          <t>其他</t>
        </is>
      </c>
      <c r="O114" s="2" t="inlineStr">
        <is>
          <t>大专</t>
        </is>
      </c>
      <c r="P114" s="2" t="inlineStr">
        <is>
          <t>物资部</t>
        </is>
      </c>
      <c r="Q114" s="2" t="inlineStr">
        <is>
          <t>邢冬梅</t>
        </is>
      </c>
      <c r="R114" s="2" t="inlineStr">
        <is>
          <t>女</t>
        </is>
      </c>
      <c r="S114" s="2" t="inlineStr">
        <is>
          <t>2004-08-02</t>
        </is>
      </c>
      <c r="T114" s="2" t="inlineStr">
        <is>
          <t>主管工程师</t>
        </is>
      </c>
      <c r="U114" s="2" t="inlineStr">
        <is>
          <t>徐州工业学校</t>
        </is>
      </c>
      <c r="V114" s="2"/>
      <c r="W114" s="2" t="inlineStr">
        <is>
          <t>中专</t>
        </is>
      </c>
      <c r="X114" s="2" t="inlineStr">
        <is>
          <t>B.按时推进：基本能卡着时间点完成，不掉链子。</t>
        </is>
      </c>
      <c r="Y114" s="2" t="inlineStr">
        <is>
          <t>B.基本稳定：偶有小瑕疵，但不影响整体使用。</t>
        </is>
      </c>
      <c r="Z114" s="2" t="inlineStr">
        <is>
          <t>B.比较省心：只需定期同步一下进度，不需要主管盯着细节，能独立把事情办成。</t>
        </is>
      </c>
      <c r="AA114" s="2" t="inlineStr">
        <is>
          <t>A.全局视野：了解上下游，能站在全业务链条考虑问题。</t>
        </is>
      </c>
      <c r="AB114" s="2" t="inlineStr">
        <is>
          <t>A.攻坚克难：会想尽一切办法钻研，直至彻底解决。</t>
        </is>
      </c>
      <c r="AC114" s="2" t="inlineStr">
        <is>
          <t>A.模范标兵：严于律己，从未在琐事上让主管费心。</t>
        </is>
      </c>
      <c r="AD114" s="2" t="inlineStr">
        <is>
          <t>B.偶尔思考：在主管启发下，能提出一些优化想法</t>
        </is>
      </c>
      <c r="AE114" s="2" t="inlineStr">
        <is>
          <t>B.正常沟通：能清晰表达需求，维持基本的协作。</t>
        </is>
      </c>
      <c r="AF114" s="2" t="inlineStr">
        <is>
          <t>A.完美闭环：进展、难点、结果都会主动汇报，无需催促。</t>
        </is>
      </c>
      <c r="AG114" s="2" t="inlineStr">
        <is>
          <t>B.稳定器：做好自己，不给团队添乱，是可靠的一员。</t>
        </is>
      </c>
      <c r="AH114" s="2" t="inlineStr">
        <is>
          <t>A.整合高手：能迅速找到能帮上忙的人和资源，借力打力解决问题。</t>
        </is>
      </c>
      <c r="AI114" s="2" t="inlineStr">
        <is>
          <t>B. 配合接受：主管安排了就干，不推辞。</t>
        </is>
      </c>
      <c r="AJ114" s="2" t="inlineStr">
        <is>
          <t>B.配合度高：虽然有压力，但能服从大局，咬牙顶上去，且质量尚可。</t>
        </is>
      </c>
      <c r="AK114" s="2" t="inlineStr">
        <is>
          <t>B.照单全收：态度很好，虽然不一定完全理解，但会按要求改。</t>
        </is>
      </c>
      <c r="AL114" s="2" t="inlineStr">
        <is>
          <t>A.极速掌握：自学能力极强，很快就能成为该领域的“百晓生”。</t>
        </is>
      </c>
      <c r="AM114" s="2" t="inlineStr">
        <is>
          <t>A.总结达人：能把复杂工作写成标准 SOP，让新手直接用。</t>
        </is>
      </c>
      <c r="AN114" s="2" t="inlineStr">
        <is>
          <t>B.中上水平：高于平均线，是团队的中流砥柱。</t>
        </is>
      </c>
      <c r="AO114" s="2" t="inlineStr">
        <is>
          <t>B.业务骨干：是团队不可或缺的腰部力量。</t>
        </is>
      </c>
      <c r="AP114" s="2" t="inlineStr">
        <is>
          <t>A.晴天霹雳：极其遗憾，会不惜代价挽留，他是部门的支柱。</t>
        </is>
      </c>
      <c r="AQ114" s="2" t="inlineStr">
        <is>
          <t>A</t>
        </is>
      </c>
      <c r="AR114" s="2" t="inlineStr">
        <is>
          <t>A</t>
        </is>
      </c>
      <c r="AS114" s="2" t="inlineStr">
        <is>
          <t>一致</t>
        </is>
      </c>
      <c r="AT114" s="2" t="inlineStr">
        <is>
          <t>A</t>
        </is>
      </c>
      <c r="AU114" s="2" t="inlineStr">
        <is>
          <t>1档</t>
        </is>
      </c>
      <c r="AV114" s="3" t="n">
        <v>8600</v>
      </c>
      <c r="AW114" s="3" t="n">
        <v>6880</v>
      </c>
      <c r="AX114" s="3" t="n">
        <v>10320</v>
      </c>
      <c r="AY114" s="2" t="inlineStr">
        <is>
          <t>B</t>
        </is>
      </c>
      <c r="AZ114" s="2" t="inlineStr">
        <is>
          <t>该员工入职公司22年，一直从事公司固定资产管理、计量器具管理、设备调拨管理等工作，工作认真负责，保障公司固定资产设备的安全使用</t>
        </is>
      </c>
      <c r="BA114" s="7" t="n">
        <v>3</v>
      </c>
      <c r="BB114" s="7" t="n">
        <v>4</v>
      </c>
      <c r="BC114" s="7" t="n">
        <v>4</v>
      </c>
      <c r="BD114" s="7" t="n">
        <v>5</v>
      </c>
      <c r="BE114" s="7" t="n">
        <v>5</v>
      </c>
      <c r="BF114" s="7" t="n">
        <v>5</v>
      </c>
      <c r="BG114" s="7" t="n">
        <v>4</v>
      </c>
      <c r="BH114" s="7" t="n">
        <v>3.5</v>
      </c>
      <c r="BI114" s="7" t="n">
        <v>5</v>
      </c>
      <c r="BJ114" s="7" t="n">
        <v>4</v>
      </c>
      <c r="BK114" s="7" t="n">
        <v>5</v>
      </c>
      <c r="BL114" s="7" t="n">
        <v>4</v>
      </c>
      <c r="BM114" s="7" t="n">
        <v>4</v>
      </c>
      <c r="BN114" s="7" t="n">
        <v>4</v>
      </c>
      <c r="BO114" s="7" t="n">
        <v>3</v>
      </c>
      <c r="BP114" s="7" t="n">
        <v>5</v>
      </c>
      <c r="BQ114" s="7" t="n">
        <v>5</v>
      </c>
      <c r="BR114" s="7" t="n">
        <v>4</v>
      </c>
      <c r="BS114" s="7" t="n">
        <v>4</v>
      </c>
      <c r="BT114" s="7" t="n">
        <v>5</v>
      </c>
      <c r="BU114" s="7" t="n">
        <v>85.5</v>
      </c>
      <c r="BV114" s="2" t="inlineStr">
        <is>
          <t>A.需要存在，不可去除</t>
        </is>
      </c>
      <c r="BW114" s="2"/>
      <c r="BX114" s="2"/>
      <c r="BY114" s="6">
        <f>HYPERLINK("https://www.h3yun.com/Form/Attachments/?schemacode=D148357733993cc00c048ad9898e53f5f82cbb9&amp;bizObjectId=ad2ad54f-345a-4522-a31e-1801e699ae05&amp;name=F0000016","点击查看")</f>
        <v>0</v>
      </c>
      <c r="BZ114" s="2" t="inlineStr">
        <is>
          <t>2026-05-07 16:38:58</t>
        </is>
      </c>
      <c r="CA114" s="2" t="inlineStr">
        <is>
          <t>A</t>
        </is>
      </c>
      <c r="CB114" s="2" t="inlineStr">
        <is>
          <t>已提交</t>
        </is>
      </c>
      <c r="CC114" s="2" t="inlineStr">
        <is>
          <t>高级工程师</t>
        </is>
      </c>
      <c r="CD114" s="2" t="inlineStr">
        <is>
          <t>高压电工证</t>
        </is>
      </c>
      <c r="CE114" s="2" t="inlineStr">
        <is>
          <t>优秀员工</t>
        </is>
      </c>
      <c r="CF114" s="2"/>
      <c r="CG114" s="2" t="inlineStr">
        <is>
          <t>342622198110026840</t>
        </is>
      </c>
      <c r="CH114" s="2" t="inlineStr">
        <is>
          <t>已生效</t>
        </is>
      </c>
      <c r="CI114" s="2" t="inlineStr">
        <is>
          <t>62d8c3ff-e30b-4e29-a264-ad3a3918b182</t>
        </is>
      </c>
      <c r="CJ114" s="3" t="n">
        <v>1</v>
      </c>
      <c r="CK114" s="2" t="inlineStr">
        <is>
          <t>近三年至少担任过一个合同额1500万元以上项目相应岗位的主管</t>
        </is>
      </c>
      <c r="CL114" s="2" t="inlineStr">
        <is>
          <t>近三年至少担任过一个合同额1500万元以上项目相应岗位的主管</t>
        </is>
      </c>
      <c r="CM114" s="2" t="inlineStr">
        <is>
          <t>南化建司劳2017-1号文-南京南化建设有限公司施工一线专业序列人员分级管理规定</t>
        </is>
      </c>
      <c r="CN114" s="2" t="inlineStr">
        <is>
          <t>第三章第2条B类</t>
        </is>
      </c>
      <c r="CO114" s="2"/>
      <c r="CP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t="inlineStr">
        <is>
          <t>64c4b363-284e-40e7-953f-dd46b9c7d1d1</t>
        </is>
      </c>
      <c r="CJ115" s="3" t="n">
        <v>2</v>
      </c>
      <c r="CK115" s="2" t="inlineStr">
        <is>
          <t>公司二级单位或公司职能部门推荐</t>
        </is>
      </c>
      <c r="CL115" s="2" t="inlineStr">
        <is>
          <t>公司二级单位或公司职能部门推荐</t>
        </is>
      </c>
      <c r="CM115" s="2" t="inlineStr">
        <is>
          <t>南化建司劳2017-1号文-南京南化建设有限公司施工一线专业序列人员分级管理规定</t>
        </is>
      </c>
      <c r="CN115" s="2" t="inlineStr">
        <is>
          <t>第三章第2条B类</t>
        </is>
      </c>
      <c r="CO115" s="2"/>
      <c r="CP115" s="2"/>
    </row>
    <row r="116">
      <c r="A116" s="2" t="inlineStr">
        <is>
          <t>7473663d-7440-46e2-9d61-f537e8de91c9</t>
        </is>
      </c>
      <c r="B116" s="2" t="inlineStr">
        <is>
          <t>D.欠饱和，没想起来给他布置工作的话很可能就是闲着</t>
        </is>
      </c>
      <c r="C116" s="2" t="inlineStr">
        <is>
          <t>马来西亚分公司（国内采购）    童家斌    男    张威</t>
        </is>
      </c>
      <c r="D116" s="2" t="inlineStr">
        <is>
          <t>Anonymous</t>
        </is>
      </c>
      <c r="E116" s="2" t="inlineStr">
        <is>
          <t>Anonymous</t>
        </is>
      </c>
      <c r="F116" s="2"/>
      <c r="G116" s="2" t="inlineStr">
        <is>
          <t>2026-05-25 10:56:15</t>
        </is>
      </c>
      <c r="H116" s="2" t="inlineStr">
        <is>
          <t>张威</t>
        </is>
      </c>
      <c r="I116" s="2" t="inlineStr">
        <is>
          <t>321027198912083075</t>
        </is>
      </c>
      <c r="J116" s="2" t="inlineStr">
        <is>
          <t>男</t>
        </is>
      </c>
      <c r="K116" s="2" t="inlineStr">
        <is>
          <t>技术中心</t>
        </is>
      </c>
      <c r="L116" s="2" t="inlineStr">
        <is>
          <t>2012-07-01</t>
        </is>
      </c>
      <c r="M116" s="2" t="inlineStr">
        <is>
          <t>常州大学</t>
        </is>
      </c>
      <c r="N116" s="2" t="inlineStr">
        <is>
          <t>过控</t>
        </is>
      </c>
      <c r="O116" s="2" t="inlineStr">
        <is>
          <t>本科</t>
        </is>
      </c>
      <c r="P116" s="2" t="inlineStr">
        <is>
          <t>马来西亚分公司（国内采购）</t>
        </is>
      </c>
      <c r="Q116" s="2" t="inlineStr">
        <is>
          <t>童家斌</t>
        </is>
      </c>
      <c r="R116" s="2" t="inlineStr">
        <is>
          <t>男</t>
        </is>
      </c>
      <c r="S116" s="2" t="inlineStr">
        <is>
          <t>2025-08-01</t>
        </is>
      </c>
      <c r="T116" s="2" t="inlineStr">
        <is>
          <t>技术助理(三)</t>
        </is>
      </c>
      <c r="U116" s="2" t="inlineStr">
        <is>
          <t>南京工业职业技术大学</t>
        </is>
      </c>
      <c r="V116" s="2" t="inlineStr">
        <is>
          <t>自动化</t>
        </is>
      </c>
      <c r="W116" s="2" t="inlineStr">
        <is>
          <t>本科</t>
        </is>
      </c>
      <c r="X116" s="2" t="inlineStr">
        <is>
          <t>C.拖沓被动：需要主管反复催促，才能勉强按时交差。</t>
        </is>
      </c>
      <c r="Y116" s="2" t="inlineStr">
        <is>
          <t>C.看心情/状态：状态好时不错，状态差时漏洞百出。</t>
        </is>
      </c>
      <c r="Z116" s="2" t="inlineStr">
        <is>
          <t>C.正常跟进：需要主管盯着节点、偶尔提醒进度，或者在跑偏时帮着拽回来。</t>
        </is>
      </c>
      <c r="AA116" s="2" t="inlineStr">
        <is>
          <t>C.只知其一：只知道自己怎么操作，不知道为什么要这么做。</t>
        </is>
      </c>
      <c r="AB116" s="2" t="inlineStr">
        <is>
          <t>C.容易放弃：尝试一下发现不行，就停在那等着主管给方案。</t>
        </is>
      </c>
      <c r="AC116" s="2" t="inlineStr">
        <is>
          <t>A.模范标兵：严于律己，从未在琐事上让主管费心。</t>
        </is>
      </c>
      <c r="AD116" s="2" t="inlineStr">
        <is>
          <t>C.照章办事：给多少干多少，完全按老规矩来，从不思考变革</t>
        </is>
      </c>
      <c r="AE116" s="2" t="inlineStr">
        <is>
          <t>C.沟通被动：你不催他不去，去了也带不回明确结果。</t>
        </is>
      </c>
      <c r="AF116" s="2" t="inlineStr">
        <is>
          <t>C.偶尔断片：答应得好好的，但中间不反馈，非得主管去追。</t>
        </is>
      </c>
      <c r="AG116" s="2" t="inlineStr">
        <is>
          <t>C.旁观者：不关心团队，只关心自己的工作。</t>
        </is>
      </c>
      <c r="AH116" s="2" t="inlineStr">
        <is>
          <t>B.懂得求助：在尝试后会及时向主管或同事反馈，寻求资源支持。</t>
        </is>
      </c>
      <c r="AI116" s="2" t="inlineStr">
        <is>
          <t>C. 守好地盘：只管自己那一块，多一点都不想碰。</t>
        </is>
      </c>
      <c r="AJ116" s="2" t="inlineStr">
        <is>
          <t>C.较为配合：不抱怨，但压力较大时，工作质量会随之下滑。</t>
        </is>
      </c>
      <c r="AK116" s="2" t="inlineStr">
        <is>
          <t>B.照单全收：态度很好，虽然不一定完全理解，但会按要求改。</t>
        </is>
      </c>
      <c r="AL116" s="2" t="inlineStr">
        <is>
          <t>C.慢工细活：需要反复教，掌握过程比较吃力。</t>
        </is>
      </c>
      <c r="AM116" s="2" t="inlineStr">
        <is>
          <t>C.技能私有：自己干得好也愿意分享，但是不会总结或讲不出来。</t>
        </is>
      </c>
      <c r="AN116" s="2" t="inlineStr">
        <is>
          <t>C.中规中矩：刚好达标，替代性较强。</t>
        </is>
      </c>
      <c r="AO116" s="2" t="inlineStr">
        <is>
          <t>C.熟练工：能胜任重复性工作，但很难承担更高阶的挑战。</t>
        </is>
      </c>
      <c r="AP116" s="2" t="inlineStr">
        <is>
          <t>C.正常更替：走就走吧，招个新人培养一下也没什么区别。</t>
        </is>
      </c>
      <c r="AQ116" s="2" t="inlineStr">
        <is>
          <t>D</t>
        </is>
      </c>
      <c r="AR116" s="2" t="inlineStr">
        <is>
          <t>D</t>
        </is>
      </c>
      <c r="AS116" s="2" t="inlineStr">
        <is>
          <t>一致</t>
        </is>
      </c>
      <c r="AT116" s="2" t="inlineStr">
        <is>
          <t>D</t>
        </is>
      </c>
      <c r="AU116" s="2"/>
      <c r="AV116" s="3"/>
      <c r="AW116" s="3"/>
      <c r="AX116" s="3"/>
      <c r="AY116" s="2" t="inlineStr">
        <is>
          <t>无对照</t>
        </is>
      </c>
      <c r="AZ116" s="2" t="inlineStr">
        <is>
          <t>待改进级</t>
        </is>
      </c>
      <c r="BA116" s="7" t="n">
        <v>2</v>
      </c>
      <c r="BB116" s="7" t="n">
        <v>2</v>
      </c>
      <c r="BC116" s="7" t="n">
        <v>3</v>
      </c>
      <c r="BD116" s="7" t="n">
        <v>2</v>
      </c>
      <c r="BE116" s="7" t="n">
        <v>2</v>
      </c>
      <c r="BF116" s="7" t="n">
        <v>5</v>
      </c>
      <c r="BG116" s="7" t="n">
        <v>3</v>
      </c>
      <c r="BH116" s="7" t="n">
        <v>1</v>
      </c>
      <c r="BI116" s="7" t="n">
        <v>2</v>
      </c>
      <c r="BJ116" s="7" t="n">
        <v>2</v>
      </c>
      <c r="BK116" s="7" t="n">
        <v>3</v>
      </c>
      <c r="BL116" s="7" t="n">
        <v>3</v>
      </c>
      <c r="BM116" s="7" t="n">
        <v>2</v>
      </c>
      <c r="BN116" s="7" t="n">
        <v>3</v>
      </c>
      <c r="BO116" s="7" t="n">
        <v>3</v>
      </c>
      <c r="BP116" s="7" t="n">
        <v>2</v>
      </c>
      <c r="BQ116" s="7" t="n">
        <v>2</v>
      </c>
      <c r="BR116" s="7" t="n">
        <v>3</v>
      </c>
      <c r="BS116" s="7" t="n">
        <v>3</v>
      </c>
      <c r="BT116" s="7" t="n">
        <v>3</v>
      </c>
      <c r="BU116" s="7" t="n">
        <v>51</v>
      </c>
      <c r="BV116" s="2" t="inlineStr">
        <is>
          <t>B.存不存在均可</t>
        </is>
      </c>
      <c r="BW116" s="2"/>
      <c r="BX116" s="2"/>
      <c r="BY116" s="6">
        <f>HYPERLINK("https://www.h3yun.com/Form/Attachments/?schemacode=D148357733993cc00c048ad9898e53f5f82cbb9&amp;bizObjectId=7473663d-7440-46e2-9d61-f537e8de91c9&amp;name=F0000016","点击查看")</f>
        <v>0</v>
      </c>
      <c r="BZ116" s="2" t="inlineStr">
        <is>
          <t>2026-05-07 16:35:46</t>
        </is>
      </c>
      <c r="CA116" s="2" t="inlineStr">
        <is>
          <t>D</t>
        </is>
      </c>
      <c r="CB116" s="2" t="inlineStr">
        <is>
          <t>已提交</t>
        </is>
      </c>
      <c r="CC116" s="2" t="inlineStr">
        <is>
          <t>无</t>
        </is>
      </c>
      <c r="CD116" s="2" t="inlineStr">
        <is>
          <t>无</t>
        </is>
      </c>
      <c r="CE116" s="2" t="inlineStr">
        <is>
          <t>无</t>
        </is>
      </c>
      <c r="CF116" s="2"/>
      <c r="CG116" s="2" t="inlineStr">
        <is>
          <t>320123200008075236</t>
        </is>
      </c>
      <c r="CH116" s="2" t="inlineStr">
        <is>
          <t>已生效</t>
        </is>
      </c>
      <c r="CI116" s="2"/>
      <c r="CJ116" s="2"/>
      <c r="CK116" s="2"/>
      <c r="CL116" s="2"/>
      <c r="CM116" s="2"/>
      <c r="CN116" s="2"/>
      <c r="CO116" s="2"/>
      <c r="CP116" s="2"/>
    </row>
    <row r="117">
      <c r="A117" s="2" t="inlineStr">
        <is>
          <t>b080d175-4c40-426f-bb7c-697dc13061dd</t>
        </is>
      </c>
      <c r="B117" s="2" t="inlineStr">
        <is>
          <t>C.均衡，工作负荷一般，按部就班完成工作，除了突发时间几乎不用加班</t>
        </is>
      </c>
      <c r="C117" s="2" t="inlineStr">
        <is>
          <t>物资部    王仁斌    男    范磊</t>
        </is>
      </c>
      <c r="D117" s="2" t="inlineStr">
        <is>
          <t>Anonymous</t>
        </is>
      </c>
      <c r="E117" s="2" t="inlineStr">
        <is>
          <t>Anonymous</t>
        </is>
      </c>
      <c r="F117" s="2"/>
      <c r="G117" s="2" t="inlineStr">
        <is>
          <t>2026-05-25 10:56:15</t>
        </is>
      </c>
      <c r="H117" s="2" t="inlineStr">
        <is>
          <t>范磊</t>
        </is>
      </c>
      <c r="I117" s="2" t="inlineStr">
        <is>
          <t>34212919820817761x</t>
        </is>
      </c>
      <c r="J117" s="2" t="inlineStr">
        <is>
          <t>男</t>
        </is>
      </c>
      <c r="K117" s="2" t="inlineStr">
        <is>
          <t>物资部</t>
        </is>
      </c>
      <c r="L117" s="2" t="inlineStr">
        <is>
          <t>2005-08-20</t>
        </is>
      </c>
      <c r="M117" s="2" t="inlineStr">
        <is>
          <t>安徽理工大学</t>
        </is>
      </c>
      <c r="N117" s="2" t="inlineStr">
        <is>
          <t>其他</t>
        </is>
      </c>
      <c r="O117" s="2" t="inlineStr">
        <is>
          <t>大专</t>
        </is>
      </c>
      <c r="P117" s="2" t="inlineStr">
        <is>
          <t>物资部</t>
        </is>
      </c>
      <c r="Q117" s="2" t="inlineStr">
        <is>
          <t>王仁斌</t>
        </is>
      </c>
      <c r="R117" s="2" t="inlineStr">
        <is>
          <t>男</t>
        </is>
      </c>
      <c r="S117" s="2" t="inlineStr">
        <is>
          <t>1986-05-01</t>
        </is>
      </c>
      <c r="T117" s="2" t="inlineStr">
        <is>
          <t>主要工种高级工</t>
        </is>
      </c>
      <c r="U117" s="2"/>
      <c r="V117" s="2" t="inlineStr">
        <is>
          <t>电焊工</t>
        </is>
      </c>
      <c r="W117" s="2" t="inlineStr">
        <is>
          <t>初中</t>
        </is>
      </c>
      <c r="X117" s="2" t="inlineStr">
        <is>
          <t>B.按时推进：基本能卡着时间点完成，不掉链子。</t>
        </is>
      </c>
      <c r="Y117" s="2" t="inlineStr">
        <is>
          <t>B.基本稳定：偶有小瑕疵，但不影响整体使用。</t>
        </is>
      </c>
      <c r="Z117" s="2" t="inlineStr">
        <is>
          <t>B.比较省心：只需定期同步一下进度，不需要主管盯着细节，能独立把事情办成。</t>
        </is>
      </c>
      <c r="AA117" s="2" t="inlineStr">
        <is>
          <t>A.全局视野：了解上下游，能站在全业务链条考虑问题。</t>
        </is>
      </c>
      <c r="AB117" s="2" t="inlineStr">
        <is>
          <t>B.尽力而为：能解决大部分问题，解决不了的会及时求助。</t>
        </is>
      </c>
      <c r="AC117" s="2" t="inlineStr">
        <is>
          <t>A.模范标兵：严于律己，从未在琐事上让主管费心。</t>
        </is>
      </c>
      <c r="AD117" s="2" t="inlineStr">
        <is>
          <t>B.偶尔思考：在主管启发下，能提出一些优化想法</t>
        </is>
      </c>
      <c r="AE117" s="2" t="inlineStr">
        <is>
          <t>B.正常沟通：能清晰表达需求，维持基本的协作。</t>
        </is>
      </c>
      <c r="AF117" s="2" t="inlineStr">
        <is>
          <t>B.有问有答：问到时能说清楚进度，基本能做到及时反馈。</t>
        </is>
      </c>
      <c r="AG117" s="2" t="inlineStr">
        <is>
          <t>B.稳定器：做好自己，不给团队添乱，是可靠的一员。</t>
        </is>
      </c>
      <c r="AH117" s="2" t="inlineStr">
        <is>
          <t>A.整合高手：能迅速找到能帮上忙的人和资源，借力打力解决问题。</t>
        </is>
      </c>
      <c r="AI117" s="2" t="inlineStr">
        <is>
          <t>B. 配合接受：主管安排了就干，不推辞。</t>
        </is>
      </c>
      <c r="AJ117" s="2" t="inlineStr">
        <is>
          <t>B.配合度高：虽然有压力，但能服从大局，咬牙顶上去，且质量尚可。</t>
        </is>
      </c>
      <c r="AK117" s="2" t="inlineStr">
        <is>
          <t>B.照单全收：态度很好，虽然不一定完全理解，但会按要求改。</t>
        </is>
      </c>
      <c r="AL117" s="2" t="inlineStr">
        <is>
          <t>C.慢工细活：需要反复教，掌握过程比较吃力。</t>
        </is>
      </c>
      <c r="AM117" s="2" t="inlineStr">
        <is>
          <t>B.愿意传帮带：平时爱分享避坑指南，能带徒弟。</t>
        </is>
      </c>
      <c r="AN117" s="2" t="inlineStr">
        <is>
          <t>C.中规中矩：刚好达标，替代性较强。</t>
        </is>
      </c>
      <c r="AO117" s="2" t="inlineStr">
        <is>
          <t>C.熟练工：能胜任重复性工作，但很难承担更高阶的挑战。</t>
        </is>
      </c>
      <c r="AP117" s="2" t="inlineStr">
        <is>
          <t>D.有点影响：目前人员缺失，正好符合这个领域，没人用，有比没有好</t>
        </is>
      </c>
      <c r="AQ117" s="2" t="inlineStr">
        <is>
          <t>B</t>
        </is>
      </c>
      <c r="AR117" s="2" t="inlineStr">
        <is>
          <t>B</t>
        </is>
      </c>
      <c r="AS117" s="2" t="inlineStr">
        <is>
          <t>一致</t>
        </is>
      </c>
      <c r="AT117" s="2" t="inlineStr">
        <is>
          <t>B</t>
        </is>
      </c>
      <c r="AU117" s="2" t="inlineStr">
        <is>
          <t>1档</t>
        </is>
      </c>
      <c r="AV117" s="3" t="n">
        <v>7600</v>
      </c>
      <c r="AW117" s="3" t="n">
        <v>6080</v>
      </c>
      <c r="AX117" s="3" t="n">
        <v>9120</v>
      </c>
      <c r="AY117" s="2" t="inlineStr">
        <is>
          <t>C</t>
        </is>
      </c>
      <c r="AZ117" s="2" t="inlineStr">
        <is>
          <t>该员工为公司老员工，入职公司40年，工作认真负责，但因年龄、学历等原因，对公司的管理系统学习应用上适应较慢</t>
        </is>
      </c>
      <c r="BA117" s="7" t="n">
        <v>3</v>
      </c>
      <c r="BB117" s="7" t="n">
        <v>4</v>
      </c>
      <c r="BC117" s="7" t="n">
        <v>4</v>
      </c>
      <c r="BD117" s="7" t="n">
        <v>5</v>
      </c>
      <c r="BE117" s="7" t="n">
        <v>4</v>
      </c>
      <c r="BF117" s="7" t="n">
        <v>5</v>
      </c>
      <c r="BG117" s="7" t="n">
        <v>4</v>
      </c>
      <c r="BH117" s="7" t="n">
        <v>3.5</v>
      </c>
      <c r="BI117" s="7" t="n">
        <v>4</v>
      </c>
      <c r="BJ117" s="7" t="n">
        <v>4</v>
      </c>
      <c r="BK117" s="7" t="n">
        <v>5</v>
      </c>
      <c r="BL117" s="7" t="n">
        <v>4</v>
      </c>
      <c r="BM117" s="7" t="n">
        <v>3</v>
      </c>
      <c r="BN117" s="7" t="n">
        <v>4</v>
      </c>
      <c r="BO117" s="7" t="n">
        <v>3</v>
      </c>
      <c r="BP117" s="7" t="n">
        <v>2</v>
      </c>
      <c r="BQ117" s="7" t="n">
        <v>4</v>
      </c>
      <c r="BR117" s="7" t="n">
        <v>3</v>
      </c>
      <c r="BS117" s="7" t="n">
        <v>3</v>
      </c>
      <c r="BT117" s="7" t="n">
        <v>1</v>
      </c>
      <c r="BU117" s="7" t="n">
        <v>72.5</v>
      </c>
      <c r="BV117" s="2" t="inlineStr">
        <is>
          <t>A.需要存在，不可去除</t>
        </is>
      </c>
      <c r="BW117" s="2"/>
      <c r="BX117" s="2"/>
      <c r="BY117" s="6">
        <f>HYPERLINK("https://www.h3yun.com/Form/Attachments/?schemacode=D148357733993cc00c048ad9898e53f5f82cbb9&amp;bizObjectId=b080d175-4c40-426f-bb7c-697dc13061dd&amp;name=F0000016","点击查看")</f>
        <v>0</v>
      </c>
      <c r="BZ117" s="2" t="inlineStr">
        <is>
          <t>2026-05-07 16:30:46</t>
        </is>
      </c>
      <c r="CA117" s="2" t="inlineStr">
        <is>
          <t>B</t>
        </is>
      </c>
      <c r="CB117" s="2" t="inlineStr">
        <is>
          <t>已提交</t>
        </is>
      </c>
      <c r="CC117" s="2" t="inlineStr">
        <is>
          <t>无</t>
        </is>
      </c>
      <c r="CD117" s="2" t="inlineStr">
        <is>
          <t>无</t>
        </is>
      </c>
      <c r="CE117" s="2" t="inlineStr">
        <is>
          <t>无</t>
        </is>
      </c>
      <c r="CF117" s="2"/>
      <c r="CG117" s="2" t="inlineStr">
        <is>
          <t>320112196710260417</t>
        </is>
      </c>
      <c r="CH117" s="2" t="inlineStr">
        <is>
          <t>已生效</t>
        </is>
      </c>
      <c r="CI117" s="2" t="inlineStr">
        <is>
          <t>f6d09428-8289-45bf-bad8-3b7d507cf1c1</t>
        </is>
      </c>
      <c r="CJ117" s="3" t="n">
        <v>1</v>
      </c>
      <c r="CK117" s="2" t="inlineStr">
        <is>
          <t>近三年至少担任过一个合同额1000万元以上项目相应岗位的主管</t>
        </is>
      </c>
      <c r="CL117" s="2" t="inlineStr">
        <is>
          <t>近三年至少担任过一个合同额1000万元以上项目相应岗位的主管</t>
        </is>
      </c>
      <c r="CM117" s="2" t="inlineStr">
        <is>
          <t>南化建司劳2017-1号文-南京南化建设有限公司施工一线专业序列人员分级管理规定</t>
        </is>
      </c>
      <c r="CN117" s="2" t="inlineStr">
        <is>
          <t>第三章第3条C类</t>
        </is>
      </c>
      <c r="CO117" s="2"/>
      <c r="CP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t="inlineStr">
        <is>
          <t>dc493d03-61b1-4806-899b-55b9c7b383e7</t>
        </is>
      </c>
      <c r="CJ118" s="3" t="n">
        <v>2</v>
      </c>
      <c r="CK118" s="2" t="inlineStr">
        <is>
          <t>公司二级单位或公司职能部门推荐</t>
        </is>
      </c>
      <c r="CL118" s="2" t="inlineStr">
        <is>
          <t>公司二级单位或公司职能部门推荐</t>
        </is>
      </c>
      <c r="CM118" s="2" t="inlineStr">
        <is>
          <t>南化建司劳2017-1号文-南京南化建设有限公司施工一线专业序列人员分级管理规定</t>
        </is>
      </c>
      <c r="CN118" s="2" t="inlineStr">
        <is>
          <t>第三章第3条C类</t>
        </is>
      </c>
      <c r="CO118" s="2"/>
      <c r="CP118" s="2"/>
    </row>
    <row r="119">
      <c r="A119" s="2" t="inlineStr">
        <is>
          <t>062107da-d40f-4518-af8b-5e1a5dc0355f</t>
        </is>
      </c>
      <c r="B119" s="2" t="inlineStr">
        <is>
          <t>C.均衡，工作负荷一般，按部就班完成工作，除了突发时间几乎不用加班</t>
        </is>
      </c>
      <c r="C119" s="2" t="inlineStr">
        <is>
          <t>技术中心    徐成威    男    刘念</t>
        </is>
      </c>
      <c r="D119" s="2" t="inlineStr">
        <is>
          <t>Anonymous</t>
        </is>
      </c>
      <c r="E119" s="2" t="inlineStr">
        <is>
          <t>Anonymous</t>
        </is>
      </c>
      <c r="F119" s="2"/>
      <c r="G119" s="2" t="inlineStr">
        <is>
          <t>2026-05-25 10:56:15</t>
        </is>
      </c>
      <c r="H119" s="2" t="inlineStr">
        <is>
          <t>刘念</t>
        </is>
      </c>
      <c r="I119" s="2" t="inlineStr">
        <is>
          <t>320111198911130830</t>
        </is>
      </c>
      <c r="J119" s="2" t="inlineStr">
        <is>
          <t>男</t>
        </is>
      </c>
      <c r="K119" s="2" t="inlineStr">
        <is>
          <t>技术中心</t>
        </is>
      </c>
      <c r="L119" s="2" t="inlineStr">
        <is>
          <t>2012-07-01</t>
        </is>
      </c>
      <c r="M119" s="2" t="inlineStr">
        <is>
          <t>常州大学</t>
        </is>
      </c>
      <c r="N119" s="2" t="inlineStr">
        <is>
          <t>化机</t>
        </is>
      </c>
      <c r="O119" s="2" t="inlineStr">
        <is>
          <t>本科</t>
        </is>
      </c>
      <c r="P119" s="2" t="inlineStr">
        <is>
          <t>技术中心</t>
        </is>
      </c>
      <c r="Q119" s="2" t="inlineStr">
        <is>
          <t>徐成威</t>
        </is>
      </c>
      <c r="R119" s="2" t="inlineStr">
        <is>
          <t>男</t>
        </is>
      </c>
      <c r="S119" s="2" t="inlineStr">
        <is>
          <t>2025-08-01</t>
        </is>
      </c>
      <c r="T119" s="2" t="inlineStr">
        <is>
          <t>技术助理(三)</t>
        </is>
      </c>
      <c r="U119" s="2" t="inlineStr">
        <is>
          <t>江苏海洋大学</t>
        </is>
      </c>
      <c r="V119" s="2" t="inlineStr">
        <is>
          <t>化机</t>
        </is>
      </c>
      <c r="W119" s="2" t="inlineStr">
        <is>
          <t>本科</t>
        </is>
      </c>
      <c r="X119" s="2" t="inlineStr">
        <is>
          <t>B.按时推进：基本能卡着时间点完成，不掉链子。</t>
        </is>
      </c>
      <c r="Y119" s="2" t="inlineStr">
        <is>
          <t>C.看心情/状态：状态好时不错，状态差时漏洞百出。</t>
        </is>
      </c>
      <c r="Z119" s="2" t="inlineStr">
        <is>
          <t>C.正常跟进：需要主管盯着节点、偶尔提醒进度，或者在跑偏时帮着拽回来。</t>
        </is>
      </c>
      <c r="AA119" s="2" t="inlineStr">
        <is>
          <t>C.只知其一：只知道自己怎么操作，不知道为什么要这么做。</t>
        </is>
      </c>
      <c r="AB119" s="2" t="inlineStr">
        <is>
          <t>B.尽力而为：能解决大部分问题，解决不了的会及时求助。</t>
        </is>
      </c>
      <c r="AC119" s="2" t="inlineStr">
        <is>
          <t>B.基本合规：偶尔迟到或忘打卡，提醒后能迅速改正。</t>
        </is>
      </c>
      <c r="AD119" s="2" t="inlineStr">
        <is>
          <t>C.照章办事：给多少干多少，完全按老规矩来，从不思考变革</t>
        </is>
      </c>
      <c r="AE119" s="2" t="inlineStr">
        <is>
          <t>C.沟通被动：你不催他不去，去了也带不回明确结果。</t>
        </is>
      </c>
      <c r="AF119" s="2" t="inlineStr">
        <is>
          <t>B.有问有答：问到时能说清楚进度，基本能做到及时反馈。</t>
        </is>
      </c>
      <c r="AG119" s="2" t="inlineStr">
        <is>
          <t>C.旁观者：不关心团队，只关心自己的工作。</t>
        </is>
      </c>
      <c r="AH119" s="2" t="inlineStr">
        <is>
          <t>C.闷头苦干：效率极低也不求助，最后事情耽误在手里。</t>
        </is>
      </c>
      <c r="AI119" s="2" t="inlineStr">
        <is>
          <t>C. 守好地盘：只管自己那一块，多一点都不想碰。</t>
        </is>
      </c>
      <c r="AJ119" s="2" t="inlineStr">
        <is>
          <t>D.情绪波动：压力大时容易抱怨或发牢骚，甚至影响他人。</t>
        </is>
      </c>
      <c r="AK119" s="2" t="inlineStr">
        <is>
          <t>C.自我辩解：第一反应是找借口证明自己没错。</t>
        </is>
      </c>
      <c r="AL119" s="2" t="inlineStr">
        <is>
          <t>C.慢工细活：需要反复教，掌握过程比较吃力。</t>
        </is>
      </c>
      <c r="AM119" s="2" t="inlineStr">
        <is>
          <t>B.愿意传帮带：平时爱分享避坑指南，能带徒弟。</t>
        </is>
      </c>
      <c r="AN119" s="2" t="inlineStr">
        <is>
          <t>C.中规中矩：刚好达标，替代性较强。</t>
        </is>
      </c>
      <c r="AO119" s="2" t="inlineStr">
        <is>
          <t>C.熟练工：能胜任重复性工作，但很难承担更高阶的挑战。</t>
        </is>
      </c>
      <c r="AP119" s="2" t="inlineStr">
        <is>
          <t>E.如释重负：终于走了，刚好腾出名额招个更靠谱的人。</t>
        </is>
      </c>
      <c r="AQ119" s="2" t="inlineStr">
        <is>
          <t>E</t>
        </is>
      </c>
      <c r="AR119" s="2" t="inlineStr">
        <is>
          <t>D</t>
        </is>
      </c>
      <c r="AS119" s="2" t="inlineStr">
        <is>
          <t>不一致</t>
        </is>
      </c>
      <c r="AT119" s="2" t="inlineStr">
        <is>
          <t>D</t>
        </is>
      </c>
      <c r="AU119" s="2" t="inlineStr">
        <is>
          <t>1档</t>
        </is>
      </c>
      <c r="AV119" s="3" t="n">
        <v>4800</v>
      </c>
      <c r="AW119" s="3" t="n">
        <v>3840</v>
      </c>
      <c r="AX119" s="3" t="n">
        <v>5760</v>
      </c>
      <c r="AY119" s="2" t="inlineStr">
        <is>
          <t>无对照</t>
        </is>
      </c>
      <c r="AZ119" s="2" t="inlineStr">
        <is>
          <t>工作需要一步步指导</t>
        </is>
      </c>
      <c r="BA119" s="7" t="n">
        <v>3</v>
      </c>
      <c r="BB119" s="7" t="n">
        <v>2</v>
      </c>
      <c r="BC119" s="7" t="n">
        <v>3</v>
      </c>
      <c r="BD119" s="7" t="n">
        <v>2</v>
      </c>
      <c r="BE119" s="7" t="n">
        <v>4</v>
      </c>
      <c r="BF119" s="7" t="n">
        <v>3.5</v>
      </c>
      <c r="BG119" s="7" t="n">
        <v>3</v>
      </c>
      <c r="BH119" s="7" t="n">
        <v>1</v>
      </c>
      <c r="BI119" s="7" t="n">
        <v>4</v>
      </c>
      <c r="BJ119" s="7" t="n">
        <v>2</v>
      </c>
      <c r="BK119" s="7" t="n">
        <v>1</v>
      </c>
      <c r="BL119" s="7" t="n">
        <v>3</v>
      </c>
      <c r="BM119" s="7" t="n">
        <v>3</v>
      </c>
      <c r="BN119" s="7" t="n">
        <v>1</v>
      </c>
      <c r="BO119" s="7" t="n">
        <v>1</v>
      </c>
      <c r="BP119" s="7" t="n">
        <v>2</v>
      </c>
      <c r="BQ119" s="7" t="n">
        <v>4</v>
      </c>
      <c r="BR119" s="7" t="n">
        <v>3</v>
      </c>
      <c r="BS119" s="7" t="n">
        <v>3</v>
      </c>
      <c r="BT119" s="7" t="n">
        <v>0</v>
      </c>
      <c r="BU119" s="7" t="n">
        <v>48.5</v>
      </c>
      <c r="BV119" s="2" t="inlineStr">
        <is>
          <t>C.建议与其他岗位合并</t>
        </is>
      </c>
      <c r="BW119" s="2"/>
      <c r="BX119" s="2"/>
      <c r="BY119" s="6">
        <f>HYPERLINK("https://www.h3yun.com/Form/Attachments/?schemacode=D148357733993cc00c048ad9898e53f5f82cbb9&amp;bizObjectId=062107da-d40f-4518-af8b-5e1a5dc0355f&amp;name=F0000016","点击查看")</f>
        <v>0</v>
      </c>
      <c r="BZ119" s="2" t="inlineStr">
        <is>
          <t>2026-05-07 16:23:12</t>
        </is>
      </c>
      <c r="CA119" s="2" t="inlineStr">
        <is>
          <t>D</t>
        </is>
      </c>
      <c r="CB119" s="2" t="inlineStr">
        <is>
          <t>已提交</t>
        </is>
      </c>
      <c r="CC119" s="2" t="inlineStr">
        <is>
          <t>无</t>
        </is>
      </c>
      <c r="CD119" s="2" t="inlineStr">
        <is>
          <t>无</t>
        </is>
      </c>
      <c r="CE119" s="2" t="inlineStr">
        <is>
          <t>无</t>
        </is>
      </c>
      <c r="CF119" s="2"/>
      <c r="CG119" s="2" t="inlineStr">
        <is>
          <t>320123200309304813</t>
        </is>
      </c>
      <c r="CH119" s="2" t="inlineStr">
        <is>
          <t>已生效</t>
        </is>
      </c>
      <c r="CI119" s="2"/>
      <c r="CJ119" s="2"/>
      <c r="CK119" s="2"/>
      <c r="CL119" s="2"/>
      <c r="CM119" s="2"/>
      <c r="CN119" s="2"/>
      <c r="CO119" s="2"/>
      <c r="CP119" s="2"/>
    </row>
    <row r="120">
      <c r="A120" s="2" t="inlineStr">
        <is>
          <t>ece34bca-30af-4ad0-b01d-af56aa82519b</t>
        </is>
      </c>
      <c r="B120" s="2" t="inlineStr">
        <is>
          <t>D.欠饱和，没想起来给他布置工作的话很可能就是闲着</t>
        </is>
      </c>
      <c r="C120" s="2" t="inlineStr">
        <is>
          <t>物资部    沈冲    男    范磊</t>
        </is>
      </c>
      <c r="D120" s="2" t="inlineStr">
        <is>
          <t>Anonymous</t>
        </is>
      </c>
      <c r="E120" s="2" t="inlineStr">
        <is>
          <t>Anonymous</t>
        </is>
      </c>
      <c r="F120" s="2"/>
      <c r="G120" s="2" t="inlineStr">
        <is>
          <t>2026-05-25 10:56:15</t>
        </is>
      </c>
      <c r="H120" s="2" t="inlineStr">
        <is>
          <t>范磊</t>
        </is>
      </c>
      <c r="I120" s="2" t="inlineStr">
        <is>
          <t>34212919820817761X</t>
        </is>
      </c>
      <c r="J120" s="2" t="inlineStr">
        <is>
          <t>男</t>
        </is>
      </c>
      <c r="K120" s="2" t="inlineStr">
        <is>
          <t>物资部</t>
        </is>
      </c>
      <c r="L120" s="2" t="inlineStr">
        <is>
          <t>2005-08-20</t>
        </is>
      </c>
      <c r="M120" s="2" t="inlineStr">
        <is>
          <t>安徽理工大学</t>
        </is>
      </c>
      <c r="N120" s="2" t="inlineStr">
        <is>
          <t>其他</t>
        </is>
      </c>
      <c r="O120" s="2" t="inlineStr">
        <is>
          <t>大专</t>
        </is>
      </c>
      <c r="P120" s="2" t="inlineStr">
        <is>
          <t>物资部</t>
        </is>
      </c>
      <c r="Q120" s="2" t="inlineStr">
        <is>
          <t>沈冲</t>
        </is>
      </c>
      <c r="R120" s="2" t="inlineStr">
        <is>
          <t>男</t>
        </is>
      </c>
      <c r="S120" s="2" t="inlineStr">
        <is>
          <t>2024-11-01</t>
        </is>
      </c>
      <c r="T120" s="2" t="inlineStr">
        <is>
          <t>技术助理(三)</t>
        </is>
      </c>
      <c r="U120" s="2" t="inlineStr">
        <is>
          <t>常州大学怀德学院</t>
        </is>
      </c>
      <c r="V120" s="2" t="inlineStr">
        <is>
          <t>电气</t>
        </is>
      </c>
      <c r="W120" s="2" t="inlineStr">
        <is>
          <t>本科</t>
        </is>
      </c>
      <c r="X120" s="2" t="inlineStr">
        <is>
          <t>C.拖沓被动：需要主管反复催促，才能勉强按时交差。</t>
        </is>
      </c>
      <c r="Y120" s="2" t="inlineStr">
        <is>
          <t>C.看心情/状态：状态好时不错，状态差时漏洞百出。</t>
        </is>
      </c>
      <c r="Z120" s="2" t="inlineStr">
        <is>
          <t>C.正常跟进：需要主管盯着节点、偶尔提醒进度，或者在跑偏时帮着拽回来。</t>
        </is>
      </c>
      <c r="AA120" s="2" t="inlineStr">
        <is>
          <t>C.只知其一：只知道自己怎么操作，不知道为什么要这么做。</t>
        </is>
      </c>
      <c r="AB120" s="2" t="inlineStr">
        <is>
          <t>B.尽力而为：能解决大部分问题，解决不了的会及时求助。</t>
        </is>
      </c>
      <c r="AC120" s="2" t="inlineStr">
        <is>
          <t>A.模范标兵：严于律己，从未在琐事上让主管费心。</t>
        </is>
      </c>
      <c r="AD120" s="2" t="inlineStr">
        <is>
          <t>C.照章办事：给多少干多少，完全按老规矩来，从不思考变革</t>
        </is>
      </c>
      <c r="AE120" s="2" t="inlineStr">
        <is>
          <t>C.沟通被动：你不催他不去，去了也带不回明确结果。</t>
        </is>
      </c>
      <c r="AF120" s="2" t="inlineStr">
        <is>
          <t>B.有问有答：问到时能说清楚进度，基本能做到及时反馈。</t>
        </is>
      </c>
      <c r="AG120" s="2" t="inlineStr">
        <is>
          <t>B.稳定器：做好自己，不给团队添乱，是可靠的一员。</t>
        </is>
      </c>
      <c r="AH120" s="2" t="inlineStr">
        <is>
          <t>B.懂得求助：在尝试后会及时向主管或同事反馈，寻求资源支持。</t>
        </is>
      </c>
      <c r="AI120" s="2" t="inlineStr">
        <is>
          <t>C. 守好地盘：只管自己那一块，多一点都不想碰。</t>
        </is>
      </c>
      <c r="AJ120" s="2" t="inlineStr">
        <is>
          <t>C.较为配合：不抱怨，但压力较大时，工作质量会随之下滑。</t>
        </is>
      </c>
      <c r="AK120" s="2" t="inlineStr">
        <is>
          <t>B.照单全收：态度很好，虽然不一定完全理解，但会按要求改。</t>
        </is>
      </c>
      <c r="AL120" s="2" t="inlineStr">
        <is>
          <t>C.慢工细活：需要反复教，掌握过程比较吃力。</t>
        </is>
      </c>
      <c r="AM120" s="2" t="inlineStr">
        <is>
          <t>D.无经验可谈：入职这么久，还没总结出自己的工作门道。</t>
        </is>
      </c>
      <c r="AN120" s="2" t="inlineStr">
        <is>
          <t>D.亟待提升：明显低于平均水平，拖了部门后腿。</t>
        </is>
      </c>
      <c r="AO120" s="2" t="inlineStr">
        <is>
          <t>C.熟练工：能胜任重复性工作，但很难承担更高阶的挑战。</t>
        </is>
      </c>
      <c r="AP120" s="2" t="inlineStr">
        <is>
          <t>C.正常更替：走就走吧，招个新人培养一下也没什么区别。</t>
        </is>
      </c>
      <c r="AQ120" s="2" t="inlineStr">
        <is>
          <t>D</t>
        </is>
      </c>
      <c r="AR120" s="2" t="inlineStr">
        <is>
          <t>D</t>
        </is>
      </c>
      <c r="AS120" s="2" t="inlineStr">
        <is>
          <t>一致</t>
        </is>
      </c>
      <c r="AT120" s="2" t="inlineStr">
        <is>
          <t>D</t>
        </is>
      </c>
      <c r="AU120" s="2" t="inlineStr">
        <is>
          <t>2档</t>
        </is>
      </c>
      <c r="AV120" s="3" t="n">
        <v>4900</v>
      </c>
      <c r="AW120" s="3" t="n">
        <v>3920</v>
      </c>
      <c r="AX120" s="3" t="n">
        <v>5880</v>
      </c>
      <c r="AY120" s="2" t="inlineStr">
        <is>
          <t>无对照</t>
        </is>
      </c>
      <c r="AZ120" s="2" t="inlineStr">
        <is>
          <t>该员工2025年入职公司，因身体原因从分公司调到公司物资部配合水电管理工作，工作认真，但受限于身体原因，工作能力一般</t>
        </is>
      </c>
      <c r="BA120" s="7" t="n">
        <v>2</v>
      </c>
      <c r="BB120" s="7" t="n">
        <v>2</v>
      </c>
      <c r="BC120" s="7" t="n">
        <v>3</v>
      </c>
      <c r="BD120" s="7" t="n">
        <v>2</v>
      </c>
      <c r="BE120" s="7" t="n">
        <v>4</v>
      </c>
      <c r="BF120" s="7" t="n">
        <v>5</v>
      </c>
      <c r="BG120" s="7" t="n">
        <v>3</v>
      </c>
      <c r="BH120" s="7" t="n">
        <v>1</v>
      </c>
      <c r="BI120" s="7" t="n">
        <v>4</v>
      </c>
      <c r="BJ120" s="7" t="n">
        <v>4</v>
      </c>
      <c r="BK120" s="7" t="n">
        <v>3</v>
      </c>
      <c r="BL120" s="7" t="n">
        <v>3</v>
      </c>
      <c r="BM120" s="7" t="n">
        <v>2</v>
      </c>
      <c r="BN120" s="7" t="n">
        <v>3</v>
      </c>
      <c r="BO120" s="7" t="n">
        <v>3</v>
      </c>
      <c r="BP120" s="7" t="n">
        <v>2</v>
      </c>
      <c r="BQ120" s="7" t="n">
        <v>1</v>
      </c>
      <c r="BR120" s="7" t="n">
        <v>1</v>
      </c>
      <c r="BS120" s="7" t="n">
        <v>3</v>
      </c>
      <c r="BT120" s="7" t="n">
        <v>3</v>
      </c>
      <c r="BU120" s="7" t="n">
        <v>54</v>
      </c>
      <c r="BV120" s="2" t="inlineStr">
        <is>
          <t>B.存不存在均可</t>
        </is>
      </c>
      <c r="BW120" s="2"/>
      <c r="BX120" s="2"/>
      <c r="BY120" s="6">
        <f>HYPERLINK("https://www.h3yun.com/Form/Attachments/?schemacode=D148357733993cc00c048ad9898e53f5f82cbb9&amp;bizObjectId=ece34bca-30af-4ad0-b01d-af56aa82519b&amp;name=F0000016","点击查看")</f>
        <v>0</v>
      </c>
      <c r="BZ120" s="2" t="inlineStr">
        <is>
          <t>2026-05-07 16:13:23</t>
        </is>
      </c>
      <c r="CA120" s="2" t="inlineStr">
        <is>
          <t>D</t>
        </is>
      </c>
      <c r="CB120" s="2" t="inlineStr">
        <is>
          <t>已提交</t>
        </is>
      </c>
      <c r="CC120" s="2" t="inlineStr">
        <is>
          <t>无</t>
        </is>
      </c>
      <c r="CD120" s="2" t="inlineStr">
        <is>
          <t>无</t>
        </is>
      </c>
      <c r="CE120" s="2" t="inlineStr">
        <is>
          <t>无</t>
        </is>
      </c>
      <c r="CF120" s="2"/>
      <c r="CG120" s="2" t="inlineStr">
        <is>
          <t>320111200206064815</t>
        </is>
      </c>
      <c r="CH120" s="2" t="inlineStr">
        <is>
          <t>已生效</t>
        </is>
      </c>
      <c r="CI120" s="2"/>
      <c r="CJ120" s="2"/>
      <c r="CK120" s="2"/>
      <c r="CL120" s="2"/>
      <c r="CM120" s="2"/>
      <c r="CN120" s="2"/>
      <c r="CO120" s="2"/>
      <c r="CP120" s="2"/>
    </row>
    <row r="121">
      <c r="A121" s="2" t="inlineStr">
        <is>
          <t>3333342c-36c6-415d-8768-c3a68211db49</t>
        </is>
      </c>
      <c r="B121" s="2" t="inlineStr">
        <is>
          <t>D.欠饱和，没想起来给他布置工作的话很可能就是闲着</t>
        </is>
      </c>
      <c r="C121" s="2" t="inlineStr">
        <is>
          <t>技术中心    方祥    男    孙书志</t>
        </is>
      </c>
      <c r="D121" s="2" t="inlineStr">
        <is>
          <t>Anonymous</t>
        </is>
      </c>
      <c r="E121" s="2" t="inlineStr">
        <is>
          <t>Anonymous</t>
        </is>
      </c>
      <c r="F121" s="2"/>
      <c r="G121" s="2" t="inlineStr">
        <is>
          <t>2026-05-25 10:56:15</t>
        </is>
      </c>
      <c r="H121" s="2" t="inlineStr">
        <is>
          <t>孙书志</t>
        </is>
      </c>
      <c r="I121" s="2" t="inlineStr">
        <is>
          <t>340822198902171674</t>
        </is>
      </c>
      <c r="J121" s="2" t="inlineStr">
        <is>
          <t>男</t>
        </is>
      </c>
      <c r="K121" s="2" t="inlineStr">
        <is>
          <t>南京永利重工制造有限公司</t>
        </is>
      </c>
      <c r="L121" s="2" t="inlineStr">
        <is>
          <t>2012-07-01</t>
        </is>
      </c>
      <c r="M121" s="2" t="inlineStr">
        <is>
          <t>安徽理工大学</t>
        </is>
      </c>
      <c r="N121" s="2" t="inlineStr">
        <is>
          <t>过控</t>
        </is>
      </c>
      <c r="O121" s="2" t="inlineStr">
        <is>
          <t>本科</t>
        </is>
      </c>
      <c r="P121" s="2" t="inlineStr">
        <is>
          <t>技术中心</t>
        </is>
      </c>
      <c r="Q121" s="2" t="inlineStr">
        <is>
          <t>方祥</t>
        </is>
      </c>
      <c r="R121" s="2" t="inlineStr">
        <is>
          <t>男</t>
        </is>
      </c>
      <c r="S121" s="2" t="inlineStr">
        <is>
          <t>2023-08-01</t>
        </is>
      </c>
      <c r="T121" s="2" t="inlineStr">
        <is>
          <t>技术助理(二)</t>
        </is>
      </c>
      <c r="U121" s="2" t="inlineStr">
        <is>
          <t>池州学院</t>
        </is>
      </c>
      <c r="V121" s="2" t="inlineStr">
        <is>
          <t>其他</t>
        </is>
      </c>
      <c r="W121" s="2" t="inlineStr">
        <is>
          <t>本科</t>
        </is>
      </c>
      <c r="X121" s="2" t="inlineStr">
        <is>
          <t>C.拖沓被动：需要主管反复催促，才能勉强按时交差。</t>
        </is>
      </c>
      <c r="Y121" s="2" t="inlineStr">
        <is>
          <t>B.基本稳定：偶有小瑕疵，但不影响整体使用。</t>
        </is>
      </c>
      <c r="Z121" s="2" t="inlineStr">
        <is>
          <t>C.正常跟进：需要主管盯着节点、偶尔提醒进度，或者在跑偏时帮着拽回来。</t>
        </is>
      </c>
      <c r="AA121" s="2" t="inlineStr">
        <is>
          <t>B.清楚岗位：对自己岗位的活儿很门清，略知上下游。</t>
        </is>
      </c>
      <c r="AB121" s="2" t="inlineStr">
        <is>
          <t>B.尽力而为：能解决大部分问题，解决不了的会及时求助。</t>
        </is>
      </c>
      <c r="AC121" s="2" t="inlineStr">
        <is>
          <t>B.基本合规：偶尔迟到或忘打卡，提醒后能迅速改正。</t>
        </is>
      </c>
      <c r="AD121" s="2" t="inlineStr">
        <is>
          <t>C.照章办事：给多少干多少，完全按老规矩来，从不思考变革</t>
        </is>
      </c>
      <c r="AE121" s="2" t="inlineStr">
        <is>
          <t>B.正常沟通：能清晰表达需求，维持基本的协作。</t>
        </is>
      </c>
      <c r="AF121" s="2" t="inlineStr">
        <is>
          <t>C.偶尔断片：答应得好好的，但中间不反馈，非得主管去追。</t>
        </is>
      </c>
      <c r="AG121" s="2" t="inlineStr">
        <is>
          <t>C.旁观者：不关心团队，只关心自己的工作。</t>
        </is>
      </c>
      <c r="AH121" s="2" t="inlineStr">
        <is>
          <t>B.懂得求助：在尝试后会及时向主管或同事反馈，寻求资源支持。</t>
        </is>
      </c>
      <c r="AI121" s="2" t="inlineStr">
        <is>
          <t>B. 配合接受：主管安排了就干，不推辞。</t>
        </is>
      </c>
      <c r="AJ121" s="2" t="inlineStr">
        <is>
          <t>C.较为配合：不抱怨，但压力较大时，工作质量会随之下滑。</t>
        </is>
      </c>
      <c r="AK121" s="2" t="inlineStr">
        <is>
          <t>B.照单全收：态度很好，虽然不一定完全理解，但会按要求改。</t>
        </is>
      </c>
      <c r="AL121" s="2" t="inlineStr">
        <is>
          <t>C.慢工细活：需要反复教，掌握过程比较吃力。</t>
        </is>
      </c>
      <c r="AM121" s="2" t="inlineStr">
        <is>
          <t>C.技能私有：自己干得好也愿意分享，但是不会总结或讲不出来。</t>
        </is>
      </c>
      <c r="AN121" s="2" t="inlineStr">
        <is>
          <t>B.中上水平：高于平均线，是团队的中流砥柱。</t>
        </is>
      </c>
      <c r="AO121" s="2" t="inlineStr">
        <is>
          <t>C.熟练工：能胜任重复性工作，但很难承担更高阶的挑战。</t>
        </is>
      </c>
      <c r="AP121" s="2" t="inlineStr">
        <is>
          <t>C.正常更替：走就走吧，招个新人培养一下也没什么区别。</t>
        </is>
      </c>
      <c r="AQ121" s="2" t="inlineStr">
        <is>
          <t>C</t>
        </is>
      </c>
      <c r="AR121" s="2" t="inlineStr">
        <is>
          <t>C</t>
        </is>
      </c>
      <c r="AS121" s="2" t="inlineStr">
        <is>
          <t>一致</t>
        </is>
      </c>
      <c r="AT121" s="2" t="inlineStr">
        <is>
          <t>C</t>
        </is>
      </c>
      <c r="AU121" s="2"/>
      <c r="AV121" s="3"/>
      <c r="AW121" s="3"/>
      <c r="AX121" s="3"/>
      <c r="AY121" s="2" t="inlineStr">
        <is>
          <t>D</t>
        </is>
      </c>
      <c r="AZ121" s="2" t="inlineStr">
        <is>
          <t>1. 工作积极性有待提高
2. 项目专业知识缺乏
3. 系统相关操作相对熟练
望后续加强项目过程知识经验积累，补齐短板</t>
        </is>
      </c>
      <c r="BA121" s="7" t="n">
        <v>2</v>
      </c>
      <c r="BB121" s="7" t="n">
        <v>4</v>
      </c>
      <c r="BC121" s="7" t="n">
        <v>3</v>
      </c>
      <c r="BD121" s="7" t="n">
        <v>4</v>
      </c>
      <c r="BE121" s="7" t="n">
        <v>4</v>
      </c>
      <c r="BF121" s="7" t="n">
        <v>3.5</v>
      </c>
      <c r="BG121" s="7" t="n">
        <v>3</v>
      </c>
      <c r="BH121" s="7" t="n">
        <v>3.5</v>
      </c>
      <c r="BI121" s="7" t="n">
        <v>2</v>
      </c>
      <c r="BJ121" s="7" t="n">
        <v>2</v>
      </c>
      <c r="BK121" s="7" t="n">
        <v>3</v>
      </c>
      <c r="BL121" s="7" t="n">
        <v>4</v>
      </c>
      <c r="BM121" s="7" t="n">
        <v>2</v>
      </c>
      <c r="BN121" s="7" t="n">
        <v>3</v>
      </c>
      <c r="BO121" s="7" t="n">
        <v>3</v>
      </c>
      <c r="BP121" s="7" t="n">
        <v>2</v>
      </c>
      <c r="BQ121" s="7" t="n">
        <v>2</v>
      </c>
      <c r="BR121" s="7" t="n">
        <v>4</v>
      </c>
      <c r="BS121" s="7" t="n">
        <v>3</v>
      </c>
      <c r="BT121" s="7" t="n">
        <v>3</v>
      </c>
      <c r="BU121" s="7" t="n">
        <v>60</v>
      </c>
      <c r="BV121" s="2" t="inlineStr">
        <is>
          <t>C.建议与其他岗位合并</t>
        </is>
      </c>
      <c r="BW121" s="2"/>
      <c r="BX121" s="2"/>
      <c r="BY121" s="6">
        <f>HYPERLINK("https://www.h3yun.com/Form/Attachments/?schemacode=D148357733993cc00c048ad9898e53f5f82cbb9&amp;bizObjectId=3333342c-36c6-415d-8768-c3a68211db49&amp;name=F0000016","点击查看")</f>
        <v>0</v>
      </c>
      <c r="BZ121" s="2" t="inlineStr">
        <is>
          <t>2026-05-07 16:08:40</t>
        </is>
      </c>
      <c r="CA121" s="2" t="inlineStr">
        <is>
          <t>C</t>
        </is>
      </c>
      <c r="CB121" s="2" t="inlineStr">
        <is>
          <t>已提交</t>
        </is>
      </c>
      <c r="CC121" s="2" t="inlineStr">
        <is>
          <t>初级工程师</t>
        </is>
      </c>
      <c r="CD121" s="2" t="inlineStr">
        <is>
          <t>无</t>
        </is>
      </c>
      <c r="CE121" s="2" t="inlineStr">
        <is>
          <t>无</t>
        </is>
      </c>
      <c r="CF121" s="2"/>
      <c r="CG121" s="2" t="inlineStr">
        <is>
          <t>341021200001065250</t>
        </is>
      </c>
      <c r="CH121" s="2" t="inlineStr">
        <is>
          <t>已生效</t>
        </is>
      </c>
      <c r="CI121" s="2" t="inlineStr">
        <is>
          <t>6a8100fa-7b8c-40ec-93ef-a38b139cba4a</t>
        </is>
      </c>
      <c r="CJ121" s="3" t="n">
        <v>1</v>
      </c>
      <c r="CK121" s="2" t="inlineStr">
        <is>
          <t>该成员存在一线工作履历</t>
        </is>
      </c>
      <c r="CL121" s="2" t="inlineStr">
        <is>
          <t>该成员存在一线工作履历</t>
        </is>
      </c>
      <c r="CM121" s="2" t="inlineStr">
        <is>
          <t>南化建司劳2017-1号文-南京南化建设有限公司施工一线专业序列人员分级管理规定</t>
        </is>
      </c>
      <c r="CN121" s="2" t="inlineStr">
        <is>
          <t>第三章第6条D类</t>
        </is>
      </c>
      <c r="CO121" s="2"/>
      <c r="CP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t="inlineStr">
        <is>
          <t>43b833e1-f052-4c37-809c-a82ce1ca3af9</t>
        </is>
      </c>
      <c r="CJ122" s="3" t="n">
        <v>2</v>
      </c>
      <c r="CK122" s="2" t="inlineStr">
        <is>
          <t>近五年内该成员存在一线工作履历</t>
        </is>
      </c>
      <c r="CL122" s="2" t="inlineStr">
        <is>
          <t>近五年内该成员存在一线工作履历</t>
        </is>
      </c>
      <c r="CM122" s="2" t="inlineStr">
        <is>
          <t>南化建司劳2017-1号文-南京南化建设有限公司施工一线专业序列人员分级管理规定</t>
        </is>
      </c>
      <c r="CN122" s="2" t="inlineStr">
        <is>
          <t>第三章第6条D类</t>
        </is>
      </c>
      <c r="CO122" s="2"/>
      <c r="CP122" s="2"/>
    </row>
    <row r="123">
      <c r="A123" s="2" t="inlineStr">
        <is>
          <t>a08cc878-a009-4a74-8704-5f0641c7f4ae</t>
        </is>
      </c>
      <c r="B123" s="2" t="inlineStr">
        <is>
          <t>C.均衡，工作负荷一般，按部就班完成工作，除了突发时间几乎不用加班</t>
        </is>
      </c>
      <c r="C123" s="2" t="inlineStr">
        <is>
          <t>技术中心    张哲宇    男    孙书志</t>
        </is>
      </c>
      <c r="D123" s="2" t="inlineStr">
        <is>
          <t>Anonymous</t>
        </is>
      </c>
      <c r="E123" s="2" t="inlineStr">
        <is>
          <t>Anonymous</t>
        </is>
      </c>
      <c r="F123" s="2"/>
      <c r="G123" s="2" t="inlineStr">
        <is>
          <t>2026-05-25 10:56:15</t>
        </is>
      </c>
      <c r="H123" s="2" t="inlineStr">
        <is>
          <t>孙书志</t>
        </is>
      </c>
      <c r="I123" s="2" t="inlineStr">
        <is>
          <t>340822198902171674</t>
        </is>
      </c>
      <c r="J123" s="2" t="inlineStr">
        <is>
          <t>男</t>
        </is>
      </c>
      <c r="K123" s="2" t="inlineStr">
        <is>
          <t>南京永利重工制造有限公司</t>
        </is>
      </c>
      <c r="L123" s="2" t="inlineStr">
        <is>
          <t>2012-07-01</t>
        </is>
      </c>
      <c r="M123" s="2" t="inlineStr">
        <is>
          <t>安徽理工大学</t>
        </is>
      </c>
      <c r="N123" s="2" t="inlineStr">
        <is>
          <t>过控</t>
        </is>
      </c>
      <c r="O123" s="2" t="inlineStr">
        <is>
          <t>本科</t>
        </is>
      </c>
      <c r="P123" s="2" t="inlineStr">
        <is>
          <t>技术中心</t>
        </is>
      </c>
      <c r="Q123" s="2" t="inlineStr">
        <is>
          <t>张哲宇</t>
        </is>
      </c>
      <c r="R123" s="2" t="inlineStr">
        <is>
          <t>男</t>
        </is>
      </c>
      <c r="S123" s="2" t="inlineStr">
        <is>
          <t>2020-09-01</t>
        </is>
      </c>
      <c r="T123" s="2" t="inlineStr">
        <is>
          <t>技术助理(一)</t>
        </is>
      </c>
      <c r="U123" s="2" t="inlineStr">
        <is>
          <t>南京理工大学紫金学院</t>
        </is>
      </c>
      <c r="V123" s="2" t="inlineStr">
        <is>
          <t>其他</t>
        </is>
      </c>
      <c r="W123" s="2" t="inlineStr">
        <is>
          <t>本科</t>
        </is>
      </c>
      <c r="X123" s="2" t="inlineStr">
        <is>
          <t>B.按时推进：基本能卡着时间点完成，不掉链子。</t>
        </is>
      </c>
      <c r="Y123" s="2" t="inlineStr">
        <is>
          <t>B.基本稳定：偶有小瑕疵，但不影响整体使用。</t>
        </is>
      </c>
      <c r="Z123" s="2" t="inlineStr">
        <is>
          <t>A.极其省心：只需交代目标，剩下的一律不用管，最后不仅能准时交付，甚至能超出预期。</t>
        </is>
      </c>
      <c r="AA123" s="2" t="inlineStr">
        <is>
          <t>B.清楚岗位：对自己岗位的活儿很门清，略知上下游。</t>
        </is>
      </c>
      <c r="AB123" s="2" t="inlineStr">
        <is>
          <t>A.攻坚克难：会想尽一切办法钻研，直至彻底解决。</t>
        </is>
      </c>
      <c r="AC123" s="2" t="inlineStr">
        <is>
          <t>A.模范标兵：严于律己，从未在琐事上让主管费心。</t>
        </is>
      </c>
      <c r="AD123" s="2" t="inlineStr">
        <is>
          <t>B.偶尔思考：在主管启发下，能提出一些优化想法</t>
        </is>
      </c>
      <c r="AE123" s="2" t="inlineStr">
        <is>
          <t>A.推进力极强：能搞定不同性格的人，让对方配合。</t>
        </is>
      </c>
      <c r="AF123" s="2" t="inlineStr">
        <is>
          <t>B.有问有答：问到时能说清楚进度，基本能做到及时反馈。</t>
        </is>
      </c>
      <c r="AG123" s="2" t="inlineStr">
        <is>
          <t>B.稳定器：做好自己，不给团队添乱，是可靠的一员。</t>
        </is>
      </c>
      <c r="AH123" s="2" t="inlineStr">
        <is>
          <t>A.整合高手：能迅速找到能帮上忙的人和资源，借力打力解决问题。</t>
        </is>
      </c>
      <c r="AI123" s="2" t="inlineStr">
        <is>
          <t>A. 主动揽活：只要对团队有利，先接过来干了再说。</t>
        </is>
      </c>
      <c r="AJ123" s="2" t="inlineStr">
        <is>
          <t>A.越战越勇：能扛住压力，保持冷静，高效处理紧急事务。</t>
        </is>
      </c>
      <c r="AK123" s="2" t="inlineStr">
        <is>
          <t>B.照单全收：态度很好，虽然不一定完全理解，但会按要求改。</t>
        </is>
      </c>
      <c r="AL123" s="2" t="inlineStr">
        <is>
          <t>A.极速掌握：自学能力极强，很快就能成为该领域的“百晓生”。</t>
        </is>
      </c>
      <c r="AM123" s="2" t="inlineStr">
        <is>
          <t>B.愿意传帮带：平时爱分享避坑指南，能带徒弟。</t>
        </is>
      </c>
      <c r="AN123" s="2" t="inlineStr">
        <is>
          <t>B.中上水平：高于平均线，是团队的中流砥柱。</t>
        </is>
      </c>
      <c r="AO123" s="2" t="inlineStr">
        <is>
          <t>B.业务骨干：是团队不可或缺的腰部力量。</t>
        </is>
      </c>
      <c r="AP123" s="2" t="inlineStr">
        <is>
          <t>B.有点可惜：是个好手，需要费心再找一个相同水准的。</t>
        </is>
      </c>
      <c r="AQ123" s="2" t="inlineStr">
        <is>
          <t>A</t>
        </is>
      </c>
      <c r="AR123" s="2" t="inlineStr">
        <is>
          <t>B</t>
        </is>
      </c>
      <c r="AS123" s="2" t="inlineStr">
        <is>
          <t>不一致</t>
        </is>
      </c>
      <c r="AT123" s="2" t="inlineStr">
        <is>
          <t>B</t>
        </is>
      </c>
      <c r="AU123" s="2"/>
      <c r="AV123" s="3"/>
      <c r="AW123" s="3"/>
      <c r="AX123" s="3"/>
      <c r="AY123" s="2" t="inlineStr">
        <is>
          <t>C</t>
        </is>
      </c>
      <c r="AZ123" s="2" t="inlineStr">
        <is>
          <t>1.能胜任目前的工作岗位
2.项目专业能力薄弱
3. 工作态度端正，积极高效
4. 对新事物学习的态度积极端正</t>
        </is>
      </c>
      <c r="BA123" s="7" t="n">
        <v>3</v>
      </c>
      <c r="BB123" s="7" t="n">
        <v>4</v>
      </c>
      <c r="BC123" s="7" t="n">
        <v>5</v>
      </c>
      <c r="BD123" s="7" t="n">
        <v>4</v>
      </c>
      <c r="BE123" s="7" t="n">
        <v>5</v>
      </c>
      <c r="BF123" s="7" t="n">
        <v>5</v>
      </c>
      <c r="BG123" s="7" t="n">
        <v>4</v>
      </c>
      <c r="BH123" s="7" t="n">
        <v>5</v>
      </c>
      <c r="BI123" s="7" t="n">
        <v>4</v>
      </c>
      <c r="BJ123" s="7" t="n">
        <v>4</v>
      </c>
      <c r="BK123" s="7" t="n">
        <v>5</v>
      </c>
      <c r="BL123" s="7" t="n">
        <v>5</v>
      </c>
      <c r="BM123" s="7" t="n">
        <v>3</v>
      </c>
      <c r="BN123" s="7" t="n">
        <v>5</v>
      </c>
      <c r="BO123" s="7" t="n">
        <v>3</v>
      </c>
      <c r="BP123" s="7" t="n">
        <v>5</v>
      </c>
      <c r="BQ123" s="7" t="n">
        <v>4</v>
      </c>
      <c r="BR123" s="7" t="n">
        <v>4</v>
      </c>
      <c r="BS123" s="7" t="n">
        <v>4</v>
      </c>
      <c r="BT123" s="7" t="n">
        <v>4</v>
      </c>
      <c r="BU123" s="7" t="n">
        <v>85</v>
      </c>
      <c r="BV123" s="2" t="inlineStr">
        <is>
          <t>A.需要存在，不可去除</t>
        </is>
      </c>
      <c r="BW123" s="2"/>
      <c r="BX123" s="2"/>
      <c r="BY123" s="6">
        <f>HYPERLINK("https://www.h3yun.com/Form/Attachments/?schemacode=D148357733993cc00c048ad9898e53f5f82cbb9&amp;bizObjectId=a08cc878-a009-4a74-8704-5f0641c7f4ae&amp;name=F0000016","点击查看")</f>
        <v>0</v>
      </c>
      <c r="BZ123" s="2" t="inlineStr">
        <is>
          <t>2026-05-07 15:58:00</t>
        </is>
      </c>
      <c r="CA123" s="2" t="inlineStr">
        <is>
          <t>B</t>
        </is>
      </c>
      <c r="CB123" s="2" t="inlineStr">
        <is>
          <t>已提交</t>
        </is>
      </c>
      <c r="CC123" s="2" t="inlineStr">
        <is>
          <t>助理工程师</t>
        </is>
      </c>
      <c r="CD123" s="2" t="inlineStr">
        <is>
          <t>一建/二建</t>
        </is>
      </c>
      <c r="CE123" s="2" t="inlineStr">
        <is>
          <t>无</t>
        </is>
      </c>
      <c r="CF123" s="2"/>
      <c r="CG123" s="2" t="inlineStr">
        <is>
          <t>320123199803240012</t>
        </is>
      </c>
      <c r="CH123" s="2" t="inlineStr">
        <is>
          <t>已生效</t>
        </is>
      </c>
      <c r="CI123" s="2" t="inlineStr">
        <is>
          <t>8f00d1ea-ce44-4746-b6e0-150c8ddbc097</t>
        </is>
      </c>
      <c r="CJ123" s="3" t="n">
        <v>1</v>
      </c>
      <c r="CK123" s="2" t="inlineStr">
        <is>
          <t>近三年至少担任过一个合同额1000万元以上项目相应岗位的主管</t>
        </is>
      </c>
      <c r="CL123" s="2" t="inlineStr">
        <is>
          <t>近三年至少担任过一个合同额1000万元以上项目相应岗位的主管</t>
        </is>
      </c>
      <c r="CM123" s="2" t="inlineStr">
        <is>
          <t>南化建司劳2017-1号文-南京南化建设有限公司施工一线专业序列人员分级管理规定</t>
        </is>
      </c>
      <c r="CN123" s="2" t="inlineStr">
        <is>
          <t>第三章第3条C类</t>
        </is>
      </c>
      <c r="CO123" s="2"/>
      <c r="CP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t="inlineStr">
        <is>
          <t>2ea5d0db-c0a6-48fc-8033-ac99468ccd16</t>
        </is>
      </c>
      <c r="CJ124" s="3" t="n">
        <v>2</v>
      </c>
      <c r="CK124" s="2" t="inlineStr">
        <is>
          <t>公司二级单位或公司职能部门推荐</t>
        </is>
      </c>
      <c r="CL124" s="2" t="inlineStr">
        <is>
          <t>公司二级单位或公司职能部门推荐</t>
        </is>
      </c>
      <c r="CM124" s="2" t="inlineStr">
        <is>
          <t>南化建司劳2017-1号文-南京南化建设有限公司施工一线专业序列人员分级管理规定</t>
        </is>
      </c>
      <c r="CN124" s="2" t="inlineStr">
        <is>
          <t>第三章第3条C类</t>
        </is>
      </c>
      <c r="CO124" s="2"/>
      <c r="CP124" s="2"/>
    </row>
    <row r="125">
      <c r="A125" s="2" t="inlineStr">
        <is>
          <t>5d7a9df0-ceb0-4475-9c40-2dd4193c2d06</t>
        </is>
      </c>
      <c r="B125" s="2" t="inlineStr">
        <is>
          <t>C.来不来都行</t>
        </is>
      </c>
      <c r="C125" s="2" t="inlineStr">
        <is>
          <t>物资部    周勋禹    男    范磊</t>
        </is>
      </c>
      <c r="D125" s="2" t="inlineStr">
        <is>
          <t>Anonymous</t>
        </is>
      </c>
      <c r="E125" s="2" t="inlineStr">
        <is>
          <t>Anonymous</t>
        </is>
      </c>
      <c r="F125" s="2"/>
      <c r="G125" s="2" t="inlineStr">
        <is>
          <t>2026-05-25 10:56:15</t>
        </is>
      </c>
      <c r="H125" s="2" t="inlineStr">
        <is>
          <t>范磊</t>
        </is>
      </c>
      <c r="I125" s="2" t="inlineStr">
        <is>
          <t>34212919820817761X</t>
        </is>
      </c>
      <c r="J125" s="2" t="inlineStr">
        <is>
          <t>男</t>
        </is>
      </c>
      <c r="K125" s="2" t="inlineStr">
        <is>
          <t>物资部</t>
        </is>
      </c>
      <c r="L125" s="2" t="inlineStr">
        <is>
          <t>2005-08-20</t>
        </is>
      </c>
      <c r="M125" s="2" t="inlineStr">
        <is>
          <t>安徽理工大学</t>
        </is>
      </c>
      <c r="N125" s="2" t="inlineStr">
        <is>
          <t>其他</t>
        </is>
      </c>
      <c r="O125" s="2" t="inlineStr">
        <is>
          <t>大专</t>
        </is>
      </c>
      <c r="P125" s="2" t="inlineStr">
        <is>
          <t>物资部</t>
        </is>
      </c>
      <c r="Q125" s="2" t="inlineStr">
        <is>
          <t>周勋禹</t>
        </is>
      </c>
      <c r="R125" s="2" t="inlineStr">
        <is>
          <t>男</t>
        </is>
      </c>
      <c r="S125" s="2" t="inlineStr">
        <is>
          <t>2023-08-01</t>
        </is>
      </c>
      <c r="T125" s="2" t="inlineStr">
        <is>
          <t>技术助理(二)</t>
        </is>
      </c>
      <c r="U125" s="2" t="inlineStr">
        <is>
          <t>宿州学院</t>
        </is>
      </c>
      <c r="V125" s="2" t="inlineStr">
        <is>
          <t>材料员</t>
        </is>
      </c>
      <c r="W125" s="2" t="inlineStr">
        <is>
          <t>本科</t>
        </is>
      </c>
      <c r="X125" s="2" t="inlineStr">
        <is>
          <t>C.拖沓被动：需要主管反复催促，才能勉强按时交差。</t>
        </is>
      </c>
      <c r="Y125" s="2" t="inlineStr">
        <is>
          <t>B.基本稳定：偶有小瑕疵，但不影响整体使用。</t>
        </is>
      </c>
      <c r="Z125" s="2" t="inlineStr">
        <is>
          <t>C.正常跟进：需要主管盯着节点、偶尔提醒进度，或者在跑偏时帮着拽回来。</t>
        </is>
      </c>
      <c r="AA125" s="2" t="inlineStr">
        <is>
          <t>B.清楚岗位：对自己岗位的活儿很门清，略知上下游。</t>
        </is>
      </c>
      <c r="AB125" s="2" t="inlineStr">
        <is>
          <t>B.尽力而为：能解决大部分问题，解决不了的会及时求助。</t>
        </is>
      </c>
      <c r="AC125" s="2" t="inlineStr">
        <is>
          <t>A.模范标兵：严于律己，从未在琐事上让主管费心。</t>
        </is>
      </c>
      <c r="AD125" s="2" t="inlineStr">
        <is>
          <t>C.照章办事：给多少干多少，完全按老规矩来，从不思考变革</t>
        </is>
      </c>
      <c r="AE125" s="2" t="inlineStr">
        <is>
          <t>C.沟通被动：你不催他不去，去了也带不回明确结果。</t>
        </is>
      </c>
      <c r="AF125" s="2" t="inlineStr">
        <is>
          <t>B.有问有答：问到时能说清楚进度，基本能做到及时反馈。</t>
        </is>
      </c>
      <c r="AG125" s="2" t="inlineStr">
        <is>
          <t>B.稳定器：做好自己，不给团队添乱，是可靠的一员。</t>
        </is>
      </c>
      <c r="AH125" s="2" t="inlineStr">
        <is>
          <t>B.懂得求助：在尝试后会及时向主管或同事反馈，寻求资源支持。</t>
        </is>
      </c>
      <c r="AI125" s="2" t="inlineStr">
        <is>
          <t>B. 配合接受：主管安排了就干，不推辞。</t>
        </is>
      </c>
      <c r="AJ125" s="2" t="inlineStr">
        <is>
          <t>C.较为配合：不抱怨，但压力较大时，工作质量会随之下滑。</t>
        </is>
      </c>
      <c r="AK125" s="2" t="inlineStr">
        <is>
          <t>B.照单全收：态度很好，虽然不一定完全理解，但会按要求改。</t>
        </is>
      </c>
      <c r="AL125" s="2" t="inlineStr">
        <is>
          <t>C.慢工细活：需要反复教，掌握过程比较吃力。</t>
        </is>
      </c>
      <c r="AM125" s="2" t="inlineStr">
        <is>
          <t>C.技能私有：自己干得好也愿意分享，但是不会总结或讲不出来。</t>
        </is>
      </c>
      <c r="AN125" s="2" t="inlineStr">
        <is>
          <t>C.中规中矩：刚好达标，替代性较强。</t>
        </is>
      </c>
      <c r="AO125" s="2" t="inlineStr">
        <is>
          <t>C.熟练工：能胜任重复性工作，但很难承担更高阶的挑战。</t>
        </is>
      </c>
      <c r="AP125" s="2" t="inlineStr">
        <is>
          <t>D.有点影响：目前人员缺失，正好符合这个领域，没人用，有比没有好</t>
        </is>
      </c>
      <c r="AQ125" s="2" t="inlineStr">
        <is>
          <t>C</t>
        </is>
      </c>
      <c r="AR125" s="2" t="inlineStr">
        <is>
          <t>C</t>
        </is>
      </c>
      <c r="AS125" s="2" t="inlineStr">
        <is>
          <t>一致</t>
        </is>
      </c>
      <c r="AT125" s="2" t="inlineStr">
        <is>
          <t>C</t>
        </is>
      </c>
      <c r="AU125" s="2"/>
      <c r="AV125" s="3"/>
      <c r="AW125" s="3"/>
      <c r="AX125" s="3"/>
      <c r="AY125" s="2" t="inlineStr">
        <is>
          <t>D</t>
        </is>
      </c>
      <c r="AZ125" s="2" t="inlineStr">
        <is>
          <t>该员工2023年入职公司，因工作时间不长，交代的工作能够认真完成，但团队合作能力欠缺，不适合留在公司总部，建议调整到项目上从事库房保管工作</t>
        </is>
      </c>
      <c r="BA125" s="7" t="n">
        <v>2</v>
      </c>
      <c r="BB125" s="7" t="n">
        <v>4</v>
      </c>
      <c r="BC125" s="7" t="n">
        <v>3</v>
      </c>
      <c r="BD125" s="7" t="n">
        <v>4</v>
      </c>
      <c r="BE125" s="7" t="n">
        <v>4</v>
      </c>
      <c r="BF125" s="7" t="n">
        <v>5</v>
      </c>
      <c r="BG125" s="7" t="n">
        <v>3</v>
      </c>
      <c r="BH125" s="7" t="n">
        <v>1</v>
      </c>
      <c r="BI125" s="7" t="n">
        <v>4</v>
      </c>
      <c r="BJ125" s="7" t="n">
        <v>4</v>
      </c>
      <c r="BK125" s="7" t="n">
        <v>3</v>
      </c>
      <c r="BL125" s="7" t="n">
        <v>4</v>
      </c>
      <c r="BM125" s="7" t="n">
        <v>3</v>
      </c>
      <c r="BN125" s="7" t="n">
        <v>3</v>
      </c>
      <c r="BO125" s="7" t="n">
        <v>3</v>
      </c>
      <c r="BP125" s="7" t="n">
        <v>2</v>
      </c>
      <c r="BQ125" s="7" t="n">
        <v>2</v>
      </c>
      <c r="BR125" s="7" t="n">
        <v>3</v>
      </c>
      <c r="BS125" s="7" t="n">
        <v>3</v>
      </c>
      <c r="BT125" s="7" t="n">
        <v>1</v>
      </c>
      <c r="BU125" s="7" t="n">
        <v>61</v>
      </c>
      <c r="BV125" s="2" t="inlineStr">
        <is>
          <t>B.存不存在均可</t>
        </is>
      </c>
      <c r="BW125" s="2"/>
      <c r="BX125" s="2"/>
      <c r="BY125" s="6">
        <f>HYPERLINK("https://www.h3yun.com/Form/Attachments/?schemacode=D148357733993cc00c048ad9898e53f5f82cbb9&amp;bizObjectId=5d7a9df0-ceb0-4475-9c40-2dd4193c2d06&amp;name=F0000016","点击查看")</f>
        <v>0</v>
      </c>
      <c r="BZ125" s="2" t="inlineStr">
        <is>
          <t>2026-05-07 15:54:51</t>
        </is>
      </c>
      <c r="CA125" s="2" t="inlineStr">
        <is>
          <t>C</t>
        </is>
      </c>
      <c r="CB125" s="2" t="inlineStr">
        <is>
          <t>已提交</t>
        </is>
      </c>
      <c r="CC125" s="2" t="inlineStr">
        <is>
          <t>无</t>
        </is>
      </c>
      <c r="CD125" s="2" t="inlineStr">
        <is>
          <t>无</t>
        </is>
      </c>
      <c r="CE125" s="2" t="inlineStr">
        <is>
          <t>无</t>
        </is>
      </c>
      <c r="CF125" s="2"/>
      <c r="CG125" s="2" t="inlineStr">
        <is>
          <t>340111200101085031</t>
        </is>
      </c>
      <c r="CH125" s="2" t="inlineStr">
        <is>
          <t>已生效</t>
        </is>
      </c>
      <c r="CI125" s="2" t="inlineStr">
        <is>
          <t>9492f3e0-cea5-4708-9594-65fd80d37605</t>
        </is>
      </c>
      <c r="CJ125" s="3" t="n">
        <v>1</v>
      </c>
      <c r="CK125" s="2" t="inlineStr">
        <is>
          <t>该成员存在一线工作履历</t>
        </is>
      </c>
      <c r="CL125" s="2" t="inlineStr">
        <is>
          <t>该成员存在一线工作履历</t>
        </is>
      </c>
      <c r="CM125" s="2" t="inlineStr">
        <is>
          <t>南化建司劳2017-1号文-南京南化建设有限公司施工一线专业序列人员分级管理规定</t>
        </is>
      </c>
      <c r="CN125" s="2" t="inlineStr">
        <is>
          <t>第三章第6条D类</t>
        </is>
      </c>
      <c r="CO125" s="2"/>
      <c r="CP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t="inlineStr">
        <is>
          <t>9b990f3c-878a-449a-b494-8c34189499c5</t>
        </is>
      </c>
      <c r="CJ126" s="3" t="n">
        <v>2</v>
      </c>
      <c r="CK126" s="2" t="inlineStr">
        <is>
          <t>近五年内该成员存在一线工作履历</t>
        </is>
      </c>
      <c r="CL126" s="2" t="inlineStr">
        <is>
          <t>近五年内该成员存在一线工作履历</t>
        </is>
      </c>
      <c r="CM126" s="2" t="inlineStr">
        <is>
          <t>南化建司劳2017-1号文-南京南化建设有限公司施工一线专业序列人员分级管理规定</t>
        </is>
      </c>
      <c r="CN126" s="2" t="inlineStr">
        <is>
          <t>第三章第6条D类</t>
        </is>
      </c>
      <c r="CO126" s="2"/>
      <c r="CP126" s="2"/>
    </row>
    <row r="127">
      <c r="A127" s="2" t="inlineStr">
        <is>
          <t>d8997455-d00f-43ba-9d08-a69d3e963fee</t>
        </is>
      </c>
      <c r="B127" s="2" t="inlineStr">
        <is>
          <t>C.均衡，工作负荷一般，按部就班完成工作，除了突发时间几乎不用加班</t>
        </is>
      </c>
      <c r="C127" s="2" t="inlineStr">
        <is>
          <t>技术中心    卢佳华    男    孙书志</t>
        </is>
      </c>
      <c r="D127" s="2" t="inlineStr">
        <is>
          <t>Anonymous</t>
        </is>
      </c>
      <c r="E127" s="2" t="inlineStr">
        <is>
          <t>Anonymous</t>
        </is>
      </c>
      <c r="F127" s="2"/>
      <c r="G127" s="2" t="inlineStr">
        <is>
          <t>2026-05-25 10:56:15</t>
        </is>
      </c>
      <c r="H127" s="2" t="inlineStr">
        <is>
          <t>孙书志</t>
        </is>
      </c>
      <c r="I127" s="2" t="inlineStr">
        <is>
          <t>340822198902171674</t>
        </is>
      </c>
      <c r="J127" s="2" t="inlineStr">
        <is>
          <t>男</t>
        </is>
      </c>
      <c r="K127" s="2" t="inlineStr">
        <is>
          <t>南京永利重工制造有限公司</t>
        </is>
      </c>
      <c r="L127" s="2" t="inlineStr">
        <is>
          <t>2012-07-01</t>
        </is>
      </c>
      <c r="M127" s="2" t="inlineStr">
        <is>
          <t>安徽理工大学</t>
        </is>
      </c>
      <c r="N127" s="2" t="inlineStr">
        <is>
          <t>过控</t>
        </is>
      </c>
      <c r="O127" s="2" t="inlineStr">
        <is>
          <t>本科</t>
        </is>
      </c>
      <c r="P127" s="2" t="inlineStr">
        <is>
          <t>技术中心</t>
        </is>
      </c>
      <c r="Q127" s="2" t="inlineStr">
        <is>
          <t>卢佳华</t>
        </is>
      </c>
      <c r="R127" s="2" t="inlineStr">
        <is>
          <t>男</t>
        </is>
      </c>
      <c r="S127" s="2" t="inlineStr">
        <is>
          <t>2017-08-01</t>
        </is>
      </c>
      <c r="T127" s="2" t="inlineStr">
        <is>
          <t>专业工程师</t>
        </is>
      </c>
      <c r="U127" s="2" t="inlineStr">
        <is>
          <t>淮海工学院</t>
        </is>
      </c>
      <c r="V127" s="2" t="inlineStr">
        <is>
          <t>过控</t>
        </is>
      </c>
      <c r="W127" s="2" t="inlineStr">
        <is>
          <t>本科</t>
        </is>
      </c>
      <c r="X127" s="2" t="inlineStr">
        <is>
          <t>C.拖沓被动：需要主管反复催促，才能勉强按时交差。</t>
        </is>
      </c>
      <c r="Y127" s="2" t="inlineStr">
        <is>
          <t>C.看心情/状态：状态好时不错，状态差时漏洞百出。</t>
        </is>
      </c>
      <c r="Z127" s="2" t="inlineStr">
        <is>
          <t>C.正常跟进：需要主管盯着节点、偶尔提醒进度，或者在跑偏时帮着拽回来。</t>
        </is>
      </c>
      <c r="AA127" s="2" t="inlineStr">
        <is>
          <t>B.清楚岗位：对自己岗位的活儿很门清，略知上下游。</t>
        </is>
      </c>
      <c r="AB127" s="2" t="inlineStr">
        <is>
          <t>B.尽力而为：能解决大部分问题，解决不了的会及时求助。</t>
        </is>
      </c>
      <c r="AC127" s="2" t="inlineStr">
        <is>
          <t>A.模范标兵：严于律己，从未在琐事上让主管费心。</t>
        </is>
      </c>
      <c r="AD127" s="2" t="inlineStr">
        <is>
          <t>C.照章办事：给多少干多少，完全按老规矩来，从不思考变革</t>
        </is>
      </c>
      <c r="AE127" s="2" t="inlineStr">
        <is>
          <t>C.沟通被动：你不催他不去，去了也带不回明确结果。</t>
        </is>
      </c>
      <c r="AF127" s="2" t="inlineStr">
        <is>
          <t>C.偶尔断片：答应得好好的，但中间不反馈，非得主管去追。</t>
        </is>
      </c>
      <c r="AG127" s="2" t="inlineStr">
        <is>
          <t>C.旁观者：不关心团队，只关心自己的工作。</t>
        </is>
      </c>
      <c r="AH127" s="2" t="inlineStr">
        <is>
          <t>D.乱找一通：没头苍蝇一样到处问，反而干扰了别人的工作。</t>
        </is>
      </c>
      <c r="AI127" s="2" t="inlineStr">
        <is>
          <t>C. 守好地盘：只管自己那一块，多一点都不想碰。</t>
        </is>
      </c>
      <c r="AJ127" s="2" t="inlineStr">
        <is>
          <t>D.情绪波动：压力大时容易抱怨或发牢骚，甚至影响他人。</t>
        </is>
      </c>
      <c r="AK127" s="2" t="inlineStr">
        <is>
          <t>C.自我辩解：第一反应是找借口证明自己没错。</t>
        </is>
      </c>
      <c r="AL127" s="2" t="inlineStr">
        <is>
          <t>C.慢工细活：需要反复教，掌握过程比较吃力。</t>
        </is>
      </c>
      <c r="AM127" s="2" t="inlineStr">
        <is>
          <t>C.技能私有：自己干得好也愿意分享，但是不会总结或讲不出来。</t>
        </is>
      </c>
      <c r="AN127" s="2" t="inlineStr">
        <is>
          <t>C.中规中矩：刚好达标，替代性较强。</t>
        </is>
      </c>
      <c r="AO127" s="2" t="inlineStr">
        <is>
          <t>C.熟练工：能胜任重复性工作，但很难承担更高阶的挑战。</t>
        </is>
      </c>
      <c r="AP127" s="2" t="inlineStr">
        <is>
          <t>B.有点可惜：是个好手，需要费心再找一个相同水准的。</t>
        </is>
      </c>
      <c r="AQ127" s="2" t="inlineStr">
        <is>
          <t>D</t>
        </is>
      </c>
      <c r="AR127" s="2" t="inlineStr">
        <is>
          <t>C</t>
        </is>
      </c>
      <c r="AS127" s="2" t="inlineStr">
        <is>
          <t>不一致</t>
        </is>
      </c>
      <c r="AT127" s="2" t="inlineStr">
        <is>
          <t>C</t>
        </is>
      </c>
      <c r="AU127" s="2"/>
      <c r="AV127" s="3"/>
      <c r="AW127" s="3"/>
      <c r="AX127" s="3"/>
      <c r="AY127" s="2" t="inlineStr">
        <is>
          <t>D</t>
        </is>
      </c>
      <c r="AZ127" s="2" t="inlineStr">
        <is>
          <t>1. 专业技术能力较强
2. 对待新事物的接纳度不够，执行力度不够
后续考虑转至项目服务中心管道技术岗，</t>
        </is>
      </c>
      <c r="BA127" s="7" t="n">
        <v>2</v>
      </c>
      <c r="BB127" s="7" t="n">
        <v>2</v>
      </c>
      <c r="BC127" s="7" t="n">
        <v>3</v>
      </c>
      <c r="BD127" s="7" t="n">
        <v>4</v>
      </c>
      <c r="BE127" s="7" t="n">
        <v>4</v>
      </c>
      <c r="BF127" s="7" t="n">
        <v>5</v>
      </c>
      <c r="BG127" s="7" t="n">
        <v>3</v>
      </c>
      <c r="BH127" s="7" t="n">
        <v>1</v>
      </c>
      <c r="BI127" s="7" t="n">
        <v>2</v>
      </c>
      <c r="BJ127" s="7" t="n">
        <v>2</v>
      </c>
      <c r="BK127" s="7" t="n">
        <v>0</v>
      </c>
      <c r="BL127" s="7" t="n">
        <v>3</v>
      </c>
      <c r="BM127" s="7" t="n">
        <v>3</v>
      </c>
      <c r="BN127" s="7" t="n">
        <v>1</v>
      </c>
      <c r="BO127" s="7" t="n">
        <v>1</v>
      </c>
      <c r="BP127" s="7" t="n">
        <v>2</v>
      </c>
      <c r="BQ127" s="7" t="n">
        <v>2</v>
      </c>
      <c r="BR127" s="7" t="n">
        <v>3</v>
      </c>
      <c r="BS127" s="7" t="n">
        <v>3</v>
      </c>
      <c r="BT127" s="7" t="n">
        <v>4</v>
      </c>
      <c r="BU127" s="7" t="n">
        <v>50</v>
      </c>
      <c r="BV127" s="2" t="inlineStr">
        <is>
          <t>C.建议与其他岗位合并</t>
        </is>
      </c>
      <c r="BW127" s="2"/>
      <c r="BX127" s="2"/>
      <c r="BY127" s="6">
        <f>HYPERLINK("https://www.h3yun.com/Form/Attachments/?schemacode=D148357733993cc00c048ad9898e53f5f82cbb9&amp;bizObjectId=d8997455-d00f-43ba-9d08-a69d3e963fee&amp;name=F0000016","点击查看")</f>
        <v>0</v>
      </c>
      <c r="BZ127" s="2" t="inlineStr">
        <is>
          <t>2026-05-07 15:50:07</t>
        </is>
      </c>
      <c r="CA127" s="2" t="inlineStr">
        <is>
          <t>C</t>
        </is>
      </c>
      <c r="CB127" s="2" t="inlineStr">
        <is>
          <t>已提交</t>
        </is>
      </c>
      <c r="CC127" s="2" t="inlineStr">
        <is>
          <t>工程师</t>
        </is>
      </c>
      <c r="CD127" s="2" t="inlineStr">
        <is>
          <t>无</t>
        </is>
      </c>
      <c r="CE127" s="2" t="inlineStr">
        <is>
          <t>无</t>
        </is>
      </c>
      <c r="CF127" s="2"/>
      <c r="CG127" s="2" t="inlineStr">
        <is>
          <t>320681199505247612</t>
        </is>
      </c>
      <c r="CH127" s="2" t="inlineStr">
        <is>
          <t>已生效</t>
        </is>
      </c>
      <c r="CI127" s="2" t="inlineStr">
        <is>
          <t>89a01ea0-70a3-42d0-90ad-a17fcfc5c8b6</t>
        </is>
      </c>
      <c r="CJ127" s="3" t="n">
        <v>1</v>
      </c>
      <c r="CK127" s="2" t="inlineStr">
        <is>
          <t>该成员存在一线工作履历</t>
        </is>
      </c>
      <c r="CL127" s="2" t="inlineStr">
        <is>
          <t>该成员存在一线工作履历</t>
        </is>
      </c>
      <c r="CM127" s="2" t="inlineStr">
        <is>
          <t>南化建司劳2017-1号文-南京南化建设有限公司施工一线专业序列人员分级管理规定</t>
        </is>
      </c>
      <c r="CN127" s="2" t="inlineStr">
        <is>
          <t>第三章第6条D类</t>
        </is>
      </c>
      <c r="CO127" s="2"/>
      <c r="CP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t="inlineStr">
        <is>
          <t>d3e57255-7afd-4cda-ba75-9494d421766d</t>
        </is>
      </c>
      <c r="CJ128" s="3" t="n">
        <v>2</v>
      </c>
      <c r="CK128" s="2" t="inlineStr">
        <is>
          <t>近五年内该成员存在一线工作履历</t>
        </is>
      </c>
      <c r="CL128" s="2" t="inlineStr">
        <is>
          <t>近五年内该成员存在一线工作履历</t>
        </is>
      </c>
      <c r="CM128" s="2" t="inlineStr">
        <is>
          <t>南化建司劳2017-1号文-南京南化建设有限公司施工一线专业序列人员分级管理规定</t>
        </is>
      </c>
      <c r="CN128" s="2" t="inlineStr">
        <is>
          <t>第三章第6条D类</t>
        </is>
      </c>
      <c r="CO128" s="2"/>
      <c r="CP128" s="2"/>
    </row>
    <row r="129">
      <c r="A129" s="2" t="inlineStr">
        <is>
          <t>59d6d9e9-517a-4414-838e-c3a5922d934c</t>
        </is>
      </c>
      <c r="B129" s="2" t="inlineStr">
        <is>
          <t>B.满负荷，平时工作就很忙，偶尔因为非突发时间也要加班</t>
        </is>
      </c>
      <c r="C129" s="2" t="inlineStr">
        <is>
          <t>南京永利重工制造有限公司    陈永奇    男    孙书志</t>
        </is>
      </c>
      <c r="D129" s="2" t="inlineStr">
        <is>
          <t>Anonymous</t>
        </is>
      </c>
      <c r="E129" s="2" t="inlineStr">
        <is>
          <t>Anonymous</t>
        </is>
      </c>
      <c r="F129" s="2"/>
      <c r="G129" s="2" t="inlineStr">
        <is>
          <t>2026-05-25 10:56:15</t>
        </is>
      </c>
      <c r="H129" s="2" t="inlineStr">
        <is>
          <t>孙书志</t>
        </is>
      </c>
      <c r="I129" s="2" t="inlineStr">
        <is>
          <t>340822198902171674</t>
        </is>
      </c>
      <c r="J129" s="2" t="inlineStr">
        <is>
          <t>男</t>
        </is>
      </c>
      <c r="K129" s="2" t="inlineStr">
        <is>
          <t>南京永利重工制造有限公司</t>
        </is>
      </c>
      <c r="L129" s="2" t="inlineStr">
        <is>
          <t>2012-07-01</t>
        </is>
      </c>
      <c r="M129" s="2" t="inlineStr">
        <is>
          <t>安徽理工大学</t>
        </is>
      </c>
      <c r="N129" s="2" t="inlineStr">
        <is>
          <t>过控</t>
        </is>
      </c>
      <c r="O129" s="2" t="inlineStr">
        <is>
          <t>本科</t>
        </is>
      </c>
      <c r="P129" s="2" t="inlineStr">
        <is>
          <t>南京永利重工制造有限公司</t>
        </is>
      </c>
      <c r="Q129" s="2" t="inlineStr">
        <is>
          <t>陈永奇</t>
        </is>
      </c>
      <c r="R129" s="2" t="inlineStr">
        <is>
          <t>男</t>
        </is>
      </c>
      <c r="S129" s="2" t="inlineStr">
        <is>
          <t>2022-08-01</t>
        </is>
      </c>
      <c r="T129" s="2" t="inlineStr">
        <is>
          <t>技术助理(二)</t>
        </is>
      </c>
      <c r="U129" s="2" t="inlineStr">
        <is>
          <t>铜陵学院</t>
        </is>
      </c>
      <c r="V129" s="2" t="inlineStr">
        <is>
          <t>机电</t>
        </is>
      </c>
      <c r="W129" s="2" t="inlineStr">
        <is>
          <t>本科</t>
        </is>
      </c>
      <c r="X129" s="2" t="inlineStr">
        <is>
          <t>B.按时推进：基本能卡着时间点完成，不掉链子。</t>
        </is>
      </c>
      <c r="Y129" s="2" t="inlineStr">
        <is>
          <t>B.基本稳定：偶有小瑕疵，但不影响整体使用。</t>
        </is>
      </c>
      <c r="Z129" s="2" t="inlineStr">
        <is>
          <t>C.正常跟进：需要主管盯着节点、偶尔提醒进度，或者在跑偏时帮着拽回来。</t>
        </is>
      </c>
      <c r="AA129" s="2" t="inlineStr">
        <is>
          <t>A.全局视野：了解上下游，能站在全业务链条考虑问题。</t>
        </is>
      </c>
      <c r="AB129" s="2" t="inlineStr">
        <is>
          <t>A.攻坚克难：会想尽一切办法钻研，直至彻底解决。</t>
        </is>
      </c>
      <c r="AC129" s="2" t="inlineStr">
        <is>
          <t>A.模范标兵：严于律己，从未在琐事上让主管费心。</t>
        </is>
      </c>
      <c r="AD129" s="2" t="inlineStr">
        <is>
          <t>B.偶尔思考：在主管启发下，能提出一些优化想法</t>
        </is>
      </c>
      <c r="AE129" s="2" t="inlineStr">
        <is>
          <t>B.正常沟通：能清晰表达需求，维持基本的协作。</t>
        </is>
      </c>
      <c r="AF129" s="2" t="inlineStr">
        <is>
          <t>B.有问有答：问到时能说清楚进度，基本能做到及时反馈。</t>
        </is>
      </c>
      <c r="AG129" s="2" t="inlineStr">
        <is>
          <t>B.稳定器：做好自己，不给团队添乱，是可靠的一员。</t>
        </is>
      </c>
      <c r="AH129" s="2" t="inlineStr">
        <is>
          <t>B.懂得求助：在尝试后会及时向主管或同事反馈，寻求资源支持。</t>
        </is>
      </c>
      <c r="AI129" s="2" t="inlineStr">
        <is>
          <t>B. 配合接受：主管安排了就干，不推辞。</t>
        </is>
      </c>
      <c r="AJ129" s="2" t="inlineStr">
        <is>
          <t>B.配合度高：虽然有压力，但能服从大局，咬牙顶上去，且质量尚可。</t>
        </is>
      </c>
      <c r="AK129" s="2" t="inlineStr">
        <is>
          <t>B.照单全收：态度很好，虽然不一定完全理解，但会按要求改。</t>
        </is>
      </c>
      <c r="AL129" s="2" t="inlineStr">
        <is>
          <t>B.正常上手：经过简单培训或指导，能很快投入应用。</t>
        </is>
      </c>
      <c r="AM129" s="2" t="inlineStr">
        <is>
          <t>B.愿意传帮带：平时爱分享避坑指南，能带徒弟。</t>
        </is>
      </c>
      <c r="AN129" s="2" t="inlineStr">
        <is>
          <t>B.中上水平：高于平均线，是团队的中流砥柱。</t>
        </is>
      </c>
      <c r="AO129" s="2" t="inlineStr">
        <is>
          <t>B.业务骨干：是团队不可或缺的腰部力量。</t>
        </is>
      </c>
      <c r="AP129" s="2" t="inlineStr">
        <is>
          <t>B.有点可惜：是个好手，需要费心再找一个相同水准的。</t>
        </is>
      </c>
      <c r="AQ129" s="2" t="inlineStr">
        <is>
          <t>B</t>
        </is>
      </c>
      <c r="AR129" s="2" t="inlineStr">
        <is>
          <t>B</t>
        </is>
      </c>
      <c r="AS129" s="2" t="inlineStr">
        <is>
          <t>一致</t>
        </is>
      </c>
      <c r="AT129" s="2" t="inlineStr">
        <is>
          <t>B</t>
        </is>
      </c>
      <c r="AU129" s="2"/>
      <c r="AV129" s="3"/>
      <c r="AW129" s="3"/>
      <c r="AX129" s="3"/>
      <c r="AY129" s="2" t="inlineStr">
        <is>
          <t>C</t>
        </is>
      </c>
      <c r="AZ129" s="2" t="inlineStr">
        <is>
          <t>1. 专业性较强
2. 工作积极主动
3.沟通能力较好
4. 项目管道专业排产整体规划及过程关键点判别不是特别清晰，需要指导，
5. 新事务及算法方面的工作目前不能胜任，后续望有所提升</t>
        </is>
      </c>
      <c r="BA129" s="7" t="n">
        <v>3</v>
      </c>
      <c r="BB129" s="7" t="n">
        <v>4</v>
      </c>
      <c r="BC129" s="7" t="n">
        <v>3</v>
      </c>
      <c r="BD129" s="7" t="n">
        <v>5</v>
      </c>
      <c r="BE129" s="7" t="n">
        <v>5</v>
      </c>
      <c r="BF129" s="7" t="n">
        <v>5</v>
      </c>
      <c r="BG129" s="7" t="n">
        <v>4</v>
      </c>
      <c r="BH129" s="7" t="n">
        <v>3.5</v>
      </c>
      <c r="BI129" s="7" t="n">
        <v>4</v>
      </c>
      <c r="BJ129" s="7" t="n">
        <v>4</v>
      </c>
      <c r="BK129" s="7" t="n">
        <v>3</v>
      </c>
      <c r="BL129" s="7" t="n">
        <v>4</v>
      </c>
      <c r="BM129" s="7" t="n">
        <v>4</v>
      </c>
      <c r="BN129" s="7" t="n">
        <v>4</v>
      </c>
      <c r="BO129" s="7" t="n">
        <v>3</v>
      </c>
      <c r="BP129" s="7" t="n">
        <v>4</v>
      </c>
      <c r="BQ129" s="7" t="n">
        <v>4</v>
      </c>
      <c r="BR129" s="7" t="n">
        <v>4</v>
      </c>
      <c r="BS129" s="7" t="n">
        <v>4</v>
      </c>
      <c r="BT129" s="7" t="n">
        <v>4</v>
      </c>
      <c r="BU129" s="7" t="n">
        <v>78.5</v>
      </c>
      <c r="BV129" s="2" t="inlineStr">
        <is>
          <t>A.需要存在，不可去除</t>
        </is>
      </c>
      <c r="BW129" s="2"/>
      <c r="BX129" s="2"/>
      <c r="BY129" s="6">
        <f>HYPERLINK("https://www.h3yun.com/Form/Attachments/?schemacode=D148357733993cc00c048ad9898e53f5f82cbb9&amp;bizObjectId=59d6d9e9-517a-4414-838e-c3a5922d934c&amp;name=F0000016","点击查看")</f>
        <v>0</v>
      </c>
      <c r="BZ129" s="2" t="inlineStr">
        <is>
          <t>2026-05-07 15:26:09</t>
        </is>
      </c>
      <c r="CA129" s="2" t="inlineStr">
        <is>
          <t>B</t>
        </is>
      </c>
      <c r="CB129" s="2" t="inlineStr">
        <is>
          <t>已提交</t>
        </is>
      </c>
      <c r="CC129" s="2" t="inlineStr">
        <is>
          <t>助理工程师</t>
        </is>
      </c>
      <c r="CD129" s="2" t="inlineStr">
        <is>
          <t>无</t>
        </is>
      </c>
      <c r="CE129" s="2" t="inlineStr">
        <is>
          <t>无</t>
        </is>
      </c>
      <c r="CF129" s="2"/>
      <c r="CG129" s="2" t="inlineStr">
        <is>
          <t>342224199909071111</t>
        </is>
      </c>
      <c r="CH129" s="2" t="inlineStr">
        <is>
          <t>已生效</t>
        </is>
      </c>
      <c r="CI129" s="2" t="inlineStr">
        <is>
          <t>f5fe12f8-6b5a-4b13-bd78-ac6cd7053416</t>
        </is>
      </c>
      <c r="CJ129" s="3" t="n">
        <v>1</v>
      </c>
      <c r="CK129" s="2" t="inlineStr">
        <is>
          <t>近三年至少担任过一个合同额1000万元以上项目相应岗位的主管</t>
        </is>
      </c>
      <c r="CL129" s="2" t="inlineStr">
        <is>
          <t>近三年至少担任过一个合同额1000万元以上项目相应岗位的主管</t>
        </is>
      </c>
      <c r="CM129" s="2" t="inlineStr">
        <is>
          <t>南化建司劳2017-1号文-南京南化建设有限公司施工一线专业序列人员分级管理规定</t>
        </is>
      </c>
      <c r="CN129" s="2" t="inlineStr">
        <is>
          <t>第三章第3条C类</t>
        </is>
      </c>
      <c r="CO129" s="2"/>
      <c r="CP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t="inlineStr">
        <is>
          <t>8ab97503-0d4d-4158-a4bb-2dc85a2a1d6e</t>
        </is>
      </c>
      <c r="CJ130" s="3" t="n">
        <v>2</v>
      </c>
      <c r="CK130" s="2" t="inlineStr">
        <is>
          <t>公司二级单位或公司职能部门推荐</t>
        </is>
      </c>
      <c r="CL130" s="2" t="inlineStr">
        <is>
          <t>公司二级单位或公司职能部门推荐</t>
        </is>
      </c>
      <c r="CM130" s="2" t="inlineStr">
        <is>
          <t>南化建司劳2017-1号文-南京南化建设有限公司施工一线专业序列人员分级管理规定</t>
        </is>
      </c>
      <c r="CN130" s="2" t="inlineStr">
        <is>
          <t>第三章第3条C类</t>
        </is>
      </c>
      <c r="CO130" s="2"/>
      <c r="CP130" s="2"/>
    </row>
    <row r="131">
      <c r="A131" s="2" t="inlineStr">
        <is>
          <t>109aff13-c4d1-4680-b506-28bc703c4a50</t>
        </is>
      </c>
      <c r="B131" s="2" t="inlineStr">
        <is>
          <t>C.均衡，工作负荷一般，按部就班完成工作，除了突发时间几乎不用加班</t>
        </is>
      </c>
      <c r="C131" s="2" t="inlineStr">
        <is>
          <t>物资部    吴玲梅    女    范磊</t>
        </is>
      </c>
      <c r="D131" s="2" t="inlineStr">
        <is>
          <t>Anonymous</t>
        </is>
      </c>
      <c r="E131" s="2" t="inlineStr">
        <is>
          <t>Anonymous</t>
        </is>
      </c>
      <c r="F131" s="2"/>
      <c r="G131" s="2" t="inlineStr">
        <is>
          <t>2026-05-25 10:56:15</t>
        </is>
      </c>
      <c r="H131" s="2" t="inlineStr">
        <is>
          <t>范磊</t>
        </is>
      </c>
      <c r="I131" s="2" t="inlineStr">
        <is>
          <t>34212919820817761X</t>
        </is>
      </c>
      <c r="J131" s="2" t="inlineStr">
        <is>
          <t>男</t>
        </is>
      </c>
      <c r="K131" s="2" t="inlineStr">
        <is>
          <t>物资部</t>
        </is>
      </c>
      <c r="L131" s="2" t="inlineStr">
        <is>
          <t>2005-08-20</t>
        </is>
      </c>
      <c r="M131" s="2" t="inlineStr">
        <is>
          <t>安徽理工大学</t>
        </is>
      </c>
      <c r="N131" s="2" t="inlineStr">
        <is>
          <t>其他</t>
        </is>
      </c>
      <c r="O131" s="2" t="inlineStr">
        <is>
          <t>大专</t>
        </is>
      </c>
      <c r="P131" s="2" t="inlineStr">
        <is>
          <t>物资部</t>
        </is>
      </c>
      <c r="Q131" s="2" t="inlineStr">
        <is>
          <t>吴玲梅</t>
        </is>
      </c>
      <c r="R131" s="2" t="inlineStr">
        <is>
          <t>女</t>
        </is>
      </c>
      <c r="S131" s="2" t="inlineStr">
        <is>
          <t>2007-08-01</t>
        </is>
      </c>
      <c r="T131" s="2" t="inlineStr">
        <is>
          <t>业务主管</t>
        </is>
      </c>
      <c r="U131" s="2" t="inlineStr">
        <is>
          <t>安徽理工大学</t>
        </is>
      </c>
      <c r="V131" s="2" t="inlineStr">
        <is>
          <t>材料员</t>
        </is>
      </c>
      <c r="W131" s="2" t="inlineStr">
        <is>
          <t>本科</t>
        </is>
      </c>
      <c r="X131" s="2" t="inlineStr">
        <is>
          <t>A.积极高效：经常提前完成，且质量超出预期。</t>
        </is>
      </c>
      <c r="Y131" s="2" t="inlineStr">
        <is>
          <t>A.始终如一：无论任务大小，交付件标准都很高。</t>
        </is>
      </c>
      <c r="Z131" s="2" t="inlineStr">
        <is>
          <t>B.比较省心：只需定期同步一下进度，不需要主管盯着细节，能独立把事情办成。</t>
        </is>
      </c>
      <c r="AA131" s="2" t="inlineStr">
        <is>
          <t>A.全局视野：了解上下游，能站在全业务链条考虑问题。</t>
        </is>
      </c>
      <c r="AB131" s="2" t="inlineStr">
        <is>
          <t>A.攻坚克难：会想尽一切办法钻研，直至彻底解决。</t>
        </is>
      </c>
      <c r="AC131" s="2" t="inlineStr">
        <is>
          <t>A.模范标兵：严于律己，从未在琐事上让主管费心。</t>
        </is>
      </c>
      <c r="AD131" s="2" t="inlineStr">
        <is>
          <t>B.偶尔思考：在主管启发下，能提出一些优化想法</t>
        </is>
      </c>
      <c r="AE131" s="2" t="inlineStr">
        <is>
          <t>B.正常沟通：能清晰表达需求，维持基本的协作。</t>
        </is>
      </c>
      <c r="AF131" s="2" t="inlineStr">
        <is>
          <t>B.有问有答：问到时能说清楚进度，基本能做到及时反馈。</t>
        </is>
      </c>
      <c r="AG131" s="2" t="inlineStr">
        <is>
          <t>B.稳定器：做好自己，不给团队添乱，是可靠的一员。</t>
        </is>
      </c>
      <c r="AH131" s="2" t="inlineStr">
        <is>
          <t>B.懂得求助：在尝试后会及时向主管或同事反馈，寻求资源支持。</t>
        </is>
      </c>
      <c r="AI131" s="2" t="inlineStr">
        <is>
          <t>B. 配合接受：主管安排了就干，不推辞。</t>
        </is>
      </c>
      <c r="AJ131" s="2" t="inlineStr">
        <is>
          <t>B.配合度高：虽然有压力，但能服从大局，咬牙顶上去，且质量尚可。</t>
        </is>
      </c>
      <c r="AK131" s="2" t="inlineStr">
        <is>
          <t>A.虚心求教：能听进去，并积极探讨更科学的方法。</t>
        </is>
      </c>
      <c r="AL131" s="2" t="inlineStr">
        <is>
          <t>A.极速掌握：自学能力极强，很快就能成为该领域的“百晓生”。</t>
        </is>
      </c>
      <c r="AM131" s="2" t="inlineStr">
        <is>
          <t>B.愿意传帮带：平时爱分享避坑指南，能带徒弟。</t>
        </is>
      </c>
      <c r="AN131" s="2" t="inlineStr">
        <is>
          <t>B.中上水平：高于平均线，是团队的中流砥柱。</t>
        </is>
      </c>
      <c r="AO131" s="2" t="inlineStr">
        <is>
          <t>B.业务骨干：是团队不可或缺的腰部力量。</t>
        </is>
      </c>
      <c r="AP131" s="2" t="inlineStr">
        <is>
          <t>A.晴天霹雳：极其遗憾，会不惜代价挽留，他是部门的支柱。</t>
        </is>
      </c>
      <c r="AQ131" s="2" t="inlineStr">
        <is>
          <t>A</t>
        </is>
      </c>
      <c r="AR131" s="2" t="inlineStr">
        <is>
          <t>A</t>
        </is>
      </c>
      <c r="AS131" s="2" t="inlineStr">
        <is>
          <t>一致</t>
        </is>
      </c>
      <c r="AT131" s="2" t="inlineStr">
        <is>
          <t>A</t>
        </is>
      </c>
      <c r="AU131" s="2" t="inlineStr">
        <is>
          <t>1档</t>
        </is>
      </c>
      <c r="AV131" s="3" t="n">
        <v>8600</v>
      </c>
      <c r="AW131" s="3" t="n">
        <v>6880</v>
      </c>
      <c r="AX131" s="3" t="n">
        <v>10320</v>
      </c>
      <c r="AY131" s="2" t="inlineStr">
        <is>
          <t>B</t>
        </is>
      </c>
      <c r="AZ131" s="2" t="inlineStr">
        <is>
          <t>该员工入职公司20年一直从事特种设备管理、车辆保险等工作，工作认真负责，积极主动，保障公司特种设备、车辆安全运营。</t>
        </is>
      </c>
      <c r="BA131" s="7" t="n">
        <v>5</v>
      </c>
      <c r="BB131" s="7" t="n">
        <v>5</v>
      </c>
      <c r="BC131" s="7" t="n">
        <v>4</v>
      </c>
      <c r="BD131" s="7" t="n">
        <v>5</v>
      </c>
      <c r="BE131" s="7" t="n">
        <v>5</v>
      </c>
      <c r="BF131" s="7" t="n">
        <v>5</v>
      </c>
      <c r="BG131" s="7" t="n">
        <v>4</v>
      </c>
      <c r="BH131" s="7" t="n">
        <v>3.5</v>
      </c>
      <c r="BI131" s="7" t="n">
        <v>4</v>
      </c>
      <c r="BJ131" s="7" t="n">
        <v>4</v>
      </c>
      <c r="BK131" s="7" t="n">
        <v>3</v>
      </c>
      <c r="BL131" s="7" t="n">
        <v>4</v>
      </c>
      <c r="BM131" s="7" t="n">
        <v>3</v>
      </c>
      <c r="BN131" s="7" t="n">
        <v>4</v>
      </c>
      <c r="BO131" s="7" t="n">
        <v>5</v>
      </c>
      <c r="BP131" s="7" t="n">
        <v>5</v>
      </c>
      <c r="BQ131" s="7" t="n">
        <v>4</v>
      </c>
      <c r="BR131" s="7" t="n">
        <v>4</v>
      </c>
      <c r="BS131" s="7" t="n">
        <v>4</v>
      </c>
      <c r="BT131" s="7" t="n">
        <v>5</v>
      </c>
      <c r="BU131" s="7" t="n">
        <v>85.5</v>
      </c>
      <c r="BV131" s="2" t="inlineStr">
        <is>
          <t>A.需要存在，不可去除</t>
        </is>
      </c>
      <c r="BW131" s="2"/>
      <c r="BX131" s="2"/>
      <c r="BY131" s="6">
        <f>HYPERLINK("https://www.h3yun.com/Form/Attachments/?schemacode=D148357733993cc00c048ad9898e53f5f82cbb9&amp;bizObjectId=109aff13-c4d1-4680-b506-28bc703c4a50&amp;name=F0000016","点击查看")</f>
        <v>0</v>
      </c>
      <c r="BZ131" s="2" t="inlineStr">
        <is>
          <t>2026-05-07 15:22:04</t>
        </is>
      </c>
      <c r="CA131" s="2" t="inlineStr">
        <is>
          <t>A</t>
        </is>
      </c>
      <c r="CB131" s="2" t="inlineStr">
        <is>
          <t>已提交</t>
        </is>
      </c>
      <c r="CC131" s="2" t="inlineStr">
        <is>
          <t>中级经济师</t>
        </is>
      </c>
      <c r="CD131" s="2" t="inlineStr">
        <is>
          <t>材料员，机械员，特种设备管理员</t>
        </is>
      </c>
      <c r="CE131" s="2" t="inlineStr">
        <is>
          <t>优秀员工</t>
        </is>
      </c>
      <c r="CF131" s="2"/>
      <c r="CG131" s="2" t="inlineStr">
        <is>
          <t>340825198412221922</t>
        </is>
      </c>
      <c r="CH131" s="2" t="inlineStr">
        <is>
          <t>已生效</t>
        </is>
      </c>
      <c r="CI131" s="2" t="inlineStr">
        <is>
          <t>6f97189f-432c-4135-bfc3-801343fb795e</t>
        </is>
      </c>
      <c r="CJ131" s="3" t="n">
        <v>1</v>
      </c>
      <c r="CK131" s="2" t="inlineStr">
        <is>
          <t>近三年至少担任过一个合同额1500万元以上项目相应岗位的主管</t>
        </is>
      </c>
      <c r="CL131" s="2" t="inlineStr">
        <is>
          <t>近三年至少担任过一个合同额1500万元以上项目相应岗位的主管</t>
        </is>
      </c>
      <c r="CM131" s="2" t="inlineStr">
        <is>
          <t>南化建司劳2017-1号文-南京南化建设有限公司施工一线专业序列人员分级管理规定</t>
        </is>
      </c>
      <c r="CN131" s="2" t="inlineStr">
        <is>
          <t>第三章第2条B类</t>
        </is>
      </c>
      <c r="CO131" s="2"/>
      <c r="CP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t="inlineStr">
        <is>
          <t>051649d0-7181-44a1-b9d1-49e8093f9b60</t>
        </is>
      </c>
      <c r="CJ132" s="3" t="n">
        <v>2</v>
      </c>
      <c r="CK132" s="2" t="inlineStr">
        <is>
          <t>公司二级单位或公司职能部门推荐</t>
        </is>
      </c>
      <c r="CL132" s="2" t="inlineStr">
        <is>
          <t>公司二级单位或公司职能部门推荐</t>
        </is>
      </c>
      <c r="CM132" s="2" t="inlineStr">
        <is>
          <t>南化建司劳2017-1号文-南京南化建设有限公司施工一线专业序列人员分级管理规定</t>
        </is>
      </c>
      <c r="CN132" s="2" t="inlineStr">
        <is>
          <t>第三章第2条B类</t>
        </is>
      </c>
      <c r="CO132" s="2"/>
      <c r="CP132" s="2"/>
    </row>
    <row r="133">
      <c r="A133" s="2" t="inlineStr">
        <is>
          <t>eb8c1785-cfda-4d09-97cd-10213d5d7f65</t>
        </is>
      </c>
      <c r="B133" s="2" t="inlineStr">
        <is>
          <t>D.欠饱和，没想起来给他布置工作的话很可能就是闲着</t>
        </is>
      </c>
      <c r="C133" s="2" t="inlineStr">
        <is>
          <t>人力资源部    徐丹    女    汤帆</t>
        </is>
      </c>
      <c r="D133" s="2" t="inlineStr">
        <is>
          <t>Anonymous</t>
        </is>
      </c>
      <c r="E133" s="2" t="inlineStr">
        <is>
          <t>Anonymous</t>
        </is>
      </c>
      <c r="F133" s="2"/>
      <c r="G133" s="2" t="inlineStr">
        <is>
          <t>2026-05-25 10:56:15</t>
        </is>
      </c>
      <c r="H133" s="2" t="inlineStr">
        <is>
          <t>汤帆</t>
        </is>
      </c>
      <c r="I133" s="2" t="inlineStr">
        <is>
          <t>320105198610121642</t>
        </is>
      </c>
      <c r="J133" s="2" t="inlineStr">
        <is>
          <t>女</t>
        </is>
      </c>
      <c r="K133" s="2" t="inlineStr">
        <is>
          <t>人力资源部</t>
        </is>
      </c>
      <c r="L133" s="2" t="inlineStr">
        <is>
          <t>2013-03-01</t>
        </is>
      </c>
      <c r="M133" s="2"/>
      <c r="N133" s="2" t="inlineStr">
        <is>
          <t>土建</t>
        </is>
      </c>
      <c r="O133" s="2" t="inlineStr">
        <is>
          <t>本科</t>
        </is>
      </c>
      <c r="P133" s="2" t="inlineStr">
        <is>
          <t>人力资源部</t>
        </is>
      </c>
      <c r="Q133" s="2" t="inlineStr">
        <is>
          <t>徐丹</t>
        </is>
      </c>
      <c r="R133" s="2" t="inlineStr">
        <is>
          <t>女</t>
        </is>
      </c>
      <c r="S133" s="2" t="inlineStr">
        <is>
          <t>2016-07-01</t>
        </is>
      </c>
      <c r="T133" s="2" t="inlineStr">
        <is>
          <t>事务工B</t>
        </is>
      </c>
      <c r="U133" s="2" t="inlineStr">
        <is>
          <t>江苏海事职业技术学院</t>
        </is>
      </c>
      <c r="V133" s="2" t="inlineStr">
        <is>
          <t>其他</t>
        </is>
      </c>
      <c r="W133" s="2" t="inlineStr">
        <is>
          <t>大专</t>
        </is>
      </c>
      <c r="X133" s="2" t="inlineStr">
        <is>
          <t>C.拖沓被动：需要主管反复催促，才能勉强按时交差。</t>
        </is>
      </c>
      <c r="Y133" s="2" t="inlineStr">
        <is>
          <t>B.基本稳定：偶有小瑕疵，但不影响整体使用。</t>
        </is>
      </c>
      <c r="Z133" s="2" t="inlineStr">
        <is>
          <t>C.正常跟进：需要主管盯着节点、偶尔提醒进度，或者在跑偏时帮着拽回来。</t>
        </is>
      </c>
      <c r="AA133" s="2" t="inlineStr">
        <is>
          <t>B.清楚岗位：对自己岗位的活儿很门清，略知上下游。</t>
        </is>
      </c>
      <c r="AB133" s="2" t="inlineStr">
        <is>
          <t>B.尽力而为：能解决大部分问题，解决不了的会及时求助。</t>
        </is>
      </c>
      <c r="AC133" s="2" t="inlineStr">
        <is>
          <t>B.基本合规：偶尔迟到或忘打卡，提醒后能迅速改正。</t>
        </is>
      </c>
      <c r="AD133" s="2" t="inlineStr">
        <is>
          <t>C.照章办事：给多少干多少，完全按老规矩来，从不思考变革</t>
        </is>
      </c>
      <c r="AE133" s="2" t="inlineStr">
        <is>
          <t>C.沟通被动：你不催他不去，去了也带不回明确结果。</t>
        </is>
      </c>
      <c r="AF133" s="2" t="inlineStr">
        <is>
          <t>C.偶尔断片：答应得好好的，但中间不反馈，非得主管去追。</t>
        </is>
      </c>
      <c r="AG133" s="2" t="inlineStr">
        <is>
          <t>B.稳定器：做好自己，不给团队添乱，是可靠的一员。</t>
        </is>
      </c>
      <c r="AH133" s="2" t="inlineStr">
        <is>
          <t>B.懂得求助：在尝试后会及时向主管或同事反馈，寻求资源支持。</t>
        </is>
      </c>
      <c r="AI133" s="2" t="inlineStr">
        <is>
          <t>B. 配合接受：主管安排了就干，不推辞。</t>
        </is>
      </c>
      <c r="AJ133" s="2" t="inlineStr">
        <is>
          <t>C.较为配合：不抱怨，但压力较大时，工作质量会随之下滑。</t>
        </is>
      </c>
      <c r="AK133" s="2" t="inlineStr">
        <is>
          <t>B.照单全收：态度很好，虽然不一定完全理解，但会按要求改。</t>
        </is>
      </c>
      <c r="AL133" s="2" t="inlineStr">
        <is>
          <t>B.正常上手：经过简单培训或指导，能很快投入应用。</t>
        </is>
      </c>
      <c r="AM133" s="2" t="inlineStr">
        <is>
          <t>C.技能私有：自己干得好也愿意分享，但是不会总结或讲不出来。</t>
        </is>
      </c>
      <c r="AN133" s="2" t="inlineStr">
        <is>
          <t>C.中规中矩：刚好达标，替代性较强。</t>
        </is>
      </c>
      <c r="AO133" s="2" t="inlineStr">
        <is>
          <t>C.熟练工：能胜任重复性工作，但很难承担更高阶的挑战。</t>
        </is>
      </c>
      <c r="AP133" s="2" t="inlineStr">
        <is>
          <t>C.正常更替：走就走吧，招个新人培养一下也没什么区别。</t>
        </is>
      </c>
      <c r="AQ133" s="2" t="inlineStr">
        <is>
          <t>C</t>
        </is>
      </c>
      <c r="AR133" s="2" t="inlineStr">
        <is>
          <t>C</t>
        </is>
      </c>
      <c r="AS133" s="2" t="inlineStr">
        <is>
          <t>一致</t>
        </is>
      </c>
      <c r="AT133" s="2" t="inlineStr">
        <is>
          <t>C</t>
        </is>
      </c>
      <c r="AU133" s="2" t="inlineStr">
        <is>
          <t>1档</t>
        </is>
      </c>
      <c r="AV133" s="3" t="n">
        <v>6100</v>
      </c>
      <c r="AW133" s="3" t="n">
        <v>4880</v>
      </c>
      <c r="AX133" s="3" t="n">
        <v>7320</v>
      </c>
      <c r="AY133" s="2" t="inlineStr">
        <is>
          <t>D</t>
        </is>
      </c>
      <c r="AZ133" s="2" t="inlineStr">
        <is>
          <t>该同志工作经历完整，先后在安装二分公司、文莱项目部从事劳资管理，2025 年 3 月调入人力资源部任人力专员，工作一直稳定可靠。
在项目一线任职期间，主要负责薪酬核算、考勤统计、人员台账等劳资工作，做事严谨细致、责任心强，踏实肯干，能较好完成各项工作任务。
调入人力部后，快速适应新岗位，熟练办理退休、社保、入离职、劳动合同等人事业务，工作规范、执行力强，沟通顺畅，服务意识好，服从管理、团队协作意识强。
该同志作风稳重、态度端正，多岗位历练尽职尽责，业务能力不断提升，能够胜任人力各项事务工作，整体表现良好。</t>
        </is>
      </c>
      <c r="BA133" s="7" t="n">
        <v>2</v>
      </c>
      <c r="BB133" s="7" t="n">
        <v>4</v>
      </c>
      <c r="BC133" s="7" t="n">
        <v>3</v>
      </c>
      <c r="BD133" s="7" t="n">
        <v>4</v>
      </c>
      <c r="BE133" s="7" t="n">
        <v>4</v>
      </c>
      <c r="BF133" s="7" t="n">
        <v>3.5</v>
      </c>
      <c r="BG133" s="7" t="n">
        <v>3</v>
      </c>
      <c r="BH133" s="7" t="n">
        <v>1</v>
      </c>
      <c r="BI133" s="7" t="n">
        <v>2</v>
      </c>
      <c r="BJ133" s="7" t="n">
        <v>4</v>
      </c>
      <c r="BK133" s="7" t="n">
        <v>3</v>
      </c>
      <c r="BL133" s="7" t="n">
        <v>4</v>
      </c>
      <c r="BM133" s="7" t="n">
        <v>2</v>
      </c>
      <c r="BN133" s="7" t="n">
        <v>3</v>
      </c>
      <c r="BO133" s="7" t="n">
        <v>3</v>
      </c>
      <c r="BP133" s="7" t="n">
        <v>4</v>
      </c>
      <c r="BQ133" s="7" t="n">
        <v>2</v>
      </c>
      <c r="BR133" s="7" t="n">
        <v>3</v>
      </c>
      <c r="BS133" s="7" t="n">
        <v>3</v>
      </c>
      <c r="BT133" s="7" t="n">
        <v>3</v>
      </c>
      <c r="BU133" s="7" t="n">
        <v>60.5</v>
      </c>
      <c r="BV133" s="2" t="inlineStr">
        <is>
          <t>B.存不存在均可</t>
        </is>
      </c>
      <c r="BW133" s="2"/>
      <c r="BX133" s="2"/>
      <c r="BY133" s="6">
        <f>HYPERLINK("https://www.h3yun.com/Form/Attachments/?schemacode=D148357733993cc00c048ad9898e53f5f82cbb9&amp;bizObjectId=eb8c1785-cfda-4d09-97cd-10213d5d7f65&amp;name=F0000016","点击查看")</f>
        <v>0</v>
      </c>
      <c r="BZ133" s="2" t="inlineStr">
        <is>
          <t>2026-05-07 15:20:58</t>
        </is>
      </c>
      <c r="CA133" s="2" t="inlineStr">
        <is>
          <t>C</t>
        </is>
      </c>
      <c r="CB133" s="2" t="inlineStr">
        <is>
          <t>已提交</t>
        </is>
      </c>
      <c r="CC133" s="2" t="inlineStr">
        <is>
          <t>无</t>
        </is>
      </c>
      <c r="CD133" s="2" t="inlineStr">
        <is>
          <t>无</t>
        </is>
      </c>
      <c r="CE133" s="2" t="inlineStr">
        <is>
          <t>无</t>
        </is>
      </c>
      <c r="CF133" s="2"/>
      <c r="CG133" s="2" t="inlineStr">
        <is>
          <t>320682199312045789</t>
        </is>
      </c>
      <c r="CH133" s="2" t="inlineStr">
        <is>
          <t>已生效</t>
        </is>
      </c>
      <c r="CI133" s="2" t="inlineStr">
        <is>
          <t>946aa502-f1a8-45e5-8b3d-b4053605c37d</t>
        </is>
      </c>
      <c r="CJ133" s="3" t="n">
        <v>1</v>
      </c>
      <c r="CK133" s="2" t="inlineStr">
        <is>
          <t>该成员存在一线工作履历</t>
        </is>
      </c>
      <c r="CL133" s="2" t="inlineStr">
        <is>
          <t>该成员存在一线工作履历</t>
        </is>
      </c>
      <c r="CM133" s="2" t="inlineStr">
        <is>
          <t>南化建司劳2017-1号文-南京南化建设有限公司施工一线专业序列人员分级管理规定</t>
        </is>
      </c>
      <c r="CN133" s="2" t="inlineStr">
        <is>
          <t>第三章第6条D类</t>
        </is>
      </c>
      <c r="CO133" s="2"/>
      <c r="CP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t="inlineStr">
        <is>
          <t>406ec723-ecd8-4c2f-bb6a-b2f999fe91c6</t>
        </is>
      </c>
      <c r="CJ134" s="3" t="n">
        <v>2</v>
      </c>
      <c r="CK134" s="2" t="inlineStr">
        <is>
          <t>近五年内该成员存在一线工作履历</t>
        </is>
      </c>
      <c r="CL134" s="2" t="inlineStr">
        <is>
          <t>近五年内该成员存在一线工作履历</t>
        </is>
      </c>
      <c r="CM134" s="2" t="inlineStr">
        <is>
          <t>南化建司劳2017-1号文-南京南化建设有限公司施工一线专业序列人员分级管理规定</t>
        </is>
      </c>
      <c r="CN134" s="2" t="inlineStr">
        <is>
          <t>第三章第6条D类</t>
        </is>
      </c>
      <c r="CO134" s="2"/>
      <c r="CP134" s="2"/>
    </row>
    <row r="135">
      <c r="A135" s="2" t="inlineStr">
        <is>
          <t>7812b973-1085-4326-8f9f-f0f0a0d6b6de</t>
        </is>
      </c>
      <c r="B135" s="2" t="inlineStr">
        <is>
          <t>C.均衡，工作负荷一般，按部就班完成工作，除了突发时间几乎不用加班</t>
        </is>
      </c>
      <c r="C135" s="2" t="inlineStr">
        <is>
          <t>人力资源部    陈岚    女    汤帆</t>
        </is>
      </c>
      <c r="D135" s="2" t="inlineStr">
        <is>
          <t>Anonymous</t>
        </is>
      </c>
      <c r="E135" s="2" t="inlineStr">
        <is>
          <t>Anonymous</t>
        </is>
      </c>
      <c r="F135" s="2"/>
      <c r="G135" s="2" t="inlineStr">
        <is>
          <t>2026-05-25 10:56:15</t>
        </is>
      </c>
      <c r="H135" s="2" t="inlineStr">
        <is>
          <t>汤帆</t>
        </is>
      </c>
      <c r="I135" s="2" t="inlineStr">
        <is>
          <t>320105198610121642</t>
        </is>
      </c>
      <c r="J135" s="2" t="inlineStr">
        <is>
          <t>女</t>
        </is>
      </c>
      <c r="K135" s="2" t="inlineStr">
        <is>
          <t>人力资源部</t>
        </is>
      </c>
      <c r="L135" s="2" t="inlineStr">
        <is>
          <t>2013-03-01</t>
        </is>
      </c>
      <c r="M135" s="2"/>
      <c r="N135" s="2" t="inlineStr">
        <is>
          <t>土建</t>
        </is>
      </c>
      <c r="O135" s="2" t="inlineStr">
        <is>
          <t>本科</t>
        </is>
      </c>
      <c r="P135" s="2" t="inlineStr">
        <is>
          <t>人力资源部</t>
        </is>
      </c>
      <c r="Q135" s="2" t="inlineStr">
        <is>
          <t>陈岚</t>
        </is>
      </c>
      <c r="R135" s="2" t="inlineStr">
        <is>
          <t>女</t>
        </is>
      </c>
      <c r="S135" s="2" t="inlineStr">
        <is>
          <t>2017-09-01</t>
        </is>
      </c>
      <c r="T135" s="2" t="inlineStr">
        <is>
          <t>业务主管</t>
        </is>
      </c>
      <c r="U135" s="2"/>
      <c r="V135" s="2" t="inlineStr">
        <is>
          <t>其他</t>
        </is>
      </c>
      <c r="W135" s="2" t="inlineStr">
        <is>
          <t>大专</t>
        </is>
      </c>
      <c r="X135" s="2" t="inlineStr">
        <is>
          <t>B.按时推进：基本能卡着时间点完成，不掉链子。</t>
        </is>
      </c>
      <c r="Y135" s="2" t="inlineStr">
        <is>
          <t>B.基本稳定：偶有小瑕疵，但不影响整体使用。</t>
        </is>
      </c>
      <c r="Z135" s="2" t="inlineStr">
        <is>
          <t>B.比较省心：只需定期同步一下进度，不需要主管盯着细节，能独立把事情办成。</t>
        </is>
      </c>
      <c r="AA135" s="2" t="inlineStr">
        <is>
          <t>A.全局视野：了解上下游，能站在全业务链条考虑问题。</t>
        </is>
      </c>
      <c r="AB135" s="2" t="inlineStr">
        <is>
          <t>B.尽力而为：能解决大部分问题，解决不了的会及时求助。</t>
        </is>
      </c>
      <c r="AC135" s="2" t="inlineStr">
        <is>
          <t>A.模范标兵：严于律己，从未在琐事上让主管费心。</t>
        </is>
      </c>
      <c r="AD135" s="2" t="inlineStr">
        <is>
          <t>B.偶尔思考：在主管启发下，能提出一些优化想法</t>
        </is>
      </c>
      <c r="AE135" s="2" t="inlineStr">
        <is>
          <t>B.正常沟通：能清晰表达需求，维持基本的协作。</t>
        </is>
      </c>
      <c r="AF135" s="2" t="inlineStr">
        <is>
          <t>C.偶尔断片：答应得好好的，但中间不反馈，非得主管去追。</t>
        </is>
      </c>
      <c r="AG135" s="2" t="inlineStr">
        <is>
          <t>B.稳定器：做好自己，不给团队添乱，是可靠的一员。</t>
        </is>
      </c>
      <c r="AH135" s="2" t="inlineStr">
        <is>
          <t>A.整合高手：能迅速找到能帮上忙的人和资源，借力打力解决问题。</t>
        </is>
      </c>
      <c r="AI135" s="2" t="inlineStr">
        <is>
          <t>B. 配合接受：主管安排了就干，不推辞。</t>
        </is>
      </c>
      <c r="AJ135" s="2" t="inlineStr">
        <is>
          <t>B.配合度高：虽然有压力，但能服从大局，咬牙顶上去，且质量尚可。</t>
        </is>
      </c>
      <c r="AK135" s="2" t="inlineStr">
        <is>
          <t>B.照单全收：态度很好，虽然不一定完全理解，但会按要求改。</t>
        </is>
      </c>
      <c r="AL135" s="2" t="inlineStr">
        <is>
          <t>B.正常上手：经过简单培训或指导，能很快投入应用。</t>
        </is>
      </c>
      <c r="AM135" s="2" t="inlineStr">
        <is>
          <t>B.愿意传帮带：平时爱分享避坑指南，能带徒弟。</t>
        </is>
      </c>
      <c r="AN135" s="2" t="inlineStr">
        <is>
          <t>B.中上水平：高于平均线，是团队的中流砥柱。</t>
        </is>
      </c>
      <c r="AO135" s="2" t="inlineStr">
        <is>
          <t>B.业务骨干：是团队不可或缺的腰部力量。</t>
        </is>
      </c>
      <c r="AP135" s="2" t="inlineStr">
        <is>
          <t>B.有点可惜：是个好手，需要费心再找一个相同水准的。</t>
        </is>
      </c>
      <c r="AQ135" s="2" t="inlineStr">
        <is>
          <t>B</t>
        </is>
      </c>
      <c r="AR135" s="2" t="inlineStr">
        <is>
          <t>B</t>
        </is>
      </c>
      <c r="AS135" s="2" t="inlineStr">
        <is>
          <t>一致</t>
        </is>
      </c>
      <c r="AT135" s="2" t="inlineStr">
        <is>
          <t>B</t>
        </is>
      </c>
      <c r="AU135" s="2" t="inlineStr">
        <is>
          <t>2档</t>
        </is>
      </c>
      <c r="AV135" s="3" t="n">
        <v>7800</v>
      </c>
      <c r="AW135" s="3" t="n">
        <v>6240</v>
      </c>
      <c r="AX135" s="3" t="n">
        <v>9360</v>
      </c>
      <c r="AY135" s="2" t="inlineStr">
        <is>
          <t>C</t>
        </is>
      </c>
      <c r="AZ135" s="2" t="inlineStr">
        <is>
          <t>该同志 2017 年加入人力资源部，一直从事人事后勤保障相关工作，主要负责社保办理、职工慰问、退休手续、医药费报销等日常核心业务。入职多年，业务能力扎实，熟悉各项政策和办事流程，平时工作认真细致、责任心强，常规工作和临时交办的任务都能高效稳妥地完成。
每年招聘旺季，部门任务重、人手紧的时候，该同志都能主动顶上、积极补位，配合做好招聘相关的辅助工作，服从部门整体安排，团队意识很好。
一直以来工作踏实肯干、勤勉负责，主动把各项员工福利事务落实到位，有力保障了部门工作平稳高效推进，为团队稳定运转提供了很好的支撑。</t>
        </is>
      </c>
      <c r="BA135" s="7" t="n">
        <v>3</v>
      </c>
      <c r="BB135" s="7" t="n">
        <v>4</v>
      </c>
      <c r="BC135" s="7" t="n">
        <v>4</v>
      </c>
      <c r="BD135" s="7" t="n">
        <v>5</v>
      </c>
      <c r="BE135" s="7" t="n">
        <v>4</v>
      </c>
      <c r="BF135" s="7" t="n">
        <v>5</v>
      </c>
      <c r="BG135" s="7" t="n">
        <v>4</v>
      </c>
      <c r="BH135" s="7" t="n">
        <v>3.5</v>
      </c>
      <c r="BI135" s="7" t="n">
        <v>2</v>
      </c>
      <c r="BJ135" s="7" t="n">
        <v>4</v>
      </c>
      <c r="BK135" s="7" t="n">
        <v>5</v>
      </c>
      <c r="BL135" s="7" t="n">
        <v>4</v>
      </c>
      <c r="BM135" s="7" t="n">
        <v>3</v>
      </c>
      <c r="BN135" s="7" t="n">
        <v>4</v>
      </c>
      <c r="BO135" s="7" t="n">
        <v>3</v>
      </c>
      <c r="BP135" s="7" t="n">
        <v>4</v>
      </c>
      <c r="BQ135" s="7" t="n">
        <v>4</v>
      </c>
      <c r="BR135" s="7" t="n">
        <v>4</v>
      </c>
      <c r="BS135" s="7" t="n">
        <v>4</v>
      </c>
      <c r="BT135" s="7" t="n">
        <v>4</v>
      </c>
      <c r="BU135" s="7" t="n">
        <v>77.5</v>
      </c>
      <c r="BV135" s="2" t="inlineStr">
        <is>
          <t>A.需要存在，不可去除</t>
        </is>
      </c>
      <c r="BW135" s="2"/>
      <c r="BX135" s="2"/>
      <c r="BY135" s="6">
        <f>HYPERLINK("https://www.h3yun.com/Form/Attachments/?schemacode=D148357733993cc00c048ad9898e53f5f82cbb9&amp;bizObjectId=7812b973-1085-4326-8f9f-f0f0a0d6b6de&amp;name=F0000016","点击查看")</f>
        <v>0</v>
      </c>
      <c r="BZ135" s="2" t="inlineStr">
        <is>
          <t>2026-05-07 15:13:31</t>
        </is>
      </c>
      <c r="CA135" s="2" t="inlineStr">
        <is>
          <t>B</t>
        </is>
      </c>
      <c r="CB135" s="2" t="inlineStr">
        <is>
          <t>已提交</t>
        </is>
      </c>
      <c r="CC135" s="2" t="inlineStr">
        <is>
          <t>工程师</t>
        </is>
      </c>
      <c r="CD135" s="2" t="inlineStr">
        <is>
          <t>无</t>
        </is>
      </c>
      <c r="CE135" s="2" t="inlineStr">
        <is>
          <t>没</t>
        </is>
      </c>
      <c r="CF135" s="2"/>
      <c r="CG135" s="2" t="inlineStr">
        <is>
          <t>321023199402012620</t>
        </is>
      </c>
      <c r="CH135" s="2" t="inlineStr">
        <is>
          <t>已生效</t>
        </is>
      </c>
      <c r="CI135" s="2" t="inlineStr">
        <is>
          <t>c5dcfd66-e25e-46c4-b656-043f72bda24a</t>
        </is>
      </c>
      <c r="CJ135" s="3" t="n">
        <v>1</v>
      </c>
      <c r="CK135" s="2" t="inlineStr">
        <is>
          <t>近三年至少担任过一个合同额1000万元以上项目相应岗位的主管</t>
        </is>
      </c>
      <c r="CL135" s="2" t="inlineStr">
        <is>
          <t>近三年至少担任过一个合同额1000万元以上项目相应岗位的主管</t>
        </is>
      </c>
      <c r="CM135" s="2" t="inlineStr">
        <is>
          <t>南化建司劳2017-1号文-南京南化建设有限公司施工一线专业序列人员分级管理规定</t>
        </is>
      </c>
      <c r="CN135" s="2" t="inlineStr">
        <is>
          <t>第三章第3条C类</t>
        </is>
      </c>
      <c r="CO135" s="2"/>
      <c r="CP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t="inlineStr">
        <is>
          <t>31374873-1d50-4357-83e7-9e6dfb46bd83</t>
        </is>
      </c>
      <c r="CJ136" s="3" t="n">
        <v>2</v>
      </c>
      <c r="CK136" s="2" t="inlineStr">
        <is>
          <t>公司二级单位或公司职能部门推荐</t>
        </is>
      </c>
      <c r="CL136" s="2" t="inlineStr">
        <is>
          <t>公司二级单位或公司职能部门推荐</t>
        </is>
      </c>
      <c r="CM136" s="2" t="inlineStr">
        <is>
          <t>南化建司劳2017-1号文-南京南化建设有限公司施工一线专业序列人员分级管理规定</t>
        </is>
      </c>
      <c r="CN136" s="2" t="inlineStr">
        <is>
          <t>第三章第3条C类</t>
        </is>
      </c>
      <c r="CO136" s="2"/>
      <c r="CP136" s="2"/>
    </row>
    <row r="137">
      <c r="A137" s="2" t="inlineStr">
        <is>
          <t>1b52690d-5202-46d7-9d9c-c2d678e04a3f</t>
        </is>
      </c>
      <c r="B137" s="2" t="inlineStr">
        <is>
          <t>C.均衡，工作负荷一般，按部就班完成工作，除了突发时间几乎不用加班</t>
        </is>
      </c>
      <c r="C137" s="2" t="inlineStr">
        <is>
          <t>技术中心    张笑    男    张威</t>
        </is>
      </c>
      <c r="D137" s="2" t="inlineStr">
        <is>
          <t>Anonymous</t>
        </is>
      </c>
      <c r="E137" s="2" t="inlineStr">
        <is>
          <t>Anonymous</t>
        </is>
      </c>
      <c r="F137" s="2"/>
      <c r="G137" s="2" t="inlineStr">
        <is>
          <t>2026-05-25 10:56:15</t>
        </is>
      </c>
      <c r="H137" s="2" t="inlineStr">
        <is>
          <t>张威</t>
        </is>
      </c>
      <c r="I137" s="2" t="inlineStr">
        <is>
          <t>321027198912083075</t>
        </is>
      </c>
      <c r="J137" s="2" t="inlineStr">
        <is>
          <t>男</t>
        </is>
      </c>
      <c r="K137" s="2" t="inlineStr">
        <is>
          <t>技术中心</t>
        </is>
      </c>
      <c r="L137" s="2" t="inlineStr">
        <is>
          <t>2012-07-01</t>
        </is>
      </c>
      <c r="M137" s="2" t="inlineStr">
        <is>
          <t>常州大学</t>
        </is>
      </c>
      <c r="N137" s="2" t="inlineStr">
        <is>
          <t>过控</t>
        </is>
      </c>
      <c r="O137" s="2" t="inlineStr">
        <is>
          <t>本科</t>
        </is>
      </c>
      <c r="P137" s="2" t="inlineStr">
        <is>
          <t>技术中心</t>
        </is>
      </c>
      <c r="Q137" s="2" t="inlineStr">
        <is>
          <t>张笑</t>
        </is>
      </c>
      <c r="R137" s="2" t="inlineStr">
        <is>
          <t>男</t>
        </is>
      </c>
      <c r="S137" s="2" t="inlineStr">
        <is>
          <t>2020-08-01</t>
        </is>
      </c>
      <c r="T137" s="2" t="inlineStr">
        <is>
          <t>技术助理(一)</t>
        </is>
      </c>
      <c r="U137" s="2" t="inlineStr">
        <is>
          <t>常州大学</t>
        </is>
      </c>
      <c r="V137" s="2" t="inlineStr">
        <is>
          <t>其他</t>
        </is>
      </c>
      <c r="W137" s="2" t="inlineStr">
        <is>
          <t>本科</t>
        </is>
      </c>
      <c r="X137" s="2" t="inlineStr">
        <is>
          <t>C.拖沓被动：需要主管反复催促，才能勉强按时交差。</t>
        </is>
      </c>
      <c r="Y137" s="2" t="inlineStr">
        <is>
          <t>B.基本稳定：偶有小瑕疵，但不影响整体使用。</t>
        </is>
      </c>
      <c r="Z137" s="2" t="inlineStr">
        <is>
          <t>C.正常跟进：需要主管盯着节点、偶尔提醒进度，或者在跑偏时帮着拽回来。</t>
        </is>
      </c>
      <c r="AA137" s="2" t="inlineStr">
        <is>
          <t>B.清楚岗位：对自己岗位的活儿很门清，略知上下游。</t>
        </is>
      </c>
      <c r="AB137" s="2" t="inlineStr">
        <is>
          <t>B.尽力而为：能解决大部分问题，解决不了的会及时求助。</t>
        </is>
      </c>
      <c r="AC137" s="2" t="inlineStr">
        <is>
          <t>A.模范标兵：严于律己，从未在琐事上让主管费心。</t>
        </is>
      </c>
      <c r="AD137" s="2" t="inlineStr">
        <is>
          <t>C.照章办事：给多少干多少，完全按老规矩来，从不思考变革</t>
        </is>
      </c>
      <c r="AE137" s="2" t="inlineStr">
        <is>
          <t>B.正常沟通：能清晰表达需求，维持基本的协作。</t>
        </is>
      </c>
      <c r="AF137" s="2" t="inlineStr">
        <is>
          <t>B.有问有答：问到时能说清楚进度，基本能做到及时反馈。</t>
        </is>
      </c>
      <c r="AG137" s="2" t="inlineStr">
        <is>
          <t>B.稳定器：做好自己，不给团队添乱，是可靠的一员。</t>
        </is>
      </c>
      <c r="AH137" s="2" t="inlineStr">
        <is>
          <t>B.懂得求助：在尝试后会及时向主管或同事反馈，寻求资源支持。</t>
        </is>
      </c>
      <c r="AI137" s="2" t="inlineStr">
        <is>
          <t>B. 配合接受：主管安排了就干，不推辞。</t>
        </is>
      </c>
      <c r="AJ137" s="2" t="inlineStr">
        <is>
          <t>C.较为配合：不抱怨，但压力较大时，工作质量会随之下滑。</t>
        </is>
      </c>
      <c r="AK137" s="2" t="inlineStr">
        <is>
          <t>B.照单全收：态度很好，虽然不一定完全理解，但会按要求改。</t>
        </is>
      </c>
      <c r="AL137" s="2" t="inlineStr">
        <is>
          <t>C.慢工细活：需要反复教，掌握过程比较吃力。</t>
        </is>
      </c>
      <c r="AM137" s="2" t="inlineStr">
        <is>
          <t>C.技能私有：自己干得好也愿意分享，但是不会总结或讲不出来。</t>
        </is>
      </c>
      <c r="AN137" s="2" t="inlineStr">
        <is>
          <t>C.中规中矩：刚好达标，替代性较强。</t>
        </is>
      </c>
      <c r="AO137" s="2" t="inlineStr">
        <is>
          <t>C.熟练工：能胜任重复性工作，但很难承担更高阶的挑战。</t>
        </is>
      </c>
      <c r="AP137" s="2" t="inlineStr">
        <is>
          <t>C.正常更替：走就走吧，招个新人培养一下也没什么区别。</t>
        </is>
      </c>
      <c r="AQ137" s="2" t="inlineStr">
        <is>
          <t>C</t>
        </is>
      </c>
      <c r="AR137" s="2" t="inlineStr">
        <is>
          <t>C</t>
        </is>
      </c>
      <c r="AS137" s="2" t="inlineStr">
        <is>
          <t>一致</t>
        </is>
      </c>
      <c r="AT137" s="2" t="inlineStr">
        <is>
          <t>C</t>
        </is>
      </c>
      <c r="AU137" s="2"/>
      <c r="AV137" s="3"/>
      <c r="AW137" s="3"/>
      <c r="AX137" s="3"/>
      <c r="AY137" s="2" t="inlineStr">
        <is>
          <t>D</t>
        </is>
      </c>
      <c r="AZ137" s="2" t="inlineStr">
        <is>
          <t>需加强个人沟通能力</t>
        </is>
      </c>
      <c r="BA137" s="7" t="n">
        <v>2</v>
      </c>
      <c r="BB137" s="7" t="n">
        <v>4</v>
      </c>
      <c r="BC137" s="7" t="n">
        <v>3</v>
      </c>
      <c r="BD137" s="7" t="n">
        <v>4</v>
      </c>
      <c r="BE137" s="7" t="n">
        <v>4</v>
      </c>
      <c r="BF137" s="7" t="n">
        <v>5</v>
      </c>
      <c r="BG137" s="7" t="n">
        <v>3</v>
      </c>
      <c r="BH137" s="7" t="n">
        <v>3.5</v>
      </c>
      <c r="BI137" s="7" t="n">
        <v>4</v>
      </c>
      <c r="BJ137" s="7" t="n">
        <v>4</v>
      </c>
      <c r="BK137" s="7" t="n">
        <v>3</v>
      </c>
      <c r="BL137" s="7" t="n">
        <v>4</v>
      </c>
      <c r="BM137" s="7" t="n">
        <v>3</v>
      </c>
      <c r="BN137" s="7" t="n">
        <v>3</v>
      </c>
      <c r="BO137" s="7" t="n">
        <v>3</v>
      </c>
      <c r="BP137" s="7" t="n">
        <v>2</v>
      </c>
      <c r="BQ137" s="7" t="n">
        <v>2</v>
      </c>
      <c r="BR137" s="7" t="n">
        <v>3</v>
      </c>
      <c r="BS137" s="7" t="n">
        <v>3</v>
      </c>
      <c r="BT137" s="7" t="n">
        <v>3</v>
      </c>
      <c r="BU137" s="7" t="n">
        <v>65.5</v>
      </c>
      <c r="BV137" s="2" t="inlineStr">
        <is>
          <t>B.存不存在均可</t>
        </is>
      </c>
      <c r="BW137" s="2"/>
      <c r="BX137" s="2"/>
      <c r="BY137" s="6">
        <f>HYPERLINK("https://www.h3yun.com/Form/Attachments/?schemacode=D148357733993cc00c048ad9898e53f5f82cbb9&amp;bizObjectId=1b52690d-5202-46d7-9d9c-c2d678e04a3f&amp;name=F0000016","点击查看")</f>
        <v>0</v>
      </c>
      <c r="BZ137" s="2" t="inlineStr">
        <is>
          <t>2026-05-07 15:03:05</t>
        </is>
      </c>
      <c r="CA137" s="2" t="inlineStr">
        <is>
          <t>C</t>
        </is>
      </c>
      <c r="CB137" s="2" t="inlineStr">
        <is>
          <t>已提交</t>
        </is>
      </c>
      <c r="CC137" s="2" t="inlineStr">
        <is>
          <t>无</t>
        </is>
      </c>
      <c r="CD137" s="2" t="inlineStr">
        <is>
          <t>无</t>
        </is>
      </c>
      <c r="CE137" s="2" t="inlineStr">
        <is>
          <t>无</t>
        </is>
      </c>
      <c r="CF137" s="2"/>
      <c r="CG137" s="2" t="inlineStr">
        <is>
          <t>320324199602015932</t>
        </is>
      </c>
      <c r="CH137" s="2" t="inlineStr">
        <is>
          <t>已生效</t>
        </is>
      </c>
      <c r="CI137" s="2" t="inlineStr">
        <is>
          <t>dfd563b1-7fb6-4563-9504-bad94cbea404</t>
        </is>
      </c>
      <c r="CJ137" s="3" t="n">
        <v>1</v>
      </c>
      <c r="CK137" s="2" t="inlineStr">
        <is>
          <t>该成员存在一线工作履历</t>
        </is>
      </c>
      <c r="CL137" s="2" t="inlineStr">
        <is>
          <t>该成员存在一线工作履历</t>
        </is>
      </c>
      <c r="CM137" s="2" t="inlineStr">
        <is>
          <t>南化建司劳2017-1号文-南京南化建设有限公司施工一线专业序列人员分级管理规定</t>
        </is>
      </c>
      <c r="CN137" s="2" t="inlineStr">
        <is>
          <t>第三章第6条D类</t>
        </is>
      </c>
      <c r="CO137" s="2"/>
      <c r="CP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t="inlineStr">
        <is>
          <t>c3abb863-ab73-483a-ae2b-8bd4b091057f</t>
        </is>
      </c>
      <c r="CJ138" s="3" t="n">
        <v>2</v>
      </c>
      <c r="CK138" s="2" t="inlineStr">
        <is>
          <t>近五年内该成员存在一线工作履历</t>
        </is>
      </c>
      <c r="CL138" s="2" t="inlineStr">
        <is>
          <t>近五年内该成员存在一线工作履历</t>
        </is>
      </c>
      <c r="CM138" s="2" t="inlineStr">
        <is>
          <t>南化建司劳2017-1号文-南京南化建设有限公司施工一线专业序列人员分级管理规定</t>
        </is>
      </c>
      <c r="CN138" s="2" t="inlineStr">
        <is>
          <t>第三章第6条D类</t>
        </is>
      </c>
      <c r="CO138" s="2"/>
      <c r="CP138" s="2"/>
    </row>
    <row r="139">
      <c r="A139" s="2" t="inlineStr">
        <is>
          <t>7e05cfec-420a-4aec-8bc3-00a3bd7a98d8</t>
        </is>
      </c>
      <c r="B139" s="2" t="inlineStr">
        <is>
          <t>B.满负荷，平时工作就很忙，偶尔因为非突发时间也要加班</t>
        </is>
      </c>
      <c r="C139" s="2" t="inlineStr">
        <is>
          <t>物资部    冯艳兰    女    范磊</t>
        </is>
      </c>
      <c r="D139" s="2" t="inlineStr">
        <is>
          <t>Anonymous</t>
        </is>
      </c>
      <c r="E139" s="2" t="inlineStr">
        <is>
          <t>Anonymous</t>
        </is>
      </c>
      <c r="F139" s="2"/>
      <c r="G139" s="2" t="inlineStr">
        <is>
          <t>2026-05-25 10:56:15</t>
        </is>
      </c>
      <c r="H139" s="2" t="inlineStr">
        <is>
          <t>范磊</t>
        </is>
      </c>
      <c r="I139" s="2" t="inlineStr">
        <is>
          <t>34212919820817761X</t>
        </is>
      </c>
      <c r="J139" s="2" t="inlineStr">
        <is>
          <t>男</t>
        </is>
      </c>
      <c r="K139" s="2" t="inlineStr">
        <is>
          <t>物资部</t>
        </is>
      </c>
      <c r="L139" s="2" t="inlineStr">
        <is>
          <t>2005-08-20</t>
        </is>
      </c>
      <c r="M139" s="2" t="inlineStr">
        <is>
          <t>安徽理工大学</t>
        </is>
      </c>
      <c r="N139" s="2" t="inlineStr">
        <is>
          <t>其他</t>
        </is>
      </c>
      <c r="O139" s="2" t="inlineStr">
        <is>
          <t>大专</t>
        </is>
      </c>
      <c r="P139" s="2" t="inlineStr">
        <is>
          <t>物资部</t>
        </is>
      </c>
      <c r="Q139" s="2" t="inlineStr">
        <is>
          <t>冯艳兰</t>
        </is>
      </c>
      <c r="R139" s="2" t="inlineStr">
        <is>
          <t>女</t>
        </is>
      </c>
      <c r="S139" s="2" t="inlineStr">
        <is>
          <t>1994-08-01</t>
        </is>
      </c>
      <c r="T139" s="2" t="inlineStr">
        <is>
          <t>业务主管</t>
        </is>
      </c>
      <c r="U139" s="2" t="inlineStr">
        <is>
          <t>扬州化工学校</t>
        </is>
      </c>
      <c r="V139" s="2" t="inlineStr">
        <is>
          <t>电气</t>
        </is>
      </c>
      <c r="W139" s="2" t="inlineStr">
        <is>
          <t>中专</t>
        </is>
      </c>
      <c r="X139" s="2" t="inlineStr">
        <is>
          <t>A.积极高效：经常提前完成，且质量超出预期。</t>
        </is>
      </c>
      <c r="Y139" s="2" t="inlineStr">
        <is>
          <t>B.基本稳定：偶有小瑕疵，但不影响整体使用。</t>
        </is>
      </c>
      <c r="Z139" s="2" t="inlineStr">
        <is>
          <t>B.比较省心：只需定期同步一下进度，不需要主管盯着细节，能独立把事情办成。</t>
        </is>
      </c>
      <c r="AA139" s="2" t="inlineStr">
        <is>
          <t>A.全局视野：了解上下游，能站在全业务链条考虑问题。</t>
        </is>
      </c>
      <c r="AB139" s="2" t="inlineStr">
        <is>
          <t>A.攻坚克难：会想尽一切办法钻研，直至彻底解决。</t>
        </is>
      </c>
      <c r="AC139" s="2" t="inlineStr">
        <is>
          <t>A.模范标兵：严于律己，从未在琐事上让主管费心。</t>
        </is>
      </c>
      <c r="AD139" s="2" t="inlineStr">
        <is>
          <t>B.偶尔思考：在主管启发下，能提出一些优化想法</t>
        </is>
      </c>
      <c r="AE139" s="2" t="inlineStr">
        <is>
          <t>B.正常沟通：能清晰表达需求，维持基本的协作。</t>
        </is>
      </c>
      <c r="AF139" s="2" t="inlineStr">
        <is>
          <t>B.有问有答：问到时能说清楚进度，基本能做到及时反馈。</t>
        </is>
      </c>
      <c r="AG139" s="2" t="inlineStr">
        <is>
          <t>B.稳定器：做好自己，不给团队添乱，是可靠的一员。</t>
        </is>
      </c>
      <c r="AH139" s="2" t="inlineStr">
        <is>
          <t>A.整合高手：能迅速找到能帮上忙的人和资源，借力打力解决问题。</t>
        </is>
      </c>
      <c r="AI139" s="2" t="inlineStr">
        <is>
          <t>B. 配合接受：主管安排了就干，不推辞。</t>
        </is>
      </c>
      <c r="AJ139" s="2" t="inlineStr">
        <is>
          <t>B.配合度高：虽然有压力，但能服从大局，咬牙顶上去，且质量尚可。</t>
        </is>
      </c>
      <c r="AK139" s="2" t="inlineStr">
        <is>
          <t>B.照单全收：态度很好，虽然不一定完全理解，但会按要求改。</t>
        </is>
      </c>
      <c r="AL139" s="2" t="inlineStr">
        <is>
          <t>B.正常上手：经过简单培训或指导，能很快投入应用。</t>
        </is>
      </c>
      <c r="AM139" s="2" t="inlineStr">
        <is>
          <t>B.愿意传帮带：平时爱分享避坑指南，能带徒弟。</t>
        </is>
      </c>
      <c r="AN139" s="2" t="inlineStr">
        <is>
          <t>A.第一梯队（Top 10%）：部门的标杆。</t>
        </is>
      </c>
      <c r="AO139" s="2" t="inlineStr">
        <is>
          <t>B.业务骨干：是团队不可或缺的腰部力量。</t>
        </is>
      </c>
      <c r="AP139" s="2" t="inlineStr">
        <is>
          <t>A.晴天霹雳：极其遗憾，会不惜代价挽留，他是部门的支柱。</t>
        </is>
      </c>
      <c r="AQ139" s="2" t="inlineStr">
        <is>
          <t>A</t>
        </is>
      </c>
      <c r="AR139" s="2" t="inlineStr">
        <is>
          <t>A</t>
        </is>
      </c>
      <c r="AS139" s="2" t="inlineStr">
        <is>
          <t>一致</t>
        </is>
      </c>
      <c r="AT139" s="2" t="inlineStr">
        <is>
          <t>A</t>
        </is>
      </c>
      <c r="AU139" s="2" t="inlineStr">
        <is>
          <t>1档</t>
        </is>
      </c>
      <c r="AV139" s="3" t="n">
        <v>8600</v>
      </c>
      <c r="AW139" s="3" t="n">
        <v>6880</v>
      </c>
      <c r="AX139" s="3" t="n">
        <v>10320</v>
      </c>
      <c r="AY139" s="2" t="inlineStr">
        <is>
          <t>B</t>
        </is>
      </c>
      <c r="AZ139" s="2" t="inlineStr">
        <is>
          <t>该员工入职公司以来，从事公司基地水电基础管理工作30多年，工作认真负责，任劳任怨，保障公司基地的水电使用安全。</t>
        </is>
      </c>
      <c r="BA139" s="7" t="n">
        <v>5</v>
      </c>
      <c r="BB139" s="7" t="n">
        <v>4</v>
      </c>
      <c r="BC139" s="7" t="n">
        <v>4</v>
      </c>
      <c r="BD139" s="7" t="n">
        <v>5</v>
      </c>
      <c r="BE139" s="7" t="n">
        <v>5</v>
      </c>
      <c r="BF139" s="7" t="n">
        <v>5</v>
      </c>
      <c r="BG139" s="7" t="n">
        <v>4</v>
      </c>
      <c r="BH139" s="7" t="n">
        <v>3.5</v>
      </c>
      <c r="BI139" s="7" t="n">
        <v>4</v>
      </c>
      <c r="BJ139" s="7" t="n">
        <v>4</v>
      </c>
      <c r="BK139" s="7" t="n">
        <v>5</v>
      </c>
      <c r="BL139" s="7" t="n">
        <v>4</v>
      </c>
      <c r="BM139" s="7" t="n">
        <v>4</v>
      </c>
      <c r="BN139" s="7" t="n">
        <v>4</v>
      </c>
      <c r="BO139" s="7" t="n">
        <v>3</v>
      </c>
      <c r="BP139" s="7" t="n">
        <v>4</v>
      </c>
      <c r="BQ139" s="7" t="n">
        <v>4</v>
      </c>
      <c r="BR139" s="7" t="n">
        <v>5</v>
      </c>
      <c r="BS139" s="7" t="n">
        <v>4</v>
      </c>
      <c r="BT139" s="7" t="n">
        <v>5</v>
      </c>
      <c r="BU139" s="7" t="n">
        <v>85.5</v>
      </c>
      <c r="BV139" s="2" t="inlineStr">
        <is>
          <t>A.需要存在，不可去除</t>
        </is>
      </c>
      <c r="BW139" s="2"/>
      <c r="BX139" s="2"/>
      <c r="BY139" s="6">
        <f>HYPERLINK("https://www.h3yun.com/Form/Attachments/?schemacode=D148357733993cc00c048ad9898e53f5f82cbb9&amp;bizObjectId=7e05cfec-420a-4aec-8bc3-00a3bd7a98d8&amp;name=F0000016","点击查看")</f>
        <v>0</v>
      </c>
      <c r="BZ139" s="2" t="inlineStr">
        <is>
          <t>2026-05-07 15:02:18</t>
        </is>
      </c>
      <c r="CA139" s="2" t="inlineStr">
        <is>
          <t>A</t>
        </is>
      </c>
      <c r="CB139" s="2" t="inlineStr">
        <is>
          <t>已提交</t>
        </is>
      </c>
      <c r="CC139" s="2" t="inlineStr">
        <is>
          <t>无</t>
        </is>
      </c>
      <c r="CD139" s="2" t="inlineStr">
        <is>
          <t>无</t>
        </is>
      </c>
      <c r="CE139" s="2" t="inlineStr">
        <is>
          <t>无</t>
        </is>
      </c>
      <c r="CF139" s="2"/>
      <c r="CG139" s="2" t="inlineStr">
        <is>
          <t>320112197511110445</t>
        </is>
      </c>
      <c r="CH139" s="2" t="inlineStr">
        <is>
          <t>已生效</t>
        </is>
      </c>
      <c r="CI139" s="2" t="inlineStr">
        <is>
          <t>2c657159-1454-4b39-96da-ace3f2eac1d8</t>
        </is>
      </c>
      <c r="CJ139" s="3" t="n">
        <v>1</v>
      </c>
      <c r="CK139" s="2" t="inlineStr">
        <is>
          <t>近三年至少担任过一个合同额1500万元以上项目相应岗位的主管</t>
        </is>
      </c>
      <c r="CL139" s="2" t="inlineStr">
        <is>
          <t>近三年至少担任过一个合同额1500万元以上项目相应岗位的主管</t>
        </is>
      </c>
      <c r="CM139" s="2" t="inlineStr">
        <is>
          <t>南化建司劳2017-1号文-南京南化建设有限公司施工一线专业序列人员分级管理规定</t>
        </is>
      </c>
      <c r="CN139" s="2" t="inlineStr">
        <is>
          <t>第三章第2条B类</t>
        </is>
      </c>
      <c r="CO139" s="2"/>
      <c r="CP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t="inlineStr">
        <is>
          <t>e1d72ad4-2641-4178-9369-85c13b2a87fc</t>
        </is>
      </c>
      <c r="CJ140" s="3" t="n">
        <v>2</v>
      </c>
      <c r="CK140" s="2" t="inlineStr">
        <is>
          <t>公司二级单位或公司职能部门推荐</t>
        </is>
      </c>
      <c r="CL140" s="2" t="inlineStr">
        <is>
          <t>公司二级单位或公司职能部门推荐</t>
        </is>
      </c>
      <c r="CM140" s="2" t="inlineStr">
        <is>
          <t>南化建司劳2017-1号文-南京南化建设有限公司施工一线专业序列人员分级管理规定</t>
        </is>
      </c>
      <c r="CN140" s="2" t="inlineStr">
        <is>
          <t>第三章第2条B类</t>
        </is>
      </c>
      <c r="CO140" s="2"/>
      <c r="CP140" s="2"/>
    </row>
    <row r="141">
      <c r="A141" s="2" t="inlineStr">
        <is>
          <t>3b86132d-04ae-4389-9577-c1adbaff1f17</t>
        </is>
      </c>
      <c r="B141" s="2" t="inlineStr">
        <is>
          <t>D.欠饱和，没想起来给他布置工作的话很可能就是闲着</t>
        </is>
      </c>
      <c r="C141" s="2" t="inlineStr">
        <is>
          <t>南京永利重工制造有限公司    江晨阳    男    孙书志</t>
        </is>
      </c>
      <c r="D141" s="2" t="inlineStr">
        <is>
          <t>Anonymous</t>
        </is>
      </c>
      <c r="E141" s="2" t="inlineStr">
        <is>
          <t>Anonymous</t>
        </is>
      </c>
      <c r="F141" s="2"/>
      <c r="G141" s="2" t="inlineStr">
        <is>
          <t>2026-05-25 10:56:15</t>
        </is>
      </c>
      <c r="H141" s="2" t="inlineStr">
        <is>
          <t>孙书志</t>
        </is>
      </c>
      <c r="I141" s="2" t="inlineStr">
        <is>
          <t>340822198902171674</t>
        </is>
      </c>
      <c r="J141" s="2" t="inlineStr">
        <is>
          <t>男</t>
        </is>
      </c>
      <c r="K141" s="2" t="inlineStr">
        <is>
          <t>南京永利重工制造有限公司</t>
        </is>
      </c>
      <c r="L141" s="2" t="inlineStr">
        <is>
          <t>2012-07-01</t>
        </is>
      </c>
      <c r="M141" s="2" t="inlineStr">
        <is>
          <t>安徽理工大学</t>
        </is>
      </c>
      <c r="N141" s="2" t="inlineStr">
        <is>
          <t>过控</t>
        </is>
      </c>
      <c r="O141" s="2" t="inlineStr">
        <is>
          <t>本科</t>
        </is>
      </c>
      <c r="P141" s="2" t="inlineStr">
        <is>
          <t>南京永利重工制造有限公司</t>
        </is>
      </c>
      <c r="Q141" s="2" t="inlineStr">
        <is>
          <t>江晨阳</t>
        </is>
      </c>
      <c r="R141" s="2" t="inlineStr">
        <is>
          <t>男</t>
        </is>
      </c>
      <c r="S141" s="2" t="inlineStr">
        <is>
          <t>2019-08-01</t>
        </is>
      </c>
      <c r="T141" s="2" t="inlineStr">
        <is>
          <t>专业工程师</t>
        </is>
      </c>
      <c r="U141" s="2" t="inlineStr">
        <is>
          <t>徐州工程学院</t>
        </is>
      </c>
      <c r="V141" s="2" t="inlineStr">
        <is>
          <t>机制</t>
        </is>
      </c>
      <c r="W141" s="2" t="inlineStr">
        <is>
          <t>本科</t>
        </is>
      </c>
      <c r="X141" s="2" t="inlineStr">
        <is>
          <t>C.拖沓被动：需要主管反复催促，才能勉强按时交差。</t>
        </is>
      </c>
      <c r="Y141" s="2" t="inlineStr">
        <is>
          <t>C.看心情/状态：状态好时不错，状态差时漏洞百出。</t>
        </is>
      </c>
      <c r="Z141" s="2" t="inlineStr">
        <is>
          <t>C.正常跟进：需要主管盯着节点、偶尔提醒进度，或者在跑偏时帮着拽回来。</t>
        </is>
      </c>
      <c r="AA141" s="2" t="inlineStr">
        <is>
          <t>C.只知其一：只知道自己怎么操作，不知道为什么要这么做。</t>
        </is>
      </c>
      <c r="AB141" s="2" t="inlineStr">
        <is>
          <t>B.尽力而为：能解决大部分问题，解决不了的会及时求助。</t>
        </is>
      </c>
      <c r="AC141" s="2" t="inlineStr">
        <is>
          <t>B.基本合规：偶尔迟到或忘打卡，提醒后能迅速改正。</t>
        </is>
      </c>
      <c r="AD141" s="2" t="inlineStr">
        <is>
          <t>C.照章办事：给多少干多少，完全按老规矩来，从不思考变革</t>
        </is>
      </c>
      <c r="AE141" s="2" t="inlineStr">
        <is>
          <t>C.沟通被动：你不催他不去，去了也带不回明确结果。</t>
        </is>
      </c>
      <c r="AF141" s="2" t="inlineStr">
        <is>
          <t>C.偶尔断片：答应得好好的，但中间不反馈，非得主管去追。</t>
        </is>
      </c>
      <c r="AG141" s="2" t="inlineStr">
        <is>
          <t>C.旁观者：不关心团队，只关心自己的工作。</t>
        </is>
      </c>
      <c r="AH141" s="2" t="inlineStr">
        <is>
          <t>B.懂得求助：在尝试后会及时向主管或同事反馈，寻求资源支持。</t>
        </is>
      </c>
      <c r="AI141" s="2" t="inlineStr">
        <is>
          <t>B. 配合接受：主管安排了就干，不推辞。</t>
        </is>
      </c>
      <c r="AJ141" s="2" t="inlineStr">
        <is>
          <t>C.较为配合：不抱怨，但压力较大时，工作质量会随之下滑。</t>
        </is>
      </c>
      <c r="AK141" s="2" t="inlineStr">
        <is>
          <t>B.照单全收：态度很好，虽然不一定完全理解，但会按要求改。</t>
        </is>
      </c>
      <c r="AL141" s="2" t="inlineStr">
        <is>
          <t>C.慢工细活：需要反复教，掌握过程比较吃力。</t>
        </is>
      </c>
      <c r="AM141" s="2" t="inlineStr">
        <is>
          <t>C.技能私有：自己干得好也愿意分享，但是不会总结或讲不出来。</t>
        </is>
      </c>
      <c r="AN141" s="2" t="inlineStr">
        <is>
          <t>C.中规中矩：刚好达标，替代性较强。</t>
        </is>
      </c>
      <c r="AO141" s="2" t="inlineStr">
        <is>
          <t>C.熟练工：能胜任重复性工作，但很难承担更高阶的挑战。</t>
        </is>
      </c>
      <c r="AP141" s="2" t="inlineStr">
        <is>
          <t>D.有点影响：目前人员缺失，正好符合这个领域，没人用，有比没有好</t>
        </is>
      </c>
      <c r="AQ141" s="2" t="inlineStr">
        <is>
          <t>D</t>
        </is>
      </c>
      <c r="AR141" s="2" t="inlineStr">
        <is>
          <t>C</t>
        </is>
      </c>
      <c r="AS141" s="2" t="inlineStr">
        <is>
          <t>不一致</t>
        </is>
      </c>
      <c r="AT141" s="2" t="inlineStr">
        <is>
          <t>C</t>
        </is>
      </c>
      <c r="AU141" s="2"/>
      <c r="AV141" s="3"/>
      <c r="AW141" s="3"/>
      <c r="AX141" s="3"/>
      <c r="AY141" s="2" t="inlineStr">
        <is>
          <t>D</t>
        </is>
      </c>
      <c r="AZ141" s="2" t="inlineStr">
        <is>
          <t>1.专业技术薄弱
2. 算法思维较为单一、思路不清晰
3. 工作态度尚可
各方面望进一步加强</t>
        </is>
      </c>
      <c r="BA141" s="7" t="n">
        <v>2</v>
      </c>
      <c r="BB141" s="7" t="n">
        <v>2</v>
      </c>
      <c r="BC141" s="7" t="n">
        <v>3</v>
      </c>
      <c r="BD141" s="7" t="n">
        <v>2</v>
      </c>
      <c r="BE141" s="7" t="n">
        <v>4</v>
      </c>
      <c r="BF141" s="7" t="n">
        <v>3.5</v>
      </c>
      <c r="BG141" s="7" t="n">
        <v>3</v>
      </c>
      <c r="BH141" s="7" t="n">
        <v>1</v>
      </c>
      <c r="BI141" s="7" t="n">
        <v>2</v>
      </c>
      <c r="BJ141" s="7" t="n">
        <v>2</v>
      </c>
      <c r="BK141" s="7" t="n">
        <v>3</v>
      </c>
      <c r="BL141" s="7" t="n">
        <v>4</v>
      </c>
      <c r="BM141" s="7" t="n">
        <v>2</v>
      </c>
      <c r="BN141" s="7" t="n">
        <v>3</v>
      </c>
      <c r="BO141" s="7" t="n">
        <v>3</v>
      </c>
      <c r="BP141" s="7" t="n">
        <v>2</v>
      </c>
      <c r="BQ141" s="7" t="n">
        <v>2</v>
      </c>
      <c r="BR141" s="7" t="n">
        <v>3</v>
      </c>
      <c r="BS141" s="7" t="n">
        <v>3</v>
      </c>
      <c r="BT141" s="7" t="n">
        <v>1</v>
      </c>
      <c r="BU141" s="7" t="n">
        <v>50.5</v>
      </c>
      <c r="BV141" s="2" t="inlineStr">
        <is>
          <t>C.建议与其他岗位合并</t>
        </is>
      </c>
      <c r="BW141" s="2"/>
      <c r="BX141" s="2"/>
      <c r="BY141" s="6">
        <f>HYPERLINK("https://www.h3yun.com/Form/Attachments/?schemacode=D148357733993cc00c048ad9898e53f5f82cbb9&amp;bizObjectId=3b86132d-04ae-4389-9577-c1adbaff1f17&amp;name=F0000016","点击查看")</f>
        <v>0</v>
      </c>
      <c r="BZ141" s="2" t="inlineStr">
        <is>
          <t>2026-05-07 14:58:28</t>
        </is>
      </c>
      <c r="CA141" s="2" t="inlineStr">
        <is>
          <t>C</t>
        </is>
      </c>
      <c r="CB141" s="2" t="inlineStr">
        <is>
          <t>已提交</t>
        </is>
      </c>
      <c r="CC141" s="2" t="inlineStr">
        <is>
          <t>工程师职称证书</t>
        </is>
      </c>
      <c r="CD141" s="2" t="inlineStr">
        <is>
          <t>苏建安全A证</t>
        </is>
      </c>
      <c r="CE141" s="2" t="inlineStr">
        <is>
          <t>无</t>
        </is>
      </c>
      <c r="CF141" s="2"/>
      <c r="CG141" s="2" t="inlineStr">
        <is>
          <t>320682199611205017</t>
        </is>
      </c>
      <c r="CH141" s="2" t="inlineStr">
        <is>
          <t>已生效</t>
        </is>
      </c>
      <c r="CI141" s="2" t="inlineStr">
        <is>
          <t>7909199d-92bd-4158-a49a-dac963ff2331</t>
        </is>
      </c>
      <c r="CJ141" s="3" t="n">
        <v>1</v>
      </c>
      <c r="CK141" s="2" t="inlineStr">
        <is>
          <t>该成员存在一线工作履历</t>
        </is>
      </c>
      <c r="CL141" s="2" t="inlineStr">
        <is>
          <t>该成员存在一线工作履历</t>
        </is>
      </c>
      <c r="CM141" s="2" t="inlineStr">
        <is>
          <t>南化建司劳2017-1号文-南京南化建设有限公司施工一线专业序列人员分级管理规定</t>
        </is>
      </c>
      <c r="CN141" s="2" t="inlineStr">
        <is>
          <t>第三章第6条D类</t>
        </is>
      </c>
      <c r="CO141" s="2"/>
      <c r="CP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t="inlineStr">
        <is>
          <t>5d4ac80c-0beb-439e-abb9-ed02f92a3145</t>
        </is>
      </c>
      <c r="CJ142" s="3" t="n">
        <v>2</v>
      </c>
      <c r="CK142" s="2" t="inlineStr">
        <is>
          <t>近五年内该成员存在一线工作履历</t>
        </is>
      </c>
      <c r="CL142" s="2" t="inlineStr">
        <is>
          <t>近五年内该成员存在一线工作履历</t>
        </is>
      </c>
      <c r="CM142" s="2" t="inlineStr">
        <is>
          <t>南化建司劳2017-1号文-南京南化建设有限公司施工一线专业序列人员分级管理规定</t>
        </is>
      </c>
      <c r="CN142" s="2" t="inlineStr">
        <is>
          <t>第三章第6条D类</t>
        </is>
      </c>
      <c r="CO142" s="2"/>
      <c r="CP142" s="2"/>
    </row>
    <row r="143">
      <c r="A143" s="2" t="inlineStr">
        <is>
          <t>fa8267fb-45d0-40f0-859e-f5474c56d4a1</t>
        </is>
      </c>
      <c r="B143" s="2" t="inlineStr">
        <is>
          <t>C.均衡，工作负荷一般，按部就班完成工作，除了突发时间几乎不用加班</t>
        </is>
      </c>
      <c r="C143" s="2" t="inlineStr">
        <is>
          <t>技术中心    周冰倩    女    刘念</t>
        </is>
      </c>
      <c r="D143" s="2" t="inlineStr">
        <is>
          <t>Anonymous</t>
        </is>
      </c>
      <c r="E143" s="2" t="inlineStr">
        <is>
          <t>Anonymous</t>
        </is>
      </c>
      <c r="F143" s="2"/>
      <c r="G143" s="2" t="inlineStr">
        <is>
          <t>2026-05-25 10:56:15</t>
        </is>
      </c>
      <c r="H143" s="2" t="inlineStr">
        <is>
          <t>刘念</t>
        </is>
      </c>
      <c r="I143" s="2" t="inlineStr">
        <is>
          <t>320111198911130830</t>
        </is>
      </c>
      <c r="J143" s="2" t="inlineStr">
        <is>
          <t>男</t>
        </is>
      </c>
      <c r="K143" s="2" t="inlineStr">
        <is>
          <t>技术中心</t>
        </is>
      </c>
      <c r="L143" s="2" t="inlineStr">
        <is>
          <t>2012-07-01</t>
        </is>
      </c>
      <c r="M143" s="2" t="inlineStr">
        <is>
          <t>常州大学</t>
        </is>
      </c>
      <c r="N143" s="2" t="inlineStr">
        <is>
          <t>化机</t>
        </is>
      </c>
      <c r="O143" s="2" t="inlineStr">
        <is>
          <t>本科</t>
        </is>
      </c>
      <c r="P143" s="2" t="inlineStr">
        <is>
          <t>技术中心</t>
        </is>
      </c>
      <c r="Q143" s="2" t="inlineStr">
        <is>
          <t>周冰倩</t>
        </is>
      </c>
      <c r="R143" s="2" t="inlineStr">
        <is>
          <t>女</t>
        </is>
      </c>
      <c r="S143" s="2" t="inlineStr">
        <is>
          <t>2023-08-01</t>
        </is>
      </c>
      <c r="T143" s="2" t="inlineStr">
        <is>
          <t>技术助理(二)</t>
        </is>
      </c>
      <c r="U143" s="2" t="inlineStr">
        <is>
          <t>江西理工大学应用科学学院</t>
        </is>
      </c>
      <c r="V143" s="2"/>
      <c r="W143" s="2" t="inlineStr">
        <is>
          <t>本科</t>
        </is>
      </c>
      <c r="X143" s="2" t="inlineStr">
        <is>
          <t>C.拖沓被动：需要主管反复催促，才能勉强按时交差。</t>
        </is>
      </c>
      <c r="Y143" s="2" t="inlineStr">
        <is>
          <t>B.基本稳定：偶有小瑕疵，但不影响整体使用。</t>
        </is>
      </c>
      <c r="Z143" s="2" t="inlineStr">
        <is>
          <t>C.正常跟进：需要主管盯着节点、偶尔提醒进度，或者在跑偏时帮着拽回来。</t>
        </is>
      </c>
      <c r="AA143" s="2" t="inlineStr">
        <is>
          <t>B.清楚岗位：对自己岗位的活儿很门清，略知上下游。</t>
        </is>
      </c>
      <c r="AB143" s="2" t="inlineStr">
        <is>
          <t>C.容易放弃：尝试一下发现不行，就停在那等着主管给方案。</t>
        </is>
      </c>
      <c r="AC143" s="2" t="inlineStr">
        <is>
          <t>B.基本合规：偶尔迟到或忘打卡，提醒后能迅速改正。</t>
        </is>
      </c>
      <c r="AD143" s="2" t="inlineStr">
        <is>
          <t>C.照章办事：给多少干多少，完全按老规矩来，从不思考变革</t>
        </is>
      </c>
      <c r="AE143" s="2" t="inlineStr">
        <is>
          <t>B.正常沟通：能清晰表达需求，维持基本的协作。</t>
        </is>
      </c>
      <c r="AF143" s="2" t="inlineStr">
        <is>
          <t>B.有问有答：问到时能说清楚进度，基本能做到及时反馈。</t>
        </is>
      </c>
      <c r="AG143" s="2" t="inlineStr">
        <is>
          <t>B.稳定器：做好自己，不给团队添乱，是可靠的一员。</t>
        </is>
      </c>
      <c r="AH143" s="2" t="inlineStr">
        <is>
          <t>B.懂得求助：在尝试后会及时向主管或同事反馈，寻求资源支持。</t>
        </is>
      </c>
      <c r="AI143" s="2" t="inlineStr">
        <is>
          <t>B. 配合接受：主管安排了就干，不推辞。</t>
        </is>
      </c>
      <c r="AJ143" s="2" t="inlineStr">
        <is>
          <t>C.较为配合：不抱怨，但压力较大时，工作质量会随之下滑。</t>
        </is>
      </c>
      <c r="AK143" s="2" t="inlineStr">
        <is>
          <t>B.照单全收：态度很好，虽然不一定完全理解，但会按要求改。</t>
        </is>
      </c>
      <c r="AL143" s="2" t="inlineStr">
        <is>
          <t>B.正常上手：经过简单培训或指导，能很快投入应用。</t>
        </is>
      </c>
      <c r="AM143" s="2" t="inlineStr">
        <is>
          <t>B.愿意传帮带：平时爱分享避坑指南，能带徒弟。</t>
        </is>
      </c>
      <c r="AN143" s="2" t="inlineStr">
        <is>
          <t>B.中上水平：高于平均线，是团队的中流砥柱。</t>
        </is>
      </c>
      <c r="AO143" s="2" t="inlineStr">
        <is>
          <t>C.熟练工：能胜任重复性工作，但很难承担更高阶的挑战。</t>
        </is>
      </c>
      <c r="AP143" s="2" t="inlineStr">
        <is>
          <t>B.有点可惜：是个好手，需要费心再找一个相同水准的。</t>
        </is>
      </c>
      <c r="AQ143" s="2" t="inlineStr">
        <is>
          <t>C</t>
        </is>
      </c>
      <c r="AR143" s="2" t="inlineStr">
        <is>
          <t>B</t>
        </is>
      </c>
      <c r="AS143" s="2" t="inlineStr">
        <is>
          <t>不一致</t>
        </is>
      </c>
      <c r="AT143" s="2" t="inlineStr">
        <is>
          <t>B</t>
        </is>
      </c>
      <c r="AU143" s="2" t="inlineStr">
        <is>
          <t>1档</t>
        </is>
      </c>
      <c r="AV143" s="3" t="n">
        <v>7600</v>
      </c>
      <c r="AW143" s="3" t="n">
        <v>6080</v>
      </c>
      <c r="AX143" s="3" t="n">
        <v>9120</v>
      </c>
      <c r="AY143" s="2" t="inlineStr">
        <is>
          <t>C</t>
        </is>
      </c>
      <c r="AZ143" s="2" t="inlineStr">
        <is>
          <t>工作态度良好</t>
        </is>
      </c>
      <c r="BA143" s="7" t="n">
        <v>2</v>
      </c>
      <c r="BB143" s="7" t="n">
        <v>4</v>
      </c>
      <c r="BC143" s="7" t="n">
        <v>3</v>
      </c>
      <c r="BD143" s="7" t="n">
        <v>4</v>
      </c>
      <c r="BE143" s="7" t="n">
        <v>2</v>
      </c>
      <c r="BF143" s="7" t="n">
        <v>3.5</v>
      </c>
      <c r="BG143" s="7" t="n">
        <v>3</v>
      </c>
      <c r="BH143" s="7" t="n">
        <v>3.5</v>
      </c>
      <c r="BI143" s="7" t="n">
        <v>4</v>
      </c>
      <c r="BJ143" s="7" t="n">
        <v>4</v>
      </c>
      <c r="BK143" s="7" t="n">
        <v>3</v>
      </c>
      <c r="BL143" s="7" t="n">
        <v>4</v>
      </c>
      <c r="BM143" s="7" t="n">
        <v>3</v>
      </c>
      <c r="BN143" s="7" t="n">
        <v>3</v>
      </c>
      <c r="BO143" s="7" t="n">
        <v>3</v>
      </c>
      <c r="BP143" s="7" t="n">
        <v>4</v>
      </c>
      <c r="BQ143" s="7" t="n">
        <v>4</v>
      </c>
      <c r="BR143" s="7" t="n">
        <v>4</v>
      </c>
      <c r="BS143" s="7" t="n">
        <v>3</v>
      </c>
      <c r="BT143" s="7" t="n">
        <v>4</v>
      </c>
      <c r="BU143" s="7" t="n">
        <v>68</v>
      </c>
      <c r="BV143" s="2" t="inlineStr">
        <is>
          <t>A.需要存在，不可去除</t>
        </is>
      </c>
      <c r="BW143" s="2"/>
      <c r="BX143" s="2"/>
      <c r="BY143" s="6">
        <f>HYPERLINK("https://www.h3yun.com/Form/Attachments/?schemacode=D148357733993cc00c048ad9898e53f5f82cbb9&amp;bizObjectId=fa8267fb-45d0-40f0-859e-f5474c56d4a1&amp;name=F0000016","点击查看")</f>
        <v>0</v>
      </c>
      <c r="BZ143" s="2" t="inlineStr">
        <is>
          <t>2026-05-07 14:54:42</t>
        </is>
      </c>
      <c r="CA143" s="2" t="inlineStr">
        <is>
          <t>B</t>
        </is>
      </c>
      <c r="CB143" s="2" t="inlineStr">
        <is>
          <t>已提交</t>
        </is>
      </c>
      <c r="CC143" s="2" t="inlineStr">
        <is>
          <t>助理工程师</t>
        </is>
      </c>
      <c r="CD143" s="2" t="inlineStr">
        <is>
          <t>无</t>
        </is>
      </c>
      <c r="CE143" s="2" t="inlineStr">
        <is>
          <t>大赛证书</t>
        </is>
      </c>
      <c r="CF143" s="2"/>
      <c r="CG143" s="2" t="inlineStr">
        <is>
          <t>360421200005300021</t>
        </is>
      </c>
      <c r="CH143" s="2" t="inlineStr">
        <is>
          <t>已生效</t>
        </is>
      </c>
      <c r="CI143" s="2" t="inlineStr">
        <is>
          <t>66ff8d1d-7b75-466f-bf3f-298426623743</t>
        </is>
      </c>
      <c r="CJ143" s="3" t="n">
        <v>1</v>
      </c>
      <c r="CK143" s="2" t="inlineStr">
        <is>
          <t>近三年至少担任过一个合同额1000万元以上项目相应岗位的主管</t>
        </is>
      </c>
      <c r="CL143" s="2" t="inlineStr">
        <is>
          <t>近三年至少担任过一个合同额1000万元以上项目相应岗位的主管</t>
        </is>
      </c>
      <c r="CM143" s="2" t="inlineStr">
        <is>
          <t>南化建司劳2017-1号文-南京南化建设有限公司施工一线专业序列人员分级管理规定</t>
        </is>
      </c>
      <c r="CN143" s="2" t="inlineStr">
        <is>
          <t>第三章第3条C类</t>
        </is>
      </c>
      <c r="CO143" s="2"/>
      <c r="CP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t="inlineStr">
        <is>
          <t>cae31f64-c01e-441e-89df-7e78728f742a</t>
        </is>
      </c>
      <c r="CJ144" s="3" t="n">
        <v>2</v>
      </c>
      <c r="CK144" s="2" t="inlineStr">
        <is>
          <t>公司二级单位或公司职能部门推荐</t>
        </is>
      </c>
      <c r="CL144" s="2" t="inlineStr">
        <is>
          <t>公司二级单位或公司职能部门推荐</t>
        </is>
      </c>
      <c r="CM144" s="2" t="inlineStr">
        <is>
          <t>南化建司劳2017-1号文-南京南化建设有限公司施工一线专业序列人员分级管理规定</t>
        </is>
      </c>
      <c r="CN144" s="2" t="inlineStr">
        <is>
          <t>第三章第3条C类</t>
        </is>
      </c>
      <c r="CO144" s="2"/>
      <c r="CP144" s="2"/>
    </row>
    <row r="145">
      <c r="A145" s="2" t="inlineStr">
        <is>
          <t>575e4a7e-201f-405d-a14b-63502e5c0b44</t>
        </is>
      </c>
      <c r="B145" s="2" t="inlineStr">
        <is>
          <t>B.满负荷，平时工作就很忙，偶尔因为非突发时间也要加班</t>
        </is>
      </c>
      <c r="C145" s="2" t="inlineStr">
        <is>
          <t>技术中心    杨莉娟    女    刘念</t>
        </is>
      </c>
      <c r="D145" s="2" t="inlineStr">
        <is>
          <t>Anonymous</t>
        </is>
      </c>
      <c r="E145" s="2" t="inlineStr">
        <is>
          <t>Anonymous</t>
        </is>
      </c>
      <c r="F145" s="2"/>
      <c r="G145" s="2" t="inlineStr">
        <is>
          <t>2026-05-25 10:56:15</t>
        </is>
      </c>
      <c r="H145" s="2" t="inlineStr">
        <is>
          <t>刘念</t>
        </is>
      </c>
      <c r="I145" s="2" t="inlineStr">
        <is>
          <t>320111198911130830</t>
        </is>
      </c>
      <c r="J145" s="2" t="inlineStr">
        <is>
          <t>男</t>
        </is>
      </c>
      <c r="K145" s="2" t="inlineStr">
        <is>
          <t>技术中心</t>
        </is>
      </c>
      <c r="L145" s="2" t="inlineStr">
        <is>
          <t>2012-07-01</t>
        </is>
      </c>
      <c r="M145" s="2" t="inlineStr">
        <is>
          <t>常州大学</t>
        </is>
      </c>
      <c r="N145" s="2" t="inlineStr">
        <is>
          <t>化机</t>
        </is>
      </c>
      <c r="O145" s="2" t="inlineStr">
        <is>
          <t>本科</t>
        </is>
      </c>
      <c r="P145" s="2" t="inlineStr">
        <is>
          <t>技术中心</t>
        </is>
      </c>
      <c r="Q145" s="2" t="inlineStr">
        <is>
          <t>杨莉娟</t>
        </is>
      </c>
      <c r="R145" s="2" t="inlineStr">
        <is>
          <t>女</t>
        </is>
      </c>
      <c r="S145" s="2" t="inlineStr">
        <is>
          <t>2026-03-09</t>
        </is>
      </c>
      <c r="T145" s="2" t="inlineStr">
        <is>
          <t>技术助理(一)</t>
        </is>
      </c>
      <c r="U145" s="2" t="inlineStr">
        <is>
          <t>武汉工程大学</t>
        </is>
      </c>
      <c r="V145" s="2"/>
      <c r="W145" s="2" t="inlineStr">
        <is>
          <t>本科</t>
        </is>
      </c>
      <c r="X145" s="2" t="inlineStr">
        <is>
          <t>B.按时推进：基本能卡着时间点完成，不掉链子。</t>
        </is>
      </c>
      <c r="Y145" s="2" t="inlineStr">
        <is>
          <t>A.始终如一：无论任务大小，交付件标准都很高。</t>
        </is>
      </c>
      <c r="Z145" s="2" t="inlineStr">
        <is>
          <t>A.极其省心：只需交代目标，剩下的一律不用管，最后不仅能准时交付，甚至能超出预期。</t>
        </is>
      </c>
      <c r="AA145" s="2" t="inlineStr">
        <is>
          <t>A.全局视野：了解上下游，能站在全业务链条考虑问题。</t>
        </is>
      </c>
      <c r="AB145" s="2" t="inlineStr">
        <is>
          <t>A.攻坚克难：会想尽一切办法钻研，直至彻底解决。</t>
        </is>
      </c>
      <c r="AC145" s="2" t="inlineStr">
        <is>
          <t>B.基本合规：偶尔迟到或忘打卡，提醒后能迅速改正。</t>
        </is>
      </c>
      <c r="AD145" s="2" t="inlineStr">
        <is>
          <t>B.偶尔思考：在主管启发下，能提出一些优化想法</t>
        </is>
      </c>
      <c r="AE145" s="2" t="inlineStr">
        <is>
          <t>B.正常沟通：能清晰表达需求，维持基本的协作。</t>
        </is>
      </c>
      <c r="AF145" s="2" t="inlineStr">
        <is>
          <t>A.完美闭环：进展、难点、结果都会主动汇报，无需催促。</t>
        </is>
      </c>
      <c r="AG145" s="2" t="inlineStr">
        <is>
          <t>B.稳定器：做好自己，不给团队添乱，是可靠的一员。</t>
        </is>
      </c>
      <c r="AH145" s="2" t="inlineStr">
        <is>
          <t>B.懂得求助：在尝试后会及时向主管或同事反馈，寻求资源支持。</t>
        </is>
      </c>
      <c r="AI145" s="2" t="inlineStr">
        <is>
          <t>B. 配合接受：主管安排了就干，不推辞。</t>
        </is>
      </c>
      <c r="AJ145" s="2" t="inlineStr">
        <is>
          <t>A.越战越勇：能扛住压力，保持冷静，高效处理紧急事务。</t>
        </is>
      </c>
      <c r="AK145" s="2" t="inlineStr">
        <is>
          <t>B.照单全收：态度很好，虽然不一定完全理解，但会按要求改。</t>
        </is>
      </c>
      <c r="AL145" s="2" t="inlineStr">
        <is>
          <t>A.极速掌握：自学能力极强，很快就能成为该领域的“百晓生”。</t>
        </is>
      </c>
      <c r="AM145" s="2" t="inlineStr">
        <is>
          <t>A.总结达人：能把复杂工作写成标准 SOP，让新手直接用。</t>
        </is>
      </c>
      <c r="AN145" s="2" t="inlineStr">
        <is>
          <t>A.第一梯队（Top 10%）：部门的标杆。</t>
        </is>
      </c>
      <c r="AO145" s="2" t="inlineStr">
        <is>
          <t>B.业务骨干：是团队不可或缺的腰部力量。</t>
        </is>
      </c>
      <c r="AP145" s="2" t="inlineStr">
        <is>
          <t>B.有点可惜：是个好手，需要费心再找一个相同水准的。</t>
        </is>
      </c>
      <c r="AQ145" s="2" t="inlineStr">
        <is>
          <t>A</t>
        </is>
      </c>
      <c r="AR145" s="2" t="inlineStr">
        <is>
          <t>A</t>
        </is>
      </c>
      <c r="AS145" s="2" t="inlineStr">
        <is>
          <t>一致</t>
        </is>
      </c>
      <c r="AT145" s="2" t="inlineStr">
        <is>
          <t>A</t>
        </is>
      </c>
      <c r="AU145" s="2" t="inlineStr">
        <is>
          <t>5档</t>
        </is>
      </c>
      <c r="AV145" s="3" t="n">
        <v>9400</v>
      </c>
      <c r="AW145" s="3" t="n">
        <v>7520</v>
      </c>
      <c r="AX145" s="3" t="n">
        <v>11280</v>
      </c>
      <c r="AY145" s="2" t="inlineStr">
        <is>
          <t>B</t>
        </is>
      </c>
      <c r="AZ145" s="2" t="inlineStr">
        <is>
          <t>专业基础扎实</t>
        </is>
      </c>
      <c r="BA145" s="7" t="n">
        <v>3</v>
      </c>
      <c r="BB145" s="7" t="n">
        <v>5</v>
      </c>
      <c r="BC145" s="7" t="n">
        <v>5</v>
      </c>
      <c r="BD145" s="7" t="n">
        <v>5</v>
      </c>
      <c r="BE145" s="7" t="n">
        <v>5</v>
      </c>
      <c r="BF145" s="7" t="n">
        <v>3.5</v>
      </c>
      <c r="BG145" s="7" t="n">
        <v>4</v>
      </c>
      <c r="BH145" s="7" t="n">
        <v>3.5</v>
      </c>
      <c r="BI145" s="7" t="n">
        <v>5</v>
      </c>
      <c r="BJ145" s="7" t="n">
        <v>4</v>
      </c>
      <c r="BK145" s="7" t="n">
        <v>3</v>
      </c>
      <c r="BL145" s="7" t="n">
        <v>4</v>
      </c>
      <c r="BM145" s="7" t="n">
        <v>4</v>
      </c>
      <c r="BN145" s="7" t="n">
        <v>5</v>
      </c>
      <c r="BO145" s="7" t="n">
        <v>3</v>
      </c>
      <c r="BP145" s="7" t="n">
        <v>5</v>
      </c>
      <c r="BQ145" s="7" t="n">
        <v>5</v>
      </c>
      <c r="BR145" s="7" t="n">
        <v>5</v>
      </c>
      <c r="BS145" s="7" t="n">
        <v>4</v>
      </c>
      <c r="BT145" s="7" t="n">
        <v>4</v>
      </c>
      <c r="BU145" s="7" t="n">
        <v>85</v>
      </c>
      <c r="BV145" s="2" t="inlineStr">
        <is>
          <t>A.需要存在，不可去除</t>
        </is>
      </c>
      <c r="BW145" s="2"/>
      <c r="BX145" s="2"/>
      <c r="BY145" s="6">
        <f>HYPERLINK("https://www.h3yun.com/Form/Attachments/?schemacode=D148357733993cc00c048ad9898e53f5f82cbb9&amp;bizObjectId=575e4a7e-201f-405d-a14b-63502e5c0b44&amp;name=F0000016","点击查看")</f>
        <v>0</v>
      </c>
      <c r="BZ145" s="2" t="inlineStr">
        <is>
          <t>2026-05-07 14:45:22</t>
        </is>
      </c>
      <c r="CA145" s="2" t="inlineStr">
        <is>
          <t>A</t>
        </is>
      </c>
      <c r="CB145" s="2" t="inlineStr">
        <is>
          <t>未提交</t>
        </is>
      </c>
      <c r="CC145" s="2"/>
      <c r="CD145" s="2"/>
      <c r="CE145" s="2"/>
      <c r="CF145" s="2"/>
      <c r="CG145" s="2"/>
      <c r="CH145" s="2" t="inlineStr">
        <is>
          <t>已生效</t>
        </is>
      </c>
      <c r="CI145" s="2" t="inlineStr">
        <is>
          <t>772c86de-22b5-4bb7-82eb-c36b5c7814ce</t>
        </is>
      </c>
      <c r="CJ145" s="3" t="n">
        <v>1</v>
      </c>
      <c r="CK145" s="2" t="inlineStr">
        <is>
          <t>近三年至少担任过一个合同额1500万元以上项目相应岗位的主管</t>
        </is>
      </c>
      <c r="CL145" s="2" t="inlineStr">
        <is>
          <t>近三年至少担任过一个合同额1500万元以上项目相应岗位的主管</t>
        </is>
      </c>
      <c r="CM145" s="2" t="inlineStr">
        <is>
          <t>南化建司劳2017-1号文-南京南化建设有限公司施工一线专业序列人员分级管理规定</t>
        </is>
      </c>
      <c r="CN145" s="2" t="inlineStr">
        <is>
          <t>第三章第2条B类</t>
        </is>
      </c>
      <c r="CO145" s="2"/>
      <c r="CP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t="inlineStr">
        <is>
          <t>7a2461e6-1162-462c-8bc0-1674c52cc389</t>
        </is>
      </c>
      <c r="CJ146" s="3" t="n">
        <v>2</v>
      </c>
      <c r="CK146" s="2" t="inlineStr">
        <is>
          <t>公司二级单位或公司职能部门推荐</t>
        </is>
      </c>
      <c r="CL146" s="2" t="inlineStr">
        <is>
          <t>公司二级单位或公司职能部门推荐</t>
        </is>
      </c>
      <c r="CM146" s="2" t="inlineStr">
        <is>
          <t>南化建司劳2017-1号文-南京南化建设有限公司施工一线专业序列人员分级管理规定</t>
        </is>
      </c>
      <c r="CN146" s="2" t="inlineStr">
        <is>
          <t>第三章第2条B类</t>
        </is>
      </c>
      <c r="CO146" s="2"/>
      <c r="CP146" s="2"/>
    </row>
    <row r="147">
      <c r="A147" s="2" t="inlineStr">
        <is>
          <t>ed52867a-1436-4a8a-9b91-80631005f1ea</t>
        </is>
      </c>
      <c r="B147" s="2" t="inlineStr">
        <is>
          <t>B.满负荷，平时工作就很忙，偶尔因为非突发时间也要加班</t>
        </is>
      </c>
      <c r="C147" s="2" t="inlineStr">
        <is>
          <t>南京永利重工制造有限公司    殷玉善    女    孙书志</t>
        </is>
      </c>
      <c r="D147" s="2" t="inlineStr">
        <is>
          <t>Anonymous</t>
        </is>
      </c>
      <c r="E147" s="2" t="inlineStr">
        <is>
          <t>Anonymous</t>
        </is>
      </c>
      <c r="F147" s="2"/>
      <c r="G147" s="2" t="inlineStr">
        <is>
          <t>2026-05-25 10:56:15</t>
        </is>
      </c>
      <c r="H147" s="2" t="inlineStr">
        <is>
          <t>孙书志</t>
        </is>
      </c>
      <c r="I147" s="2" t="inlineStr">
        <is>
          <t>340822198902171674</t>
        </is>
      </c>
      <c r="J147" s="2" t="inlineStr">
        <is>
          <t>男</t>
        </is>
      </c>
      <c r="K147" s="2" t="inlineStr">
        <is>
          <t>南京永利重工制造有限公司</t>
        </is>
      </c>
      <c r="L147" s="2" t="inlineStr">
        <is>
          <t>2012-07-01</t>
        </is>
      </c>
      <c r="M147" s="2" t="inlineStr">
        <is>
          <t>安徽理工大学</t>
        </is>
      </c>
      <c r="N147" s="2" t="inlineStr">
        <is>
          <t>过控</t>
        </is>
      </c>
      <c r="O147" s="2" t="inlineStr">
        <is>
          <t>本科</t>
        </is>
      </c>
      <c r="P147" s="2" t="inlineStr">
        <is>
          <t>南京永利重工制造有限公司</t>
        </is>
      </c>
      <c r="Q147" s="2" t="inlineStr">
        <is>
          <t>殷玉善</t>
        </is>
      </c>
      <c r="R147" s="2" t="inlineStr">
        <is>
          <t>女</t>
        </is>
      </c>
      <c r="S147" s="2" t="inlineStr">
        <is>
          <t>2021-05-01</t>
        </is>
      </c>
      <c r="T147" s="2" t="inlineStr">
        <is>
          <t>辅助工种初级工</t>
        </is>
      </c>
      <c r="U147" s="2" t="inlineStr">
        <is>
          <t>中央广播电视大学</t>
        </is>
      </c>
      <c r="V147" s="2" t="inlineStr">
        <is>
          <t>其他</t>
        </is>
      </c>
      <c r="W147" s="2" t="inlineStr">
        <is>
          <t>大专</t>
        </is>
      </c>
      <c r="X147" s="2" t="inlineStr">
        <is>
          <t>B.按时推进：基本能卡着时间点完成，不掉链子。</t>
        </is>
      </c>
      <c r="Y147" s="2" t="inlineStr">
        <is>
          <t>B.基本稳定：偶有小瑕疵，但不影响整体使用。</t>
        </is>
      </c>
      <c r="Z147" s="2" t="inlineStr">
        <is>
          <t>B.比较省心：只需定期同步一下进度，不需要主管盯着细节，能独立把事情办成。</t>
        </is>
      </c>
      <c r="AA147" s="2" t="inlineStr">
        <is>
          <t>A.全局视野：了解上下游，能站在全业务链条考虑问题。</t>
        </is>
      </c>
      <c r="AB147" s="2" t="inlineStr">
        <is>
          <t>B.尽力而为：能解决大部分问题，解决不了的会及时求助。</t>
        </is>
      </c>
      <c r="AC147" s="2" t="inlineStr">
        <is>
          <t>A.模范标兵：严于律己，从未在琐事上让主管费心。</t>
        </is>
      </c>
      <c r="AD147" s="2" t="inlineStr">
        <is>
          <t>C.照章办事：给多少干多少，完全按老规矩来，从不思考变革</t>
        </is>
      </c>
      <c r="AE147" s="2" t="inlineStr">
        <is>
          <t>A.推进力极强：能搞定不同性格的人，让对方配合。</t>
        </is>
      </c>
      <c r="AF147" s="2" t="inlineStr">
        <is>
          <t>B.有问有答：问到时能说清楚进度，基本能做到及时反馈。</t>
        </is>
      </c>
      <c r="AG147" s="2" t="inlineStr">
        <is>
          <t>A.动力源：像小太阳，主动分享、帮人解惑，带活团队。</t>
        </is>
      </c>
      <c r="AH147" s="2" t="inlineStr">
        <is>
          <t>A.整合高手：能迅速找到能帮上忙的人和资源，借力打力解决问题。</t>
        </is>
      </c>
      <c r="AI147" s="2" t="inlineStr">
        <is>
          <t>B. 配合接受：主管安排了就干，不推辞。</t>
        </is>
      </c>
      <c r="AJ147" s="2" t="inlineStr">
        <is>
          <t>A.越战越勇：能扛住压力，保持冷静，高效处理紧急事务。</t>
        </is>
      </c>
      <c r="AK147" s="2" t="inlineStr">
        <is>
          <t>B.照单全收：态度很好，虽然不一定完全理解，但会按要求改。</t>
        </is>
      </c>
      <c r="AL147" s="2" t="inlineStr">
        <is>
          <t>A.极速掌握：自学能力极强，很快就能成为该领域的“百晓生”。</t>
        </is>
      </c>
      <c r="AM147" s="2" t="inlineStr">
        <is>
          <t>B.愿意传帮带：平时爱分享避坑指南，能带徒弟。</t>
        </is>
      </c>
      <c r="AN147" s="2" t="inlineStr">
        <is>
          <t>B.中上水平：高于平均线，是团队的中流砥柱。</t>
        </is>
      </c>
      <c r="AO147" s="2" t="inlineStr">
        <is>
          <t>B.业务骨干：是团队不可或缺的腰部力量。</t>
        </is>
      </c>
      <c r="AP147" s="2" t="inlineStr">
        <is>
          <t>A.晴天霹雳：极其遗憾，会不惜代价挽留，他是部门的支柱。</t>
        </is>
      </c>
      <c r="AQ147" s="2" t="inlineStr">
        <is>
          <t>A</t>
        </is>
      </c>
      <c r="AR147" s="2" t="inlineStr">
        <is>
          <t>A</t>
        </is>
      </c>
      <c r="AS147" s="2" t="inlineStr">
        <is>
          <t>一致</t>
        </is>
      </c>
      <c r="AT147" s="2" t="inlineStr">
        <is>
          <t>A</t>
        </is>
      </c>
      <c r="AU147" s="2"/>
      <c r="AV147" s="3"/>
      <c r="AW147" s="3"/>
      <c r="AX147" s="3"/>
      <c r="AY147" s="2" t="inlineStr">
        <is>
          <t>B</t>
        </is>
      </c>
      <c r="AZ147" s="2" t="inlineStr">
        <is>
          <t>1. 积极主动
2. 协调能力强
3. 数据专业性较强</t>
        </is>
      </c>
      <c r="BA147" s="7" t="n">
        <v>3</v>
      </c>
      <c r="BB147" s="7" t="n">
        <v>4</v>
      </c>
      <c r="BC147" s="7" t="n">
        <v>4</v>
      </c>
      <c r="BD147" s="7" t="n">
        <v>5</v>
      </c>
      <c r="BE147" s="7" t="n">
        <v>4</v>
      </c>
      <c r="BF147" s="7" t="n">
        <v>5</v>
      </c>
      <c r="BG147" s="7" t="n">
        <v>3</v>
      </c>
      <c r="BH147" s="7" t="n">
        <v>5</v>
      </c>
      <c r="BI147" s="7" t="n">
        <v>4</v>
      </c>
      <c r="BJ147" s="7" t="n">
        <v>5</v>
      </c>
      <c r="BK147" s="7" t="n">
        <v>5</v>
      </c>
      <c r="BL147" s="7" t="n">
        <v>4</v>
      </c>
      <c r="BM147" s="7" t="n">
        <v>4</v>
      </c>
      <c r="BN147" s="7" t="n">
        <v>5</v>
      </c>
      <c r="BO147" s="7" t="n">
        <v>3</v>
      </c>
      <c r="BP147" s="7" t="n">
        <v>5</v>
      </c>
      <c r="BQ147" s="7" t="n">
        <v>4</v>
      </c>
      <c r="BR147" s="7" t="n">
        <v>4</v>
      </c>
      <c r="BS147" s="7" t="n">
        <v>4</v>
      </c>
      <c r="BT147" s="7" t="n">
        <v>5</v>
      </c>
      <c r="BU147" s="7" t="n">
        <v>85</v>
      </c>
      <c r="BV147" s="2" t="inlineStr">
        <is>
          <t>A.需要存在，不可去除</t>
        </is>
      </c>
      <c r="BW147" s="2"/>
      <c r="BX147" s="2"/>
      <c r="BY147" s="6">
        <f>HYPERLINK("https://www.h3yun.com/Form/Attachments/?schemacode=D148357733993cc00c048ad9898e53f5f82cbb9&amp;bizObjectId=ed52867a-1436-4a8a-9b91-80631005f1ea&amp;name=F0000016","点击查看")</f>
        <v>0</v>
      </c>
      <c r="BZ147" s="2" t="inlineStr">
        <is>
          <t>2026-05-07 14:44:56</t>
        </is>
      </c>
      <c r="CA147" s="2" t="inlineStr">
        <is>
          <t>A</t>
        </is>
      </c>
      <c r="CB147" s="2" t="inlineStr">
        <is>
          <t>已提交</t>
        </is>
      </c>
      <c r="CC147" s="2" t="inlineStr">
        <is>
          <t>助理工程师--技术员职称证书</t>
        </is>
      </c>
      <c r="CD147" s="2" t="inlineStr">
        <is>
          <t>安全员C2</t>
        </is>
      </c>
      <c r="CE147" s="2" t="inlineStr">
        <is>
          <t>2021-2024年度连续4年优秀员工</t>
        </is>
      </c>
      <c r="CF147" s="2"/>
      <c r="CG147" s="2" t="inlineStr">
        <is>
          <t>410481198612118521</t>
        </is>
      </c>
      <c r="CH147" s="2" t="inlineStr">
        <is>
          <t>已生效</t>
        </is>
      </c>
      <c r="CI147" s="2" t="inlineStr">
        <is>
          <t>34d0e228-b1b5-425e-aeec-05e0dd3ca182</t>
        </is>
      </c>
      <c r="CJ147" s="3" t="n">
        <v>1</v>
      </c>
      <c r="CK147" s="2" t="inlineStr">
        <is>
          <t>近三年至少担任过一个合同额1500万元以上项目相应岗位的主管</t>
        </is>
      </c>
      <c r="CL147" s="2" t="inlineStr">
        <is>
          <t>近三年至少担任过一个合同额1500万元以上项目相应岗位的主管</t>
        </is>
      </c>
      <c r="CM147" s="2" t="inlineStr">
        <is>
          <t>南化建司劳2017-1号文-南京南化建设有限公司施工一线专业序列人员分级管理规定</t>
        </is>
      </c>
      <c r="CN147" s="2" t="inlineStr">
        <is>
          <t>第三章第2条B类</t>
        </is>
      </c>
      <c r="CO147" s="2"/>
      <c r="CP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t="inlineStr">
        <is>
          <t>40f26e6e-e826-4b75-b81a-8e74cc73b32e</t>
        </is>
      </c>
      <c r="CJ148" s="3" t="n">
        <v>2</v>
      </c>
      <c r="CK148" s="2" t="inlineStr">
        <is>
          <t>公司二级单位或公司职能部门推荐</t>
        </is>
      </c>
      <c r="CL148" s="2" t="inlineStr">
        <is>
          <t>公司二级单位或公司职能部门推荐</t>
        </is>
      </c>
      <c r="CM148" s="2" t="inlineStr">
        <is>
          <t>南化建司劳2017-1号文-南京南化建设有限公司施工一线专业序列人员分级管理规定</t>
        </is>
      </c>
      <c r="CN148" s="2" t="inlineStr">
        <is>
          <t>第三章第2条B类</t>
        </is>
      </c>
      <c r="CO148" s="2"/>
      <c r="CP148" s="2"/>
    </row>
    <row r="149">
      <c r="A149" s="2" t="inlineStr">
        <is>
          <t>c15051b8-dd2d-4eb8-8ce8-d97454cd1092</t>
        </is>
      </c>
      <c r="B149" s="2" t="inlineStr">
        <is>
          <t>B.满负荷，平时工作就很忙，偶尔因为非突发时间也要加班</t>
        </is>
      </c>
      <c r="C149" s="2" t="inlineStr">
        <is>
          <t>马来西亚分公司（国内采购）    顾文颖    女    刘念</t>
        </is>
      </c>
      <c r="D149" s="2" t="inlineStr">
        <is>
          <t>Anonymous</t>
        </is>
      </c>
      <c r="E149" s="2" t="inlineStr">
        <is>
          <t>Anonymous</t>
        </is>
      </c>
      <c r="F149" s="2"/>
      <c r="G149" s="2" t="inlineStr">
        <is>
          <t>2026-05-25 10:56:15</t>
        </is>
      </c>
      <c r="H149" s="2" t="inlineStr">
        <is>
          <t>刘念</t>
        </is>
      </c>
      <c r="I149" s="2" t="inlineStr">
        <is>
          <t>320111198911130830</t>
        </is>
      </c>
      <c r="J149" s="2" t="inlineStr">
        <is>
          <t>男</t>
        </is>
      </c>
      <c r="K149" s="2" t="inlineStr">
        <is>
          <t>技术中心</t>
        </is>
      </c>
      <c r="L149" s="2" t="inlineStr">
        <is>
          <t>2012-07-01</t>
        </is>
      </c>
      <c r="M149" s="2" t="inlineStr">
        <is>
          <t>常州大学</t>
        </is>
      </c>
      <c r="N149" s="2" t="inlineStr">
        <is>
          <t>化机</t>
        </is>
      </c>
      <c r="O149" s="2" t="inlineStr">
        <is>
          <t>本科</t>
        </is>
      </c>
      <c r="P149" s="2" t="inlineStr">
        <is>
          <t>马来西亚分公司（国内采购）</t>
        </is>
      </c>
      <c r="Q149" s="2" t="inlineStr">
        <is>
          <t>顾文颖</t>
        </is>
      </c>
      <c r="R149" s="2" t="inlineStr">
        <is>
          <t>女</t>
        </is>
      </c>
      <c r="S149" s="2" t="inlineStr">
        <is>
          <t>2019-08-01</t>
        </is>
      </c>
      <c r="T149" s="2" t="inlineStr">
        <is>
          <t>专业工程师</t>
        </is>
      </c>
      <c r="U149" s="2" t="inlineStr">
        <is>
          <t>南京艺术学院</t>
        </is>
      </c>
      <c r="V149" s="2" t="inlineStr">
        <is>
          <t>其他</t>
        </is>
      </c>
      <c r="W149" s="2" t="inlineStr">
        <is>
          <t>本科</t>
        </is>
      </c>
      <c r="X149" s="2" t="inlineStr">
        <is>
          <t>B.按时推进：基本能卡着时间点完成，不掉链子。</t>
        </is>
      </c>
      <c r="Y149" s="2" t="inlineStr">
        <is>
          <t>B.基本稳定：偶有小瑕疵，但不影响整体使用。</t>
        </is>
      </c>
      <c r="Z149" s="2" t="inlineStr">
        <is>
          <t>B.比较省心：只需定期同步一下进度，不需要主管盯着细节，能独立把事情办成。</t>
        </is>
      </c>
      <c r="AA149" s="2" t="inlineStr">
        <is>
          <t>B.清楚岗位：对自己岗位的活儿很门清，略知上下游。</t>
        </is>
      </c>
      <c r="AB149" s="2" t="inlineStr">
        <is>
          <t>B.尽力而为：能解决大部分问题，解决不了的会及时求助。</t>
        </is>
      </c>
      <c r="AC149" s="2" t="inlineStr">
        <is>
          <t>B.基本合规：偶尔迟到或忘打卡，提醒后能迅速改正。</t>
        </is>
      </c>
      <c r="AD149" s="2" t="inlineStr">
        <is>
          <t>B.偶尔思考：在主管启发下，能提出一些优化想法</t>
        </is>
      </c>
      <c r="AE149" s="2" t="inlineStr">
        <is>
          <t>B.正常沟通：能清晰表达需求，维持基本的协作。</t>
        </is>
      </c>
      <c r="AF149" s="2" t="inlineStr">
        <is>
          <t>B.有问有答：问到时能说清楚进度，基本能做到及时反馈。</t>
        </is>
      </c>
      <c r="AG149" s="2" t="inlineStr">
        <is>
          <t>B.稳定器：做好自己，不给团队添乱，是可靠的一员。</t>
        </is>
      </c>
      <c r="AH149" s="2" t="inlineStr">
        <is>
          <t>A.整合高手：能迅速找到能帮上忙的人和资源，借力打力解决问题。</t>
        </is>
      </c>
      <c r="AI149" s="2" t="inlineStr">
        <is>
          <t>B. 配合接受：主管安排了就干，不推辞。</t>
        </is>
      </c>
      <c r="AJ149" s="2" t="inlineStr">
        <is>
          <t>B.配合度高：虽然有压力，但能服从大局，咬牙顶上去，且质量尚可。</t>
        </is>
      </c>
      <c r="AK149" s="2" t="inlineStr">
        <is>
          <t>A.虚心求教：能听进去，并积极探讨更科学的方法。</t>
        </is>
      </c>
      <c r="AL149" s="2" t="inlineStr">
        <is>
          <t>A.极速掌握：自学能力极强，很快就能成为该领域的“百晓生”。</t>
        </is>
      </c>
      <c r="AM149" s="2" t="inlineStr">
        <is>
          <t>A.总结达人：能把复杂工作写成标准 SOP，让新手直接用。</t>
        </is>
      </c>
      <c r="AN149" s="2" t="inlineStr">
        <is>
          <t>B.中上水平：高于平均线，是团队的中流砥柱。</t>
        </is>
      </c>
      <c r="AO149" s="2" t="inlineStr">
        <is>
          <t>B.业务骨干：是团队不可或缺的腰部力量。</t>
        </is>
      </c>
      <c r="AP149" s="2" t="inlineStr">
        <is>
          <t>A.晴天霹雳：极其遗憾，会不惜代价挽留，他是部门的支柱。</t>
        </is>
      </c>
      <c r="AQ149" s="2" t="inlineStr">
        <is>
          <t>B</t>
        </is>
      </c>
      <c r="AR149" s="2" t="inlineStr">
        <is>
          <t>A</t>
        </is>
      </c>
      <c r="AS149" s="2" t="inlineStr">
        <is>
          <t>不一致</t>
        </is>
      </c>
      <c r="AT149" s="2" t="inlineStr">
        <is>
          <t>A</t>
        </is>
      </c>
      <c r="AU149" s="2" t="inlineStr">
        <is>
          <t>3档</t>
        </is>
      </c>
      <c r="AV149" s="3" t="n">
        <v>9000</v>
      </c>
      <c r="AW149" s="3" t="n">
        <v>7200</v>
      </c>
      <c r="AX149" s="3" t="n">
        <v>10800</v>
      </c>
      <c r="AY149" s="2" t="inlineStr">
        <is>
          <t>B</t>
        </is>
      </c>
      <c r="AZ149" s="2" t="inlineStr">
        <is>
          <t>优秀</t>
        </is>
      </c>
      <c r="BA149" s="7" t="n">
        <v>3</v>
      </c>
      <c r="BB149" s="7" t="n">
        <v>4</v>
      </c>
      <c r="BC149" s="7" t="n">
        <v>4</v>
      </c>
      <c r="BD149" s="7" t="n">
        <v>4</v>
      </c>
      <c r="BE149" s="7" t="n">
        <v>4</v>
      </c>
      <c r="BF149" s="7" t="n">
        <v>3.5</v>
      </c>
      <c r="BG149" s="7" t="n">
        <v>4</v>
      </c>
      <c r="BH149" s="7" t="n">
        <v>3.5</v>
      </c>
      <c r="BI149" s="7" t="n">
        <v>4</v>
      </c>
      <c r="BJ149" s="7" t="n">
        <v>4</v>
      </c>
      <c r="BK149" s="7" t="n">
        <v>5</v>
      </c>
      <c r="BL149" s="7" t="n">
        <v>4</v>
      </c>
      <c r="BM149" s="7" t="n">
        <v>4</v>
      </c>
      <c r="BN149" s="7" t="n">
        <v>4</v>
      </c>
      <c r="BO149" s="7" t="n">
        <v>5</v>
      </c>
      <c r="BP149" s="7" t="n">
        <v>5</v>
      </c>
      <c r="BQ149" s="7" t="n">
        <v>5</v>
      </c>
      <c r="BR149" s="7" t="n">
        <v>4</v>
      </c>
      <c r="BS149" s="7" t="n">
        <v>4</v>
      </c>
      <c r="BT149" s="7" t="n">
        <v>5</v>
      </c>
      <c r="BU149" s="7" t="n">
        <v>83</v>
      </c>
      <c r="BV149" s="2" t="inlineStr">
        <is>
          <t>A.需要存在，不可去除</t>
        </is>
      </c>
      <c r="BW149" s="2"/>
      <c r="BX149" s="2"/>
      <c r="BY149" s="6">
        <f>HYPERLINK("https://www.h3yun.com/Form/Attachments/?schemacode=D148357733993cc00c048ad9898e53f5f82cbb9&amp;bizObjectId=c15051b8-dd2d-4eb8-8ce8-d97454cd1092&amp;name=F0000016","点击查看")</f>
        <v>0</v>
      </c>
      <c r="BZ149" s="2" t="inlineStr">
        <is>
          <t>2026-05-07 14:35:26</t>
        </is>
      </c>
      <c r="CA149" s="2" t="inlineStr">
        <is>
          <t>A</t>
        </is>
      </c>
      <c r="CB149" s="2" t="inlineStr">
        <is>
          <t>已提交</t>
        </is>
      </c>
      <c r="CC149" s="2" t="inlineStr">
        <is>
          <t>工程师</t>
        </is>
      </c>
      <c r="CD149" s="2" t="inlineStr">
        <is>
          <t>无</t>
        </is>
      </c>
      <c r="CE149" s="2" t="inlineStr">
        <is>
          <t>2023年度优秀员工</t>
        </is>
      </c>
      <c r="CF149" s="2"/>
      <c r="CG149" s="2" t="inlineStr">
        <is>
          <t>32108819960425612X</t>
        </is>
      </c>
      <c r="CH149" s="2" t="inlineStr">
        <is>
          <t>已生效</t>
        </is>
      </c>
      <c r="CI149" s="2" t="inlineStr">
        <is>
          <t>85936f48-cd7d-4fa6-9076-3007fffc8ce8</t>
        </is>
      </c>
      <c r="CJ149" s="3" t="n">
        <v>1</v>
      </c>
      <c r="CK149" s="2" t="inlineStr">
        <is>
          <t>近三年至少担任过一个合同额1500万元以上项目相应岗位的主管</t>
        </is>
      </c>
      <c r="CL149" s="2" t="inlineStr">
        <is>
          <t>近三年至少担任过一个合同额1500万元以上项目相应岗位的主管</t>
        </is>
      </c>
      <c r="CM149" s="2" t="inlineStr">
        <is>
          <t>南化建司劳2017-1号文-南京南化建设有限公司施工一线专业序列人员分级管理规定</t>
        </is>
      </c>
      <c r="CN149" s="2" t="inlineStr">
        <is>
          <t>第三章第2条B类</t>
        </is>
      </c>
      <c r="CO149" s="2"/>
      <c r="CP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t="inlineStr">
        <is>
          <t>dc7e8198-ce9e-4861-a114-2ae3237bdb13</t>
        </is>
      </c>
      <c r="CJ150" s="3" t="n">
        <v>2</v>
      </c>
      <c r="CK150" s="2" t="inlineStr">
        <is>
          <t>公司二级单位或公司职能部门推荐</t>
        </is>
      </c>
      <c r="CL150" s="2" t="inlineStr">
        <is>
          <t>公司二级单位或公司职能部门推荐</t>
        </is>
      </c>
      <c r="CM150" s="2" t="inlineStr">
        <is>
          <t>南化建司劳2017-1号文-南京南化建设有限公司施工一线专业序列人员分级管理规定</t>
        </is>
      </c>
      <c r="CN150" s="2" t="inlineStr">
        <is>
          <t>第三章第2条B类</t>
        </is>
      </c>
      <c r="CO150" s="2"/>
      <c r="CP150" s="2"/>
    </row>
    <row r="151">
      <c r="A151" s="2" t="inlineStr">
        <is>
          <t>58be09f2-95b2-4335-b831-0e6f2343d01a</t>
        </is>
      </c>
      <c r="B151" s="2" t="inlineStr">
        <is>
          <t>C.均衡，工作负荷一般，按部就班完成工作，除了突发时间几乎不用加班</t>
        </is>
      </c>
      <c r="C151" s="2" t="inlineStr">
        <is>
          <t>山东分公司    吴有鹏    男    张威</t>
        </is>
      </c>
      <c r="D151" s="2" t="inlineStr">
        <is>
          <t>Anonymous</t>
        </is>
      </c>
      <c r="E151" s="2" t="inlineStr">
        <is>
          <t>Anonymous</t>
        </is>
      </c>
      <c r="F151" s="2"/>
      <c r="G151" s="2" t="inlineStr">
        <is>
          <t>2026-05-25 10:56:15</t>
        </is>
      </c>
      <c r="H151" s="2" t="inlineStr">
        <is>
          <t>张威</t>
        </is>
      </c>
      <c r="I151" s="2" t="inlineStr">
        <is>
          <t>321027198912083075</t>
        </is>
      </c>
      <c r="J151" s="2" t="inlineStr">
        <is>
          <t>男</t>
        </is>
      </c>
      <c r="K151" s="2" t="inlineStr">
        <is>
          <t>技术中心</t>
        </is>
      </c>
      <c r="L151" s="2" t="inlineStr">
        <is>
          <t>2012-07-01</t>
        </is>
      </c>
      <c r="M151" s="2" t="inlineStr">
        <is>
          <t>常州大学</t>
        </is>
      </c>
      <c r="N151" s="2" t="inlineStr">
        <is>
          <t>过控</t>
        </is>
      </c>
      <c r="O151" s="2" t="inlineStr">
        <is>
          <t>本科</t>
        </is>
      </c>
      <c r="P151" s="2" t="inlineStr">
        <is>
          <t>山东分公司</t>
        </is>
      </c>
      <c r="Q151" s="2" t="inlineStr">
        <is>
          <t>吴有鹏</t>
        </is>
      </c>
      <c r="R151" s="2" t="inlineStr">
        <is>
          <t>男</t>
        </is>
      </c>
      <c r="S151" s="2" t="inlineStr">
        <is>
          <t>2017-08-01</t>
        </is>
      </c>
      <c r="T151" s="2" t="inlineStr">
        <is>
          <t>专业工程师</t>
        </is>
      </c>
      <c r="U151" s="2" t="inlineStr">
        <is>
          <t>淮海工学院</t>
        </is>
      </c>
      <c r="V151" s="2" t="inlineStr">
        <is>
          <t>电气</t>
        </is>
      </c>
      <c r="W151" s="2" t="inlineStr">
        <is>
          <t>本科</t>
        </is>
      </c>
      <c r="X151" s="2" t="inlineStr">
        <is>
          <t>B.按时推进：基本能卡着时间点完成，不掉链子。</t>
        </is>
      </c>
      <c r="Y151" s="2" t="inlineStr">
        <is>
          <t>B.基本稳定：偶有小瑕疵，但不影响整体使用。</t>
        </is>
      </c>
      <c r="Z151" s="2" t="inlineStr">
        <is>
          <t>C.正常跟进：需要主管盯着节点、偶尔提醒进度，或者在跑偏时帮着拽回来。</t>
        </is>
      </c>
      <c r="AA151" s="2" t="inlineStr">
        <is>
          <t>B.清楚岗位：对自己岗位的活儿很门清，略知上下游。</t>
        </is>
      </c>
      <c r="AB151" s="2" t="inlineStr">
        <is>
          <t>B.尽力而为：能解决大部分问题，解决不了的会及时求助。</t>
        </is>
      </c>
      <c r="AC151" s="2" t="inlineStr">
        <is>
          <t>A.模范标兵：严于律己，从未在琐事上让主管费心。</t>
        </is>
      </c>
      <c r="AD151" s="2" t="inlineStr">
        <is>
          <t>C.照章办事：给多少干多少，完全按老规矩来，从不思考变革</t>
        </is>
      </c>
      <c r="AE151" s="2" t="inlineStr">
        <is>
          <t>C.沟通被动：你不催他不去，去了也带不回明确结果。</t>
        </is>
      </c>
      <c r="AF151" s="2" t="inlineStr">
        <is>
          <t>C.偶尔断片：答应得好好的，但中间不反馈，非得主管去追。</t>
        </is>
      </c>
      <c r="AG151" s="2" t="inlineStr">
        <is>
          <t>B.稳定器：做好自己，不给团队添乱，是可靠的一员。</t>
        </is>
      </c>
      <c r="AH151" s="2" t="inlineStr">
        <is>
          <t>B.懂得求助：在尝试后会及时向主管或同事反馈，寻求资源支持。</t>
        </is>
      </c>
      <c r="AI151" s="2" t="inlineStr">
        <is>
          <t>B. 配合接受：主管安排了就干，不推辞。</t>
        </is>
      </c>
      <c r="AJ151" s="2" t="inlineStr">
        <is>
          <t>C.较为配合：不抱怨，但压力较大时，工作质量会随之下滑。</t>
        </is>
      </c>
      <c r="AK151" s="2" t="inlineStr">
        <is>
          <t>B.照单全收：态度很好，虽然不一定完全理解，但会按要求改。</t>
        </is>
      </c>
      <c r="AL151" s="2" t="inlineStr">
        <is>
          <t>C.慢工细活：需要反复教，掌握过程比较吃力。</t>
        </is>
      </c>
      <c r="AM151" s="2" t="inlineStr">
        <is>
          <t>C.技能私有：自己干得好也愿意分享，但是不会总结或讲不出来。</t>
        </is>
      </c>
      <c r="AN151" s="2" t="inlineStr">
        <is>
          <t>C.中规中矩：刚好达标，替代性较强。</t>
        </is>
      </c>
      <c r="AO151" s="2" t="inlineStr">
        <is>
          <t>C.熟练工：能胜任重复性工作，但很难承担更高阶的挑战。</t>
        </is>
      </c>
      <c r="AP151" s="2" t="inlineStr">
        <is>
          <t>C.正常更替：走就走吧，招个新人培养一下也没什么区别。</t>
        </is>
      </c>
      <c r="AQ151" s="2" t="inlineStr">
        <is>
          <t>C</t>
        </is>
      </c>
      <c r="AR151" s="2" t="inlineStr">
        <is>
          <t>C</t>
        </is>
      </c>
      <c r="AS151" s="2" t="inlineStr">
        <is>
          <t>一致</t>
        </is>
      </c>
      <c r="AT151" s="2" t="inlineStr">
        <is>
          <t>C</t>
        </is>
      </c>
      <c r="AU151" s="2"/>
      <c r="AV151" s="3"/>
      <c r="AW151" s="3"/>
      <c r="AX151" s="3"/>
      <c r="AY151" s="2" t="inlineStr">
        <is>
          <t>D</t>
        </is>
      </c>
      <c r="AZ151" s="2" t="inlineStr">
        <is>
          <t>需增强自主专研学习能力，增强管道专业知识储备</t>
        </is>
      </c>
      <c r="BA151" s="7" t="n">
        <v>3</v>
      </c>
      <c r="BB151" s="7" t="n">
        <v>4</v>
      </c>
      <c r="BC151" s="7" t="n">
        <v>3</v>
      </c>
      <c r="BD151" s="7" t="n">
        <v>4</v>
      </c>
      <c r="BE151" s="7" t="n">
        <v>4</v>
      </c>
      <c r="BF151" s="7" t="n">
        <v>5</v>
      </c>
      <c r="BG151" s="7" t="n">
        <v>3</v>
      </c>
      <c r="BH151" s="7" t="n">
        <v>1</v>
      </c>
      <c r="BI151" s="7" t="n">
        <v>2</v>
      </c>
      <c r="BJ151" s="7" t="n">
        <v>4</v>
      </c>
      <c r="BK151" s="7" t="n">
        <v>3</v>
      </c>
      <c r="BL151" s="7" t="n">
        <v>4</v>
      </c>
      <c r="BM151" s="7" t="n">
        <v>3</v>
      </c>
      <c r="BN151" s="7" t="n">
        <v>3</v>
      </c>
      <c r="BO151" s="7" t="n">
        <v>3</v>
      </c>
      <c r="BP151" s="7" t="n">
        <v>2</v>
      </c>
      <c r="BQ151" s="7" t="n">
        <v>2</v>
      </c>
      <c r="BR151" s="7" t="n">
        <v>3</v>
      </c>
      <c r="BS151" s="7" t="n">
        <v>3</v>
      </c>
      <c r="BT151" s="7" t="n">
        <v>3</v>
      </c>
      <c r="BU151" s="7" t="n">
        <v>62</v>
      </c>
      <c r="BV151" s="2" t="inlineStr">
        <is>
          <t>B.存不存在均可</t>
        </is>
      </c>
      <c r="BW151" s="2"/>
      <c r="BX151" s="2"/>
      <c r="BY151" s="6">
        <f>HYPERLINK("https://www.h3yun.com/Form/Attachments/?schemacode=D148357733993cc00c048ad9898e53f5f82cbb9&amp;bizObjectId=58be09f2-95b2-4335-b831-0e6f2343d01a&amp;name=F0000016","点击查看")</f>
        <v>0</v>
      </c>
      <c r="BZ151" s="2" t="inlineStr">
        <is>
          <t>2026-05-07 14:31:52</t>
        </is>
      </c>
      <c r="CA151" s="2" t="inlineStr">
        <is>
          <t>C</t>
        </is>
      </c>
      <c r="CB151" s="2" t="inlineStr">
        <is>
          <t>已提交</t>
        </is>
      </c>
      <c r="CC151" s="2" t="inlineStr">
        <is>
          <t>工程师</t>
        </is>
      </c>
      <c r="CD151" s="2" t="inlineStr">
        <is>
          <t>质检员</t>
        </is>
      </c>
      <c r="CE151" s="2" t="inlineStr">
        <is>
          <t>无</t>
        </is>
      </c>
      <c r="CF151" s="2"/>
      <c r="CG151" s="2" t="inlineStr">
        <is>
          <t>320125199410101014</t>
        </is>
      </c>
      <c r="CH151" s="2" t="inlineStr">
        <is>
          <t>已生效</t>
        </is>
      </c>
      <c r="CI151" s="2" t="inlineStr">
        <is>
          <t>0cfbcf99-b7ea-454f-bf7f-bba4bb7c69f9</t>
        </is>
      </c>
      <c r="CJ151" s="3" t="n">
        <v>1</v>
      </c>
      <c r="CK151" s="2" t="inlineStr">
        <is>
          <t>该成员存在一线工作履历</t>
        </is>
      </c>
      <c r="CL151" s="2" t="inlineStr">
        <is>
          <t>该成员存在一线工作履历</t>
        </is>
      </c>
      <c r="CM151" s="2" t="inlineStr">
        <is>
          <t>南化建司劳2017-1号文-南京南化建设有限公司施工一线专业序列人员分级管理规定</t>
        </is>
      </c>
      <c r="CN151" s="2" t="inlineStr">
        <is>
          <t>第三章第6条D类</t>
        </is>
      </c>
      <c r="CO151" s="2"/>
      <c r="CP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t="inlineStr">
        <is>
          <t>8f221dab-1208-4f60-b69a-c1e0a73e398e</t>
        </is>
      </c>
      <c r="CJ152" s="3" t="n">
        <v>2</v>
      </c>
      <c r="CK152" s="2" t="inlineStr">
        <is>
          <t>近五年内该成员存在一线工作履历</t>
        </is>
      </c>
      <c r="CL152" s="2" t="inlineStr">
        <is>
          <t>近五年内该成员存在一线工作履历</t>
        </is>
      </c>
      <c r="CM152" s="2" t="inlineStr">
        <is>
          <t>南化建司劳2017-1号文-南京南化建设有限公司施工一线专业序列人员分级管理规定</t>
        </is>
      </c>
      <c r="CN152" s="2" t="inlineStr">
        <is>
          <t>第三章第6条D类</t>
        </is>
      </c>
      <c r="CO152" s="2"/>
      <c r="CP152" s="2"/>
    </row>
    <row r="153">
      <c r="A153" s="2" t="inlineStr">
        <is>
          <t>9c7d351d-6360-4af5-8b97-1bed4fefa9ce</t>
        </is>
      </c>
      <c r="B153" s="2" t="inlineStr">
        <is>
          <t>B.满负荷，平时工作就很忙，偶尔因为非突发时间也要加班</t>
        </is>
      </c>
      <c r="C153" s="2" t="inlineStr">
        <is>
          <t>人力资源部    蔡婷婷    女    张香梅</t>
        </is>
      </c>
      <c r="D153" s="2" t="inlineStr">
        <is>
          <t>Anonymous</t>
        </is>
      </c>
      <c r="E153" s="2" t="inlineStr">
        <is>
          <t>Anonymous</t>
        </is>
      </c>
      <c r="F153" s="2"/>
      <c r="G153" s="2" t="inlineStr">
        <is>
          <t>2026-05-25 10:56:15</t>
        </is>
      </c>
      <c r="H153" s="2" t="inlineStr">
        <is>
          <t>张香梅</t>
        </is>
      </c>
      <c r="I153" s="2" t="inlineStr">
        <is>
          <t>610404197502101024</t>
        </is>
      </c>
      <c r="J153" s="2" t="inlineStr">
        <is>
          <t>女</t>
        </is>
      </c>
      <c r="K153" s="2" t="inlineStr">
        <is>
          <t>人力资源部</t>
        </is>
      </c>
      <c r="L153" s="2" t="inlineStr">
        <is>
          <t>1995-08-31</t>
        </is>
      </c>
      <c r="M153" s="2" t="inlineStr">
        <is>
          <t>江苏省自学考试中心</t>
        </is>
      </c>
      <c r="N153" s="2" t="inlineStr">
        <is>
          <t>其他</t>
        </is>
      </c>
      <c r="O153" s="2" t="inlineStr">
        <is>
          <t>大专</t>
        </is>
      </c>
      <c r="P153" s="2" t="inlineStr">
        <is>
          <t>人力资源部</t>
        </is>
      </c>
      <c r="Q153" s="2" t="inlineStr">
        <is>
          <t>蔡婷婷</t>
        </is>
      </c>
      <c r="R153" s="2" t="inlineStr">
        <is>
          <t>女</t>
        </is>
      </c>
      <c r="S153" s="2" t="inlineStr">
        <is>
          <t>2013-08-01</t>
        </is>
      </c>
      <c r="T153" s="2" t="inlineStr">
        <is>
          <t>专业工程师</t>
        </is>
      </c>
      <c r="U153" s="2" t="inlineStr">
        <is>
          <t>南京化工职业技术学院</t>
        </is>
      </c>
      <c r="V153" s="2" t="inlineStr">
        <is>
          <t>其他</t>
        </is>
      </c>
      <c r="W153" s="2" t="inlineStr">
        <is>
          <t>大专</t>
        </is>
      </c>
      <c r="X153" s="2" t="inlineStr">
        <is>
          <t>B.按时推进：基本能卡着时间点完成，不掉链子。</t>
        </is>
      </c>
      <c r="Y153" s="2" t="inlineStr">
        <is>
          <t>B.基本稳定：偶有小瑕疵，但不影响整体使用。</t>
        </is>
      </c>
      <c r="Z153" s="2" t="inlineStr">
        <is>
          <t>B.比较省心：只需定期同步一下进度，不需要主管盯着细节，能独立把事情办成。</t>
        </is>
      </c>
      <c r="AA153" s="2" t="inlineStr">
        <is>
          <t>A.全局视野：了解上下游，能站在全业务链条考虑问题。</t>
        </is>
      </c>
      <c r="AB153" s="2" t="inlineStr">
        <is>
          <t>A.攻坚克难：会想尽一切办法钻研，直至彻底解决。</t>
        </is>
      </c>
      <c r="AC153" s="2" t="inlineStr">
        <is>
          <t>A.模范标兵：严于律己，从未在琐事上让主管费心。</t>
        </is>
      </c>
      <c r="AD153" s="2" t="inlineStr">
        <is>
          <t>B.偶尔思考：在主管启发下，能提出一些优化想法</t>
        </is>
      </c>
      <c r="AE153" s="2" t="inlineStr">
        <is>
          <t>A.推进力极强：能搞定不同性格的人，让对方配合。</t>
        </is>
      </c>
      <c r="AF153" s="2" t="inlineStr">
        <is>
          <t>A.完美闭环：进展、难点、结果都会主动汇报，无需催促。</t>
        </is>
      </c>
      <c r="AG153" s="2" t="inlineStr">
        <is>
          <t>B.稳定器：做好自己，不给团队添乱，是可靠的一员。</t>
        </is>
      </c>
      <c r="AH153" s="2" t="inlineStr">
        <is>
          <t>A.整合高手：能迅速找到能帮上忙的人和资源，借力打力解决问题。</t>
        </is>
      </c>
      <c r="AI153" s="2" t="inlineStr">
        <is>
          <t>B. 配合接受：主管安排了就干，不推辞。</t>
        </is>
      </c>
      <c r="AJ153" s="2" t="inlineStr">
        <is>
          <t>B.配合度高：虽然有压力，但能服从大局，咬牙顶上去，且质量尚可。</t>
        </is>
      </c>
      <c r="AK153" s="2" t="inlineStr">
        <is>
          <t>B.照单全收：态度很好，虽然不一定完全理解，但会按要求改。</t>
        </is>
      </c>
      <c r="AL153" s="2" t="inlineStr">
        <is>
          <t>A.极速掌握：自学能力极强，很快就能成为该领域的“百晓生”。</t>
        </is>
      </c>
      <c r="AM153" s="2" t="inlineStr">
        <is>
          <t>A.总结达人：能把复杂工作写成标准 SOP，让新手直接用。</t>
        </is>
      </c>
      <c r="AN153" s="2" t="inlineStr">
        <is>
          <t>A.第一梯队（Top 10%）：部门的标杆。</t>
        </is>
      </c>
      <c r="AO153" s="2" t="inlineStr">
        <is>
          <t>B.业务骨干：是团队不可或缺的腰部力量。</t>
        </is>
      </c>
      <c r="AP153" s="2" t="inlineStr">
        <is>
          <t>B.有点可惜：是个好手，需要费心再找一个相同水准的。</t>
        </is>
      </c>
      <c r="AQ153" s="2" t="inlineStr">
        <is>
          <t>A</t>
        </is>
      </c>
      <c r="AR153" s="2" t="inlineStr">
        <is>
          <t>B</t>
        </is>
      </c>
      <c r="AS153" s="2" t="inlineStr">
        <is>
          <t>不一致</t>
        </is>
      </c>
      <c r="AT153" s="2" t="inlineStr">
        <is>
          <t>B</t>
        </is>
      </c>
      <c r="AU153" s="2" t="inlineStr">
        <is>
          <t>2档</t>
        </is>
      </c>
      <c r="AV153" s="3" t="n">
        <v>7800</v>
      </c>
      <c r="AW153" s="3" t="n">
        <v>6240</v>
      </c>
      <c r="AX153" s="3" t="n">
        <v>9360</v>
      </c>
      <c r="AY153" s="2" t="inlineStr">
        <is>
          <t>C</t>
        </is>
      </c>
      <c r="AZ153" s="2" t="inlineStr">
        <is>
          <t>该员工 2013 年入职，先后任职项目部材料员，2017 年转入人力资源部从事劳资管理工作。该员工踏实勤勉、责任心强，主动适应岗位调整，刻苦钻研薪酬核算、考勤管理、劳资统筹等专业业务，业务功底扎实，数据核对严谨细致，工作流程规范高效，各项工作落实到位。其为人谦和务实，服从工作安排，沟通协调顺畅，团队协作意识良好，待人友善，主动配合完成各项工作。日常严守公司规章制度，作风稳重严谨，长期稳步提升业务能力，履职尽责、踏实肯干，综合素养优秀，是部门靠谱稳定的骨干人员。</t>
        </is>
      </c>
      <c r="BA153" s="7" t="n">
        <v>3</v>
      </c>
      <c r="BB153" s="7" t="n">
        <v>4</v>
      </c>
      <c r="BC153" s="7" t="n">
        <v>4</v>
      </c>
      <c r="BD153" s="7" t="n">
        <v>5</v>
      </c>
      <c r="BE153" s="7" t="n">
        <v>5</v>
      </c>
      <c r="BF153" s="7" t="n">
        <v>5</v>
      </c>
      <c r="BG153" s="7" t="n">
        <v>4</v>
      </c>
      <c r="BH153" s="7" t="n">
        <v>5</v>
      </c>
      <c r="BI153" s="7" t="n">
        <v>5</v>
      </c>
      <c r="BJ153" s="7" t="n">
        <v>4</v>
      </c>
      <c r="BK153" s="7" t="n">
        <v>5</v>
      </c>
      <c r="BL153" s="7" t="n">
        <v>4</v>
      </c>
      <c r="BM153" s="7" t="n">
        <v>4</v>
      </c>
      <c r="BN153" s="7" t="n">
        <v>4</v>
      </c>
      <c r="BO153" s="7" t="n">
        <v>3</v>
      </c>
      <c r="BP153" s="7" t="n">
        <v>5</v>
      </c>
      <c r="BQ153" s="7" t="n">
        <v>5</v>
      </c>
      <c r="BR153" s="7" t="n">
        <v>5</v>
      </c>
      <c r="BS153" s="7" t="n">
        <v>4</v>
      </c>
      <c r="BT153" s="7" t="n">
        <v>4</v>
      </c>
      <c r="BU153" s="7" t="n">
        <v>87</v>
      </c>
      <c r="BV153" s="2" t="inlineStr">
        <is>
          <t>A.需要存在，不可去除</t>
        </is>
      </c>
      <c r="BW153" s="2"/>
      <c r="BX153" s="2"/>
      <c r="BY153" s="6">
        <f>HYPERLINK("https://www.h3yun.com/Form/Attachments/?schemacode=D148357733993cc00c048ad9898e53f5f82cbb9&amp;bizObjectId=9c7d351d-6360-4af5-8b97-1bed4fefa9ce&amp;name=F0000016","点击查看")</f>
        <v>0</v>
      </c>
      <c r="BZ153" s="2" t="inlineStr">
        <is>
          <t>2026-05-07 14:28:07</t>
        </is>
      </c>
      <c r="CA153" s="2" t="inlineStr">
        <is>
          <t>B</t>
        </is>
      </c>
      <c r="CB153" s="2" t="inlineStr">
        <is>
          <t>已提交</t>
        </is>
      </c>
      <c r="CC153" s="2" t="inlineStr">
        <is>
          <t>经济师（人力资源管理师）</t>
        </is>
      </c>
      <c r="CD153" s="2" t="inlineStr">
        <is>
          <t>无</t>
        </is>
      </c>
      <c r="CE153" s="2" t="inlineStr">
        <is>
          <t>无</t>
        </is>
      </c>
      <c r="CF153" s="2"/>
      <c r="CG153" s="2" t="inlineStr">
        <is>
          <t>320112199112050827</t>
        </is>
      </c>
      <c r="CH153" s="2" t="inlineStr">
        <is>
          <t>已生效</t>
        </is>
      </c>
      <c r="CI153" s="2" t="inlineStr">
        <is>
          <t>85c23e85-cdc0-4623-bae3-ecb05ac4efd8</t>
        </is>
      </c>
      <c r="CJ153" s="3" t="n">
        <v>1</v>
      </c>
      <c r="CK153" s="2" t="inlineStr">
        <is>
          <t>近三年至少担任过一个合同额1000万元以上项目相应岗位的主管</t>
        </is>
      </c>
      <c r="CL153" s="2" t="inlineStr">
        <is>
          <t>近三年至少担任过一个合同额1000万元以上项目相应岗位的主管</t>
        </is>
      </c>
      <c r="CM153" s="2" t="inlineStr">
        <is>
          <t>南化建司劳2017-1号文-南京南化建设有限公司施工一线专业序列人员分级管理规定</t>
        </is>
      </c>
      <c r="CN153" s="2" t="inlineStr">
        <is>
          <t>第三章第3条C类</t>
        </is>
      </c>
      <c r="CO153" s="2"/>
      <c r="CP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t="inlineStr">
        <is>
          <t>4cd32a43-dea2-4b75-90be-f5cfb6291e6c</t>
        </is>
      </c>
      <c r="CJ154" s="3" t="n">
        <v>2</v>
      </c>
      <c r="CK154" s="2" t="inlineStr">
        <is>
          <t>公司二级单位或公司职能部门推荐</t>
        </is>
      </c>
      <c r="CL154" s="2" t="inlineStr">
        <is>
          <t>公司二级单位或公司职能部门推荐</t>
        </is>
      </c>
      <c r="CM154" s="2" t="inlineStr">
        <is>
          <t>南化建司劳2017-1号文-南京南化建设有限公司施工一线专业序列人员分级管理规定</t>
        </is>
      </c>
      <c r="CN154" s="2" t="inlineStr">
        <is>
          <t>第三章第3条C类</t>
        </is>
      </c>
      <c r="CO154" s="2"/>
      <c r="CP154" s="2"/>
    </row>
    <row r="155">
      <c r="A155" s="2" t="inlineStr">
        <is>
          <t>d3841b17-dc1d-4678-8a55-30ef3d596101</t>
        </is>
      </c>
      <c r="B155" s="2" t="inlineStr">
        <is>
          <t>B.满负荷，平时工作就很忙，偶尔因为非突发时间也要加班</t>
        </is>
      </c>
      <c r="C155" s="2" t="inlineStr">
        <is>
          <t>技术中心    董健    男    刘念</t>
        </is>
      </c>
      <c r="D155" s="2" t="inlineStr">
        <is>
          <t>Anonymous</t>
        </is>
      </c>
      <c r="E155" s="2" t="inlineStr">
        <is>
          <t>Anonymous</t>
        </is>
      </c>
      <c r="F155" s="2"/>
      <c r="G155" s="2" t="inlineStr">
        <is>
          <t>2026-05-25 10:56:15</t>
        </is>
      </c>
      <c r="H155" s="2" t="inlineStr">
        <is>
          <t>刘念</t>
        </is>
      </c>
      <c r="I155" s="2" t="inlineStr">
        <is>
          <t>320111198911130830</t>
        </is>
      </c>
      <c r="J155" s="2" t="inlineStr">
        <is>
          <t>男</t>
        </is>
      </c>
      <c r="K155" s="2" t="inlineStr">
        <is>
          <t>技术中心</t>
        </is>
      </c>
      <c r="L155" s="2" t="inlineStr">
        <is>
          <t>2012-07-01</t>
        </is>
      </c>
      <c r="M155" s="2" t="inlineStr">
        <is>
          <t>常州大学</t>
        </is>
      </c>
      <c r="N155" s="2" t="inlineStr">
        <is>
          <t>化机</t>
        </is>
      </c>
      <c r="O155" s="2" t="inlineStr">
        <is>
          <t>本科</t>
        </is>
      </c>
      <c r="P155" s="2" t="inlineStr">
        <is>
          <t>技术中心</t>
        </is>
      </c>
      <c r="Q155" s="2" t="inlineStr">
        <is>
          <t>董健</t>
        </is>
      </c>
      <c r="R155" s="2" t="inlineStr">
        <is>
          <t>男</t>
        </is>
      </c>
      <c r="S155" s="2" t="inlineStr">
        <is>
          <t>2025-08-01</t>
        </is>
      </c>
      <c r="T155" s="2" t="inlineStr">
        <is>
          <t>业务主管</t>
        </is>
      </c>
      <c r="U155" s="2" t="inlineStr">
        <is>
          <t>安徽理工大学</t>
        </is>
      </c>
      <c r="V155" s="2" t="inlineStr">
        <is>
          <t>其他</t>
        </is>
      </c>
      <c r="W155" s="2" t="inlineStr">
        <is>
          <t>研究生</t>
        </is>
      </c>
      <c r="X155" s="2" t="inlineStr">
        <is>
          <t>B.按时推进：基本能卡着时间点完成，不掉链子。</t>
        </is>
      </c>
      <c r="Y155" s="2" t="inlineStr">
        <is>
          <t>B.基本稳定：偶有小瑕疵，但不影响整体使用。</t>
        </is>
      </c>
      <c r="Z155" s="2" t="inlineStr">
        <is>
          <t>B.比较省心：只需定期同步一下进度，不需要主管盯着细节，能独立把事情办成。</t>
        </is>
      </c>
      <c r="AA155" s="2" t="inlineStr">
        <is>
          <t>B.清楚岗位：对自己岗位的活儿很门清，略知上下游。</t>
        </is>
      </c>
      <c r="AB155" s="2" t="inlineStr">
        <is>
          <t>A.攻坚克难：会想尽一切办法钻研，直至彻底解决。</t>
        </is>
      </c>
      <c r="AC155" s="2" t="inlineStr">
        <is>
          <t>A.模范标兵：严于律己，从未在琐事上让主管费心。</t>
        </is>
      </c>
      <c r="AD155" s="2" t="inlineStr">
        <is>
          <t>B.偶尔思考：在主管启发下，能提出一些优化想法</t>
        </is>
      </c>
      <c r="AE155" s="2" t="inlineStr">
        <is>
          <t>A.推进力极强：能搞定不同性格的人，让对方配合。</t>
        </is>
      </c>
      <c r="AF155" s="2" t="inlineStr">
        <is>
          <t>B.有问有答：问到时能说清楚进度，基本能做到及时反馈。</t>
        </is>
      </c>
      <c r="AG155" s="2" t="inlineStr">
        <is>
          <t>B.稳定器：做好自己，不给团队添乱，是可靠的一员。</t>
        </is>
      </c>
      <c r="AH155" s="2" t="inlineStr">
        <is>
          <t>A.在工作中与同事相互帮助、合作融洽，自己与团队共同进步</t>
        </is>
      </c>
      <c r="AI155" s="2" t="inlineStr">
        <is>
          <t>B. 配合接受：主管安排了就干，不推辞。</t>
        </is>
      </c>
      <c r="AJ155" s="2" t="inlineStr">
        <is>
          <t>B.配合度高：虽然有压力，但能服从大局，咬牙顶上去，且质量尚可。</t>
        </is>
      </c>
      <c r="AK155" s="2" t="inlineStr">
        <is>
          <t>A.虚心求教：能听进去，并积极探讨更科学的方法。</t>
        </is>
      </c>
      <c r="AL155" s="2" t="inlineStr">
        <is>
          <t>A.极速掌握：自学能力极强，很快就能成为该领域的“百晓生”。</t>
        </is>
      </c>
      <c r="AM155" s="2" t="inlineStr">
        <is>
          <t>B.愿意传帮带：平时爱分享避坑指南，能带徒弟。</t>
        </is>
      </c>
      <c r="AN155" s="2" t="inlineStr">
        <is>
          <t>A.第一梯队（Top 10%）：部门的标杆。</t>
        </is>
      </c>
      <c r="AO155" s="2" t="inlineStr">
        <is>
          <t>B.业务骨干：是团队不可或缺的腰部力量。</t>
        </is>
      </c>
      <c r="AP155" s="2" t="inlineStr">
        <is>
          <t>A.晴天霹雳：极其遗憾，会不惜代价挽留，他是部门的支柱。</t>
        </is>
      </c>
      <c r="AQ155" s="2" t="inlineStr">
        <is>
          <t>A</t>
        </is>
      </c>
      <c r="AR155" s="2" t="inlineStr">
        <is>
          <t>A</t>
        </is>
      </c>
      <c r="AS155" s="2" t="inlineStr">
        <is>
          <t>一致</t>
        </is>
      </c>
      <c r="AT155" s="2" t="inlineStr">
        <is>
          <t>A</t>
        </is>
      </c>
      <c r="AU155" s="2" t="inlineStr">
        <is>
          <t>5档</t>
        </is>
      </c>
      <c r="AV155" s="3" t="n">
        <v>9400</v>
      </c>
      <c r="AW155" s="3" t="n">
        <v>7520</v>
      </c>
      <c r="AX155" s="3" t="n">
        <v>11280</v>
      </c>
      <c r="AY155" s="2" t="inlineStr">
        <is>
          <t>B</t>
        </is>
      </c>
      <c r="AZ155" s="2" t="inlineStr">
        <is>
          <t>优秀</t>
        </is>
      </c>
      <c r="BA155" s="7" t="n">
        <v>3</v>
      </c>
      <c r="BB155" s="7" t="n">
        <v>4</v>
      </c>
      <c r="BC155" s="7" t="n">
        <v>4</v>
      </c>
      <c r="BD155" s="7" t="n">
        <v>4</v>
      </c>
      <c r="BE155" s="7" t="n">
        <v>5</v>
      </c>
      <c r="BF155" s="7" t="n">
        <v>5</v>
      </c>
      <c r="BG155" s="7" t="n">
        <v>4</v>
      </c>
      <c r="BH155" s="7" t="n">
        <v>5</v>
      </c>
      <c r="BI155" s="7" t="n">
        <v>4</v>
      </c>
      <c r="BJ155" s="7" t="n">
        <v>4</v>
      </c>
      <c r="BK155" s="7" t="n">
        <v>5</v>
      </c>
      <c r="BL155" s="7" t="n">
        <v>4</v>
      </c>
      <c r="BM155" s="7" t="n">
        <v>4</v>
      </c>
      <c r="BN155" s="7" t="n">
        <v>4</v>
      </c>
      <c r="BO155" s="7" t="n">
        <v>5</v>
      </c>
      <c r="BP155" s="7" t="n">
        <v>5</v>
      </c>
      <c r="BQ155" s="7" t="n">
        <v>4</v>
      </c>
      <c r="BR155" s="7" t="n">
        <v>5</v>
      </c>
      <c r="BS155" s="7" t="n">
        <v>4</v>
      </c>
      <c r="BT155" s="7" t="n">
        <v>5</v>
      </c>
      <c r="BU155" s="7" t="n">
        <v>87</v>
      </c>
      <c r="BV155" s="2" t="inlineStr">
        <is>
          <t>A.需要存在，不可去除</t>
        </is>
      </c>
      <c r="BW155" s="2"/>
      <c r="BX155" s="2"/>
      <c r="BY155" s="6">
        <f>HYPERLINK("https://www.h3yun.com/Form/Attachments/?schemacode=D148357733993cc00c048ad9898e53f5f82cbb9&amp;bizObjectId=d3841b17-dc1d-4678-8a55-30ef3d596101&amp;name=F0000016","点击查看")</f>
        <v>0</v>
      </c>
      <c r="BZ155" s="2" t="inlineStr">
        <is>
          <t>2026-05-07 14:22:07</t>
        </is>
      </c>
      <c r="CA155" s="2" t="inlineStr">
        <is>
          <t>A</t>
        </is>
      </c>
      <c r="CB155" s="2" t="inlineStr">
        <is>
          <t>已提交</t>
        </is>
      </c>
      <c r="CC155" s="2" t="inlineStr">
        <is>
          <t>无</t>
        </is>
      </c>
      <c r="CD155" s="2" t="inlineStr">
        <is>
          <t>无</t>
        </is>
      </c>
      <c r="CE155" s="2" t="inlineStr">
        <is>
          <t>无</t>
        </is>
      </c>
      <c r="CF155" s="2"/>
      <c r="CG155" s="2" t="inlineStr">
        <is>
          <t>341125199908201295</t>
        </is>
      </c>
      <c r="CH155" s="2" t="inlineStr">
        <is>
          <t>已生效</t>
        </is>
      </c>
      <c r="CI155" s="2" t="inlineStr">
        <is>
          <t>5159d0b5-f8df-4c17-9e15-951c99b689e5</t>
        </is>
      </c>
      <c r="CJ155" s="3" t="n">
        <v>1</v>
      </c>
      <c r="CK155" s="2" t="inlineStr">
        <is>
          <t>近三年至少担任过一个合同额1500万元以上项目相应岗位的主管</t>
        </is>
      </c>
      <c r="CL155" s="2" t="inlineStr">
        <is>
          <t>近三年至少担任过一个合同额1500万元以上项目相应岗位的主管</t>
        </is>
      </c>
      <c r="CM155" s="2" t="inlineStr">
        <is>
          <t>南化建司劳2017-1号文-南京南化建设有限公司施工一线专业序列人员分级管理规定</t>
        </is>
      </c>
      <c r="CN155" s="2" t="inlineStr">
        <is>
          <t>第三章第2条B类</t>
        </is>
      </c>
      <c r="CO155" s="2"/>
      <c r="CP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t="inlineStr">
        <is>
          <t>f91e474a-81eb-4f05-a2b8-a02bc16428c0</t>
        </is>
      </c>
      <c r="CJ156" s="3" t="n">
        <v>2</v>
      </c>
      <c r="CK156" s="2" t="inlineStr">
        <is>
          <t>公司二级单位或公司职能部门推荐</t>
        </is>
      </c>
      <c r="CL156" s="2" t="inlineStr">
        <is>
          <t>公司二级单位或公司职能部门推荐</t>
        </is>
      </c>
      <c r="CM156" s="2" t="inlineStr">
        <is>
          <t>南化建司劳2017-1号文-南京南化建设有限公司施工一线专业序列人员分级管理规定</t>
        </is>
      </c>
      <c r="CN156" s="2" t="inlineStr">
        <is>
          <t>第三章第2条B类</t>
        </is>
      </c>
      <c r="CO156" s="2"/>
      <c r="CP156" s="2"/>
    </row>
    <row r="157">
      <c r="A157" s="2" t="inlineStr">
        <is>
          <t>6c792004-c3c4-4e03-a59d-5e7b91768e9f</t>
        </is>
      </c>
      <c r="B157" s="2" t="inlineStr">
        <is>
          <t>C.均衡，工作负荷一般，按部就班完成工作，除了突发时间几乎不用加班</t>
        </is>
      </c>
      <c r="C157" s="2" t="inlineStr">
        <is>
          <t>信息化中心    左晋铭    男    汪平</t>
        </is>
      </c>
      <c r="D157" s="2" t="inlineStr">
        <is>
          <t>Anonymous</t>
        </is>
      </c>
      <c r="E157" s="2" t="inlineStr">
        <is>
          <t>Anonymous</t>
        </is>
      </c>
      <c r="F157" s="2"/>
      <c r="G157" s="2" t="inlineStr">
        <is>
          <t>2026-05-25 10:56:15</t>
        </is>
      </c>
      <c r="H157" s="2" t="inlineStr">
        <is>
          <t>汪平</t>
        </is>
      </c>
      <c r="I157" s="2" t="inlineStr">
        <is>
          <t>321183198212251337</t>
        </is>
      </c>
      <c r="J157" s="2" t="inlineStr">
        <is>
          <t>男</t>
        </is>
      </c>
      <c r="K157" s="2" t="inlineStr">
        <is>
          <t>信息化中心</t>
        </is>
      </c>
      <c r="L157" s="2" t="inlineStr">
        <is>
          <t>2005-08-09</t>
        </is>
      </c>
      <c r="M157" s="2" t="inlineStr">
        <is>
          <t>淮阴工学院</t>
        </is>
      </c>
      <c r="N157" s="2" t="inlineStr">
        <is>
          <t>电气</t>
        </is>
      </c>
      <c r="O157" s="2" t="inlineStr">
        <is>
          <t>本科</t>
        </is>
      </c>
      <c r="P157" s="2" t="inlineStr">
        <is>
          <t>信息化中心</t>
        </is>
      </c>
      <c r="Q157" s="2" t="inlineStr">
        <is>
          <t>左晋铭</t>
        </is>
      </c>
      <c r="R157" s="2" t="inlineStr">
        <is>
          <t>男</t>
        </is>
      </c>
      <c r="S157" s="2" t="inlineStr">
        <is>
          <t>2025-08-01</t>
        </is>
      </c>
      <c r="T157" s="2" t="inlineStr">
        <is>
          <t>技术助理(三)</t>
        </is>
      </c>
      <c r="U157" s="2" t="inlineStr">
        <is>
          <t>南京工程学院</t>
        </is>
      </c>
      <c r="V157" s="2" t="inlineStr">
        <is>
          <t>土建</t>
        </is>
      </c>
      <c r="W157" s="2" t="inlineStr">
        <is>
          <t>本科</t>
        </is>
      </c>
      <c r="X157" s="2" t="inlineStr">
        <is>
          <t>B.按时推进：基本能卡着时间点完成，不掉链子。</t>
        </is>
      </c>
      <c r="Y157" s="2" t="inlineStr">
        <is>
          <t>B.基本稳定：偶有小瑕疵，但不影响整体使用。</t>
        </is>
      </c>
      <c r="Z157" s="2" t="inlineStr">
        <is>
          <t>B.比较省心：只需定期同步一下进度，不需要主管盯着细节，能独立把事情办成。</t>
        </is>
      </c>
      <c r="AA157" s="2" t="inlineStr">
        <is>
          <t>B.清楚岗位：对自己岗位的活儿很门清，略知上下游。</t>
        </is>
      </c>
      <c r="AB157" s="2" t="inlineStr">
        <is>
          <t>A.攻坚克难：会想尽一切办法钻研，直至彻底解决。</t>
        </is>
      </c>
      <c r="AC157" s="2" t="inlineStr">
        <is>
          <t>A.模范标兵：严于律己，从未在琐事上让主管费心。</t>
        </is>
      </c>
      <c r="AD157" s="2" t="inlineStr">
        <is>
          <t>B.偶尔思考：在主管启发下，能提出一些优化想法</t>
        </is>
      </c>
      <c r="AE157" s="2" t="inlineStr">
        <is>
          <t>B.正常沟通：能清晰表达需求，维持基本的协作。</t>
        </is>
      </c>
      <c r="AF157" s="2" t="inlineStr">
        <is>
          <t>B.有问有答：问到时能说清楚进度，基本能做到及时反馈。</t>
        </is>
      </c>
      <c r="AG157" s="2" t="inlineStr">
        <is>
          <t>B.稳定器：做好自己，不给团队添乱，是可靠的一员。</t>
        </is>
      </c>
      <c r="AH157" s="2" t="inlineStr">
        <is>
          <t>B.懂得求助：在尝试后会及时向主管或同事反馈，寻求资源支持。</t>
        </is>
      </c>
      <c r="AI157" s="2" t="inlineStr">
        <is>
          <t>B. 配合接受：主管安排了就干，不推辞。</t>
        </is>
      </c>
      <c r="AJ157" s="2" t="inlineStr">
        <is>
          <t>B.配合度高：虽然有压力，但能服从大局，咬牙顶上去，且质量尚可。</t>
        </is>
      </c>
      <c r="AK157" s="2" t="inlineStr">
        <is>
          <t>B.照单全收：态度很好，虽然不一定完全理解，但会按要求改。</t>
        </is>
      </c>
      <c r="AL157" s="2" t="inlineStr">
        <is>
          <t>A.极速掌握：自学能力极强，很快就能成为该领域的“百晓生”。</t>
        </is>
      </c>
      <c r="AM157" s="2" t="inlineStr">
        <is>
          <t>B.愿意传帮带：平时爱分享避坑指南，能带徒弟。</t>
        </is>
      </c>
      <c r="AN157" s="2" t="inlineStr">
        <is>
          <t>C.中规中矩：刚好达标，替代性较强。</t>
        </is>
      </c>
      <c r="AO157" s="2" t="inlineStr">
        <is>
          <t>B.业务骨干：是团队不可或缺的腰部力量。</t>
        </is>
      </c>
      <c r="AP157" s="2" t="inlineStr">
        <is>
          <t>C.正常更替：走就走吧，招个新人培养一下也没什么区别。</t>
        </is>
      </c>
      <c r="AQ157" s="2" t="inlineStr">
        <is>
          <t>B</t>
        </is>
      </c>
      <c r="AR157" s="2" t="inlineStr">
        <is>
          <t>B</t>
        </is>
      </c>
      <c r="AS157" s="2" t="inlineStr">
        <is>
          <t>一致</t>
        </is>
      </c>
      <c r="AT157" s="2" t="inlineStr">
        <is>
          <t>B</t>
        </is>
      </c>
      <c r="AU157" s="2"/>
      <c r="AV157" s="3"/>
      <c r="AW157" s="3"/>
      <c r="AX157" s="3"/>
      <c r="AY157" s="2" t="inlineStr">
        <is>
          <t>C</t>
        </is>
      </c>
      <c r="AZ157" s="2" t="inlineStr">
        <is>
          <t>安排的工作能够独立自主完成，不用过多操心，某些方面甚至超出预期</t>
        </is>
      </c>
      <c r="BA157" s="7" t="n">
        <v>3</v>
      </c>
      <c r="BB157" s="7" t="n">
        <v>4</v>
      </c>
      <c r="BC157" s="7" t="n">
        <v>4</v>
      </c>
      <c r="BD157" s="7" t="n">
        <v>4</v>
      </c>
      <c r="BE157" s="7" t="n">
        <v>5</v>
      </c>
      <c r="BF157" s="7" t="n">
        <v>5</v>
      </c>
      <c r="BG157" s="7" t="n">
        <v>4</v>
      </c>
      <c r="BH157" s="7" t="n">
        <v>3.5</v>
      </c>
      <c r="BI157" s="7" t="n">
        <v>4</v>
      </c>
      <c r="BJ157" s="7" t="n">
        <v>4</v>
      </c>
      <c r="BK157" s="7" t="n">
        <v>3</v>
      </c>
      <c r="BL157" s="7" t="n">
        <v>4</v>
      </c>
      <c r="BM157" s="7" t="n">
        <v>3</v>
      </c>
      <c r="BN157" s="7" t="n">
        <v>4</v>
      </c>
      <c r="BO157" s="7" t="n">
        <v>3</v>
      </c>
      <c r="BP157" s="7" t="n">
        <v>5</v>
      </c>
      <c r="BQ157" s="7" t="n">
        <v>4</v>
      </c>
      <c r="BR157" s="7" t="n">
        <v>3</v>
      </c>
      <c r="BS157" s="7" t="n">
        <v>4</v>
      </c>
      <c r="BT157" s="7" t="n">
        <v>3</v>
      </c>
      <c r="BU157" s="7" t="n">
        <v>76.5</v>
      </c>
      <c r="BV157" s="2" t="inlineStr">
        <is>
          <t>A.需要存在，不可去除</t>
        </is>
      </c>
      <c r="BW157" s="2"/>
      <c r="BX157" s="2"/>
      <c r="BY157" s="6">
        <f>HYPERLINK("https://www.h3yun.com/Form/Attachments/?schemacode=D148357733993cc00c048ad9898e53f5f82cbb9&amp;bizObjectId=6c792004-c3c4-4e03-a59d-5e7b91768e9f&amp;name=F0000016","点击查看")</f>
        <v>0</v>
      </c>
      <c r="BZ157" s="2" t="inlineStr">
        <is>
          <t>2026-05-07 14:19:12</t>
        </is>
      </c>
      <c r="CA157" s="2" t="inlineStr">
        <is>
          <t>B</t>
        </is>
      </c>
      <c r="CB157" s="2" t="inlineStr">
        <is>
          <t>已提交</t>
        </is>
      </c>
      <c r="CC157" s="2" t="inlineStr">
        <is>
          <t>无</t>
        </is>
      </c>
      <c r="CD157" s="2" t="inlineStr">
        <is>
          <t>无</t>
        </is>
      </c>
      <c r="CE157" s="2" t="inlineStr">
        <is>
          <t>无</t>
        </is>
      </c>
      <c r="CF157" s="2"/>
      <c r="CG157" s="2" t="inlineStr">
        <is>
          <t>440681200306202019</t>
        </is>
      </c>
      <c r="CH157" s="2" t="inlineStr">
        <is>
          <t>已生效</t>
        </is>
      </c>
      <c r="CI157" s="2" t="inlineStr">
        <is>
          <t>89292bdb-3550-42e3-9286-7afefc6c9f3a</t>
        </is>
      </c>
      <c r="CJ157" s="3" t="n">
        <v>1</v>
      </c>
      <c r="CK157" s="2" t="inlineStr">
        <is>
          <t>近三年至少担任过一个合同额1000万元以上项目相应岗位的主管</t>
        </is>
      </c>
      <c r="CL157" s="2" t="inlineStr">
        <is>
          <t>近三年至少担任过一个合同额1000万元以上项目相应岗位的主管</t>
        </is>
      </c>
      <c r="CM157" s="2" t="inlineStr">
        <is>
          <t>南化建司劳2017-1号文-南京南化建设有限公司施工一线专业序列人员分级管理规定</t>
        </is>
      </c>
      <c r="CN157" s="2" t="inlineStr">
        <is>
          <t>第三章第3条C类</t>
        </is>
      </c>
      <c r="CO157" s="2"/>
      <c r="CP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t="inlineStr">
        <is>
          <t>c603fdae-c3d5-4fc1-ab27-d6c4380ced03</t>
        </is>
      </c>
      <c r="CJ158" s="3" t="n">
        <v>2</v>
      </c>
      <c r="CK158" s="2" t="inlineStr">
        <is>
          <t>公司二级单位或公司职能部门推荐</t>
        </is>
      </c>
      <c r="CL158" s="2" t="inlineStr">
        <is>
          <t>公司二级单位或公司职能部门推荐</t>
        </is>
      </c>
      <c r="CM158" s="2" t="inlineStr">
        <is>
          <t>南化建司劳2017-1号文-南京南化建设有限公司施工一线专业序列人员分级管理规定</t>
        </is>
      </c>
      <c r="CN158" s="2" t="inlineStr">
        <is>
          <t>第三章第3条C类</t>
        </is>
      </c>
      <c r="CO158" s="2"/>
      <c r="CP158" s="2"/>
    </row>
    <row r="159">
      <c r="A159" s="2" t="inlineStr">
        <is>
          <t>20ff4ff0-6995-48e4-a1b5-61f4b53114c4</t>
        </is>
      </c>
      <c r="B159" s="2" t="inlineStr">
        <is>
          <t>B.满负荷，平时工作就很忙，偶尔因为非突发时间也要加班</t>
        </is>
      </c>
      <c r="C159" s="2" t="inlineStr">
        <is>
          <t>技术中心    吴俣    男    刘念</t>
        </is>
      </c>
      <c r="D159" s="2" t="inlineStr">
        <is>
          <t>Anonymous</t>
        </is>
      </c>
      <c r="E159" s="2" t="inlineStr">
        <is>
          <t>Anonymous</t>
        </is>
      </c>
      <c r="F159" s="2"/>
      <c r="G159" s="2" t="inlineStr">
        <is>
          <t>2026-05-25 10:56:15</t>
        </is>
      </c>
      <c r="H159" s="2" t="inlineStr">
        <is>
          <t>刘念</t>
        </is>
      </c>
      <c r="I159" s="2" t="inlineStr">
        <is>
          <t>320111198911130830</t>
        </is>
      </c>
      <c r="J159" s="2" t="inlineStr">
        <is>
          <t>男</t>
        </is>
      </c>
      <c r="K159" s="2" t="inlineStr">
        <is>
          <t>技术中心</t>
        </is>
      </c>
      <c r="L159" s="2" t="inlineStr">
        <is>
          <t>2012-07-01</t>
        </is>
      </c>
      <c r="M159" s="2" t="inlineStr">
        <is>
          <t>常州大学</t>
        </is>
      </c>
      <c r="N159" s="2" t="inlineStr">
        <is>
          <t>化机</t>
        </is>
      </c>
      <c r="O159" s="2" t="inlineStr">
        <is>
          <t>本科</t>
        </is>
      </c>
      <c r="P159" s="2" t="inlineStr">
        <is>
          <t>技术中心</t>
        </is>
      </c>
      <c r="Q159" s="2" t="inlineStr">
        <is>
          <t>吴俣</t>
        </is>
      </c>
      <c r="R159" s="2" t="inlineStr">
        <is>
          <t>男</t>
        </is>
      </c>
      <c r="S159" s="2" t="inlineStr">
        <is>
          <t>2021-12-01</t>
        </is>
      </c>
      <c r="T159" s="2" t="inlineStr">
        <is>
          <t>技术助理(一)</t>
        </is>
      </c>
      <c r="U159" s="2" t="inlineStr">
        <is>
          <t>盐城师范学院</t>
        </is>
      </c>
      <c r="V159" s="2" t="inlineStr">
        <is>
          <t>其他</t>
        </is>
      </c>
      <c r="W159" s="2" t="inlineStr">
        <is>
          <t>本科</t>
        </is>
      </c>
      <c r="X159" s="2" t="inlineStr">
        <is>
          <t>A.积极高效：经常提前完成，且质量超出预期。</t>
        </is>
      </c>
      <c r="Y159" s="2" t="inlineStr">
        <is>
          <t>B.基本稳定：偶有小瑕疵，但不影响整体使用。</t>
        </is>
      </c>
      <c r="Z159" s="2" t="inlineStr">
        <is>
          <t>A.极其省心：只需交代目标，剩下的一律不用管，最后不仅能准时交付，甚至能超出预期。</t>
        </is>
      </c>
      <c r="AA159" s="2" t="inlineStr">
        <is>
          <t>A.全局视野：了解上下游，能站在全业务链条考虑问题。</t>
        </is>
      </c>
      <c r="AB159" s="2" t="inlineStr">
        <is>
          <t>A.攻坚克难：会想尽一切办法钻研，直至彻底解决。</t>
        </is>
      </c>
      <c r="AC159" s="2" t="inlineStr">
        <is>
          <t>A.模范标兵：严于律己，从未在琐事上让主管费心。</t>
        </is>
      </c>
      <c r="AD159" s="2" t="inlineStr">
        <is>
          <t>A.持续优化：经常提出改进流程、提升效率的实用建议</t>
        </is>
      </c>
      <c r="AE159" s="2" t="inlineStr">
        <is>
          <t>A.主动开展跨部门沟通，协调能力优异，协作顺畅高效</t>
        </is>
      </c>
      <c r="AF159" s="2" t="inlineStr">
        <is>
          <t>A.完美闭环：进展、难点、结果都会主动汇报，无需催促。</t>
        </is>
      </c>
      <c r="AG159" s="2" t="inlineStr">
        <is>
          <t>A.能带动团队，主动分享经验、配合补位</t>
        </is>
      </c>
      <c r="AH159" s="2" t="inlineStr">
        <is>
          <t>A.在工作中与同事相互帮助、合作融洽，自己与团队共同进步</t>
        </is>
      </c>
      <c r="AI159" s="2" t="inlineStr">
        <is>
          <t>A. 跨界攻坚：主动补位，不分分内分外，只要对项目有利，会想办法边学边做把事搞定。</t>
        </is>
      </c>
      <c r="AJ159" s="2" t="inlineStr">
        <is>
          <t>A.越战越勇：能扛住压力，保持冷静，高效处理紧急事务。</t>
        </is>
      </c>
      <c r="AK159" s="2" t="inlineStr">
        <is>
          <t>B.照单全收：态度很好，虽然不一定完全理解，但会按要求改。</t>
        </is>
      </c>
      <c r="AL159" s="2" t="inlineStr">
        <is>
          <t>A.极速掌握：自学能力极强，很快就能成为该领域的“百晓生”。</t>
        </is>
      </c>
      <c r="AM159" s="2" t="inlineStr">
        <is>
          <t>A.总结达人：能把复杂工作写成标准 SOP，让新手直接用。</t>
        </is>
      </c>
      <c r="AN159" s="2" t="inlineStr">
        <is>
          <t>A.第一梯队（Top 10%）：部门的标杆。</t>
        </is>
      </c>
      <c r="AO159" s="2" t="inlineStr">
        <is>
          <t>A.核心管理/专家：具备成为部门负责人或顶尖专家的潜质。</t>
        </is>
      </c>
      <c r="AP159" s="2" t="inlineStr">
        <is>
          <t>A.晴天霹雳：极其遗憾，会不惜代价挽留，他是部门的支柱。</t>
        </is>
      </c>
      <c r="AQ159" s="2" t="inlineStr">
        <is>
          <t>S</t>
        </is>
      </c>
      <c r="AR159" s="2" t="inlineStr">
        <is>
          <t>S</t>
        </is>
      </c>
      <c r="AS159" s="2" t="inlineStr">
        <is>
          <t>一致</t>
        </is>
      </c>
      <c r="AT159" s="2" t="inlineStr">
        <is>
          <t>S</t>
        </is>
      </c>
      <c r="AU159" s="2" t="inlineStr">
        <is>
          <t>5档</t>
        </is>
      </c>
      <c r="AV159" s="3" t="n">
        <v>10400</v>
      </c>
      <c r="AW159" s="3" t="n">
        <v>8320</v>
      </c>
      <c r="AX159" s="3" t="n">
        <v>12480</v>
      </c>
      <c r="AY159" s="2" t="inlineStr">
        <is>
          <t>A</t>
        </is>
      </c>
      <c r="AZ159" s="2" t="inlineStr">
        <is>
          <t>工作卓越</t>
        </is>
      </c>
      <c r="BA159" s="7" t="n">
        <v>5</v>
      </c>
      <c r="BB159" s="7" t="n">
        <v>4</v>
      </c>
      <c r="BC159" s="7" t="n">
        <v>5</v>
      </c>
      <c r="BD159" s="7" t="n">
        <v>5</v>
      </c>
      <c r="BE159" s="7" t="n">
        <v>5</v>
      </c>
      <c r="BF159" s="7" t="n">
        <v>5</v>
      </c>
      <c r="BG159" s="7" t="n">
        <v>5</v>
      </c>
      <c r="BH159" s="7" t="n">
        <v>5</v>
      </c>
      <c r="BI159" s="7" t="n">
        <v>5</v>
      </c>
      <c r="BJ159" s="7" t="n">
        <v>5</v>
      </c>
      <c r="BK159" s="7" t="n">
        <v>5</v>
      </c>
      <c r="BL159" s="7" t="n">
        <v>5</v>
      </c>
      <c r="BM159" s="7" t="n">
        <v>4</v>
      </c>
      <c r="BN159" s="7" t="n">
        <v>5</v>
      </c>
      <c r="BO159" s="7" t="n">
        <v>3</v>
      </c>
      <c r="BP159" s="7" t="n">
        <v>5</v>
      </c>
      <c r="BQ159" s="7" t="n">
        <v>5</v>
      </c>
      <c r="BR159" s="7" t="n">
        <v>5</v>
      </c>
      <c r="BS159" s="7" t="n">
        <v>5</v>
      </c>
      <c r="BT159" s="7" t="n">
        <v>5</v>
      </c>
      <c r="BU159" s="7" t="n">
        <v>96</v>
      </c>
      <c r="BV159" s="2" t="inlineStr">
        <is>
          <t>A.需要存在，不可去除</t>
        </is>
      </c>
      <c r="BW159" s="2"/>
      <c r="BX159" s="2"/>
      <c r="BY159" s="6">
        <f>HYPERLINK("https://www.h3yun.com/Form/Attachments/?schemacode=D148357733993cc00c048ad9898e53f5f82cbb9&amp;bizObjectId=20ff4ff0-6995-48e4-a1b5-61f4b53114c4&amp;name=F0000016","点击查看")</f>
        <v>0</v>
      </c>
      <c r="BZ159" s="2" t="inlineStr">
        <is>
          <t>2026-05-07 14:17:07</t>
        </is>
      </c>
      <c r="CA159" s="2" t="inlineStr">
        <is>
          <t>S</t>
        </is>
      </c>
      <c r="CB159" s="2" t="inlineStr">
        <is>
          <t>已提交</t>
        </is>
      </c>
      <c r="CC159" s="2" t="inlineStr">
        <is>
          <t>助理工程师</t>
        </is>
      </c>
      <c r="CD159" s="2" t="inlineStr">
        <is>
          <t>全国BIM技能等级考试一级证书</t>
        </is>
      </c>
      <c r="CE159" s="2" t="inlineStr">
        <is>
          <t>无</t>
        </is>
      </c>
      <c r="CF159" s="2"/>
      <c r="CG159" s="2" t="inlineStr">
        <is>
          <t>320112198909160412</t>
        </is>
      </c>
      <c r="CH159" s="2" t="inlineStr">
        <is>
          <t>已生效</t>
        </is>
      </c>
      <c r="CI159" s="2" t="inlineStr">
        <is>
          <t>4fdaa9d2-a95f-4da1-a53c-207d1002dedc</t>
        </is>
      </c>
      <c r="CJ159" s="3" t="n">
        <v>1</v>
      </c>
      <c r="CK159" s="2" t="inlineStr">
        <is>
          <t>近三年至少担任过一个合同额 2000万元以上项目的项目经理、施工经理、技术负责人(项目总工程师)、安全经理、质量经理、采购经理、合同控制经理、设计经理等关键岗位中的一个</t>
        </is>
      </c>
      <c r="CL159" s="2" t="inlineStr">
        <is>
          <t>近三年至少担任过一个合同额 2000万元以上项目的项目经理、施工经理、技术负责人(项目总工程师)、安全经理、质量经理、采购经理、合同控制经理、设计经理等关键岗位中的一个</t>
        </is>
      </c>
      <c r="CM159" s="2" t="inlineStr">
        <is>
          <t>南化建司劳2017-1号文-南京南化建设有限公司施工一线专业序列人员分级管理规定</t>
        </is>
      </c>
      <c r="CN159" s="2" t="inlineStr">
        <is>
          <t>第三章第1条A类</t>
        </is>
      </c>
      <c r="CO159" s="2"/>
      <c r="CP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t="inlineStr">
        <is>
          <t>fcc2570c-eb0c-4de0-baef-eeb45490fab7</t>
        </is>
      </c>
      <c r="CJ160" s="3" t="n">
        <v>2</v>
      </c>
      <c r="CK160" s="2" t="inlineStr">
        <is>
          <t>公司二级单位或公司职能部门推荐</t>
        </is>
      </c>
      <c r="CL160" s="2" t="inlineStr">
        <is>
          <t>公司二级单位或公司职能部门推荐</t>
        </is>
      </c>
      <c r="CM160" s="2" t="inlineStr">
        <is>
          <t>南化建司劳2017-1号文-南京南化建设有限公司施工一线专业序列人员分级管理规定</t>
        </is>
      </c>
      <c r="CN160" s="2" t="inlineStr">
        <is>
          <t>第三章第1条A类</t>
        </is>
      </c>
      <c r="CO160" s="2"/>
      <c r="CP160" s="2"/>
    </row>
    <row r="161">
      <c r="A161" s="2" t="inlineStr">
        <is>
          <t>1094c6ee-ac18-4f02-9597-3d7d49df4927</t>
        </is>
      </c>
      <c r="B161" s="2" t="inlineStr">
        <is>
          <t>C.均衡，工作负荷一般，按部就班完成工作，除了突发时间几乎不用加班</t>
        </is>
      </c>
      <c r="C161" s="2" t="inlineStr">
        <is>
          <t>安装一分公司    袁德义    男    赵尊须</t>
        </is>
      </c>
      <c r="D161" s="2" t="inlineStr">
        <is>
          <t>Anonymous</t>
        </is>
      </c>
      <c r="E161" s="2" t="inlineStr">
        <is>
          <t>Anonymous</t>
        </is>
      </c>
      <c r="F161" s="2"/>
      <c r="G161" s="2" t="inlineStr">
        <is>
          <t>2026-05-25 10:56:15</t>
        </is>
      </c>
      <c r="H161" s="2" t="inlineStr">
        <is>
          <t>赵尊须</t>
        </is>
      </c>
      <c r="I161" s="2" t="inlineStr">
        <is>
          <t>320321199409114614</t>
        </is>
      </c>
      <c r="J161" s="2" t="inlineStr">
        <is>
          <t>男</t>
        </is>
      </c>
      <c r="K161" s="2" t="inlineStr">
        <is>
          <t>安装一分公司</t>
        </is>
      </c>
      <c r="L161" s="2" t="inlineStr">
        <is>
          <t>2017-08-01</t>
        </is>
      </c>
      <c r="M161" s="2" t="inlineStr">
        <is>
          <t>淮海工学院</t>
        </is>
      </c>
      <c r="N161" s="2" t="inlineStr">
        <is>
          <t>过控</t>
        </is>
      </c>
      <c r="O161" s="2" t="inlineStr">
        <is>
          <t>本科</t>
        </is>
      </c>
      <c r="P161" s="2" t="inlineStr">
        <is>
          <t>安装一分公司</t>
        </is>
      </c>
      <c r="Q161" s="2" t="inlineStr">
        <is>
          <t>袁德义</t>
        </is>
      </c>
      <c r="R161" s="2" t="inlineStr">
        <is>
          <t>男</t>
        </is>
      </c>
      <c r="S161" s="2" t="inlineStr">
        <is>
          <t>2013-02-01</t>
        </is>
      </c>
      <c r="T161" s="2" t="inlineStr">
        <is>
          <t>主要工种中级工</t>
        </is>
      </c>
      <c r="U161" s="2"/>
      <c r="V161" s="2" t="inlineStr">
        <is>
          <t>铆工</t>
        </is>
      </c>
      <c r="W161" s="2" t="inlineStr">
        <is>
          <t>初中</t>
        </is>
      </c>
      <c r="X161" s="2" t="inlineStr">
        <is>
          <t>C.拖沓被动：需要主管反复催促，才能勉强按时交差。</t>
        </is>
      </c>
      <c r="Y161" s="2" t="inlineStr">
        <is>
          <t>C.看心情/状态：状态好时不错，状态差时漏洞百出。</t>
        </is>
      </c>
      <c r="Z161" s="2" t="inlineStr">
        <is>
          <t>C.正常跟进：需要主管盯着节点、偶尔提醒进度，或者在跑偏时帮着拽回来。</t>
        </is>
      </c>
      <c r="AA161" s="2" t="inlineStr">
        <is>
          <t>B.清楚岗位：对自己岗位的活儿很门清，略知上下游。</t>
        </is>
      </c>
      <c r="AB161" s="2" t="inlineStr">
        <is>
          <t>B.尽力而为：能解决大部分问题，解决不了的会及时求助。</t>
        </is>
      </c>
      <c r="AC161" s="2" t="inlineStr">
        <is>
          <t>A.模范标兵：严于律己，从未在琐事上让主管费心。</t>
        </is>
      </c>
      <c r="AD161" s="2" t="inlineStr">
        <is>
          <t>C.照章办事：给多少干多少，完全按老规矩来，从不思考变革</t>
        </is>
      </c>
      <c r="AE161" s="2" t="inlineStr">
        <is>
          <t>C.沟通被动：你不催他不去，去了也带不回明确结果。</t>
        </is>
      </c>
      <c r="AF161" s="2" t="inlineStr">
        <is>
          <t>B.有问有答：问到时能说清楚进度，基本能做到及时反馈。</t>
        </is>
      </c>
      <c r="AG161" s="2" t="inlineStr">
        <is>
          <t>B.稳定器：做好自己，不给团队添乱，是可靠的一员。</t>
        </is>
      </c>
      <c r="AH161" s="2" t="inlineStr">
        <is>
          <t>C.闷头苦干：效率极低也不求助，最后事情耽误在手里。</t>
        </is>
      </c>
      <c r="AI161" s="2" t="inlineStr">
        <is>
          <t>B. 配合接受：主管安排了就干，不推辞。</t>
        </is>
      </c>
      <c r="AJ161" s="2" t="inlineStr">
        <is>
          <t>C.较为配合：不抱怨，但压力较大时，工作质量会随之下滑。</t>
        </is>
      </c>
      <c r="AK161" s="2" t="inlineStr">
        <is>
          <t>B.照单全收：态度很好，虽然不一定完全理解，但会按要求改。</t>
        </is>
      </c>
      <c r="AL161" s="2" t="inlineStr">
        <is>
          <t>C.慢工细活：需要反复教，掌握过程比较吃力。</t>
        </is>
      </c>
      <c r="AM161" s="2" t="inlineStr">
        <is>
          <t>B.愿意传帮带：平时爱分享避坑指南，能带徒弟。</t>
        </is>
      </c>
      <c r="AN161" s="2" t="inlineStr">
        <is>
          <t>C.中规中矩：刚好达标，替代性较强。</t>
        </is>
      </c>
      <c r="AO161" s="2" t="inlineStr">
        <is>
          <t>C.熟练工：能胜任重复性工作，但很难承担更高阶的挑战。</t>
        </is>
      </c>
      <c r="AP161" s="2" t="inlineStr">
        <is>
          <t>C.正常更替：走就走吧，招个新人培养一下也没什么区别。</t>
        </is>
      </c>
      <c r="AQ161" s="2" t="inlineStr">
        <is>
          <t>C</t>
        </is>
      </c>
      <c r="AR161" s="2" t="inlineStr">
        <is>
          <t>C</t>
        </is>
      </c>
      <c r="AS161" s="2" t="inlineStr">
        <is>
          <t>一致</t>
        </is>
      </c>
      <c r="AT161" s="2" t="inlineStr">
        <is>
          <t>C</t>
        </is>
      </c>
      <c r="AU161" s="2" t="inlineStr">
        <is>
          <t>1档</t>
        </is>
      </c>
      <c r="AV161" s="3" t="n">
        <v>6100</v>
      </c>
      <c r="AW161" s="3" t="n">
        <v>4880</v>
      </c>
      <c r="AX161" s="3" t="n">
        <v>7320</v>
      </c>
      <c r="AY161" s="2" t="inlineStr">
        <is>
          <t>D</t>
        </is>
      </c>
      <c r="AZ161" s="2" t="inlineStr">
        <is>
          <t>工作认真负责，工作效率有待提高</t>
        </is>
      </c>
      <c r="BA161" s="7" t="n">
        <v>2</v>
      </c>
      <c r="BB161" s="7" t="n">
        <v>2</v>
      </c>
      <c r="BC161" s="7" t="n">
        <v>3</v>
      </c>
      <c r="BD161" s="7" t="n">
        <v>4</v>
      </c>
      <c r="BE161" s="7" t="n">
        <v>4</v>
      </c>
      <c r="BF161" s="7" t="n">
        <v>5</v>
      </c>
      <c r="BG161" s="7" t="n">
        <v>3</v>
      </c>
      <c r="BH161" s="7" t="n">
        <v>1</v>
      </c>
      <c r="BI161" s="7" t="n">
        <v>4</v>
      </c>
      <c r="BJ161" s="7" t="n">
        <v>4</v>
      </c>
      <c r="BK161" s="7" t="n">
        <v>1</v>
      </c>
      <c r="BL161" s="7" t="n">
        <v>4</v>
      </c>
      <c r="BM161" s="7" t="n">
        <v>3</v>
      </c>
      <c r="BN161" s="7" t="n">
        <v>3</v>
      </c>
      <c r="BO161" s="7" t="n">
        <v>3</v>
      </c>
      <c r="BP161" s="7" t="n">
        <v>2</v>
      </c>
      <c r="BQ161" s="7" t="n">
        <v>4</v>
      </c>
      <c r="BR161" s="7" t="n">
        <v>3</v>
      </c>
      <c r="BS161" s="7" t="n">
        <v>3</v>
      </c>
      <c r="BT161" s="7" t="n">
        <v>3</v>
      </c>
      <c r="BU161" s="7" t="n">
        <v>61</v>
      </c>
      <c r="BV161" s="2" t="inlineStr">
        <is>
          <t>A.需要存在，不可去除</t>
        </is>
      </c>
      <c r="BW161" s="2"/>
      <c r="BX161" s="2"/>
      <c r="BY161" s="6">
        <f>HYPERLINK("https://www.h3yun.com/Form/Attachments/?schemacode=D148357733993cc00c048ad9898e53f5f82cbb9&amp;bizObjectId=1094c6ee-ac18-4f02-9597-3d7d49df4927&amp;name=F0000016","点击查看")</f>
        <v>0</v>
      </c>
      <c r="BZ161" s="2" t="inlineStr">
        <is>
          <t>2026-05-07 14:01:23</t>
        </is>
      </c>
      <c r="CA161" s="2" t="inlineStr">
        <is>
          <t>C</t>
        </is>
      </c>
      <c r="CB161" s="2" t="inlineStr">
        <is>
          <t>已提交</t>
        </is>
      </c>
      <c r="CC161" s="2" t="inlineStr">
        <is>
          <t>无</t>
        </is>
      </c>
      <c r="CD161" s="2" t="inlineStr">
        <is>
          <t>无</t>
        </is>
      </c>
      <c r="CE161" s="2" t="inlineStr">
        <is>
          <t>无</t>
        </is>
      </c>
      <c r="CF161" s="2"/>
      <c r="CG161" s="2" t="inlineStr">
        <is>
          <t>320123196606063017</t>
        </is>
      </c>
      <c r="CH161" s="2" t="inlineStr">
        <is>
          <t>已生效</t>
        </is>
      </c>
      <c r="CI161" s="2" t="inlineStr">
        <is>
          <t>fc76658f-a7f1-42a2-964a-e255f102e462</t>
        </is>
      </c>
      <c r="CJ161" s="3" t="n">
        <v>1</v>
      </c>
      <c r="CK161" s="2" t="inlineStr">
        <is>
          <t>该成员存在一线工作履历</t>
        </is>
      </c>
      <c r="CL161" s="2" t="inlineStr">
        <is>
          <t>该成员存在一线工作履历</t>
        </is>
      </c>
      <c r="CM161" s="2" t="inlineStr">
        <is>
          <t>南化建司劳2017-1号文-南京南化建设有限公司施工一线专业序列人员分级管理规定</t>
        </is>
      </c>
      <c r="CN161" s="2" t="inlineStr">
        <is>
          <t>第三章第6条D类</t>
        </is>
      </c>
      <c r="CO161" s="2"/>
      <c r="CP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t="inlineStr">
        <is>
          <t>e346fb24-0003-450b-bd37-a9d0d28417a4</t>
        </is>
      </c>
      <c r="CJ162" s="3" t="n">
        <v>2</v>
      </c>
      <c r="CK162" s="2" t="inlineStr">
        <is>
          <t>近五年内该成员存在一线工作履历</t>
        </is>
      </c>
      <c r="CL162" s="2" t="inlineStr">
        <is>
          <t>近五年内该成员存在一线工作履历</t>
        </is>
      </c>
      <c r="CM162" s="2" t="inlineStr">
        <is>
          <t>南化建司劳2017-1号文-南京南化建设有限公司施工一线专业序列人员分级管理规定</t>
        </is>
      </c>
      <c r="CN162" s="2" t="inlineStr">
        <is>
          <t>第三章第6条D类</t>
        </is>
      </c>
      <c r="CO162" s="2"/>
      <c r="CP162" s="2"/>
    </row>
    <row r="163">
      <c r="A163" s="2" t="inlineStr">
        <is>
          <t>4a589f22-a1af-478a-bebd-ff648ef02fda</t>
        </is>
      </c>
      <c r="B163" s="2" t="inlineStr">
        <is>
          <t>D.欠饱和，没想起来给他布置工作的话很可能就是闲着</t>
        </is>
      </c>
      <c r="C163" s="2" t="inlineStr">
        <is>
          <t>安装一分公司    陈玉忠    男    赵尊须</t>
        </is>
      </c>
      <c r="D163" s="2" t="inlineStr">
        <is>
          <t>Anonymous</t>
        </is>
      </c>
      <c r="E163" s="2" t="inlineStr">
        <is>
          <t>Anonymous</t>
        </is>
      </c>
      <c r="F163" s="2"/>
      <c r="G163" s="2" t="inlineStr">
        <is>
          <t>2026-05-25 10:56:15</t>
        </is>
      </c>
      <c r="H163" s="2" t="inlineStr">
        <is>
          <t>赵尊须</t>
        </is>
      </c>
      <c r="I163" s="2" t="inlineStr">
        <is>
          <t>320321199409114614</t>
        </is>
      </c>
      <c r="J163" s="2" t="inlineStr">
        <is>
          <t>男</t>
        </is>
      </c>
      <c r="K163" s="2" t="inlineStr">
        <is>
          <t>安装一分公司</t>
        </is>
      </c>
      <c r="L163" s="2" t="inlineStr">
        <is>
          <t>2017-08-01</t>
        </is>
      </c>
      <c r="M163" s="2" t="inlineStr">
        <is>
          <t>淮海工学院</t>
        </is>
      </c>
      <c r="N163" s="2" t="inlineStr">
        <is>
          <t>过控</t>
        </is>
      </c>
      <c r="O163" s="2" t="inlineStr">
        <is>
          <t>本科</t>
        </is>
      </c>
      <c r="P163" s="2" t="inlineStr">
        <is>
          <t>安装一分公司</t>
        </is>
      </c>
      <c r="Q163" s="2" t="inlineStr">
        <is>
          <t>陈玉忠</t>
        </is>
      </c>
      <c r="R163" s="2" t="inlineStr">
        <is>
          <t>男</t>
        </is>
      </c>
      <c r="S163" s="2" t="inlineStr">
        <is>
          <t>1990-12-01</t>
        </is>
      </c>
      <c r="T163" s="2" t="inlineStr">
        <is>
          <t>技师</t>
        </is>
      </c>
      <c r="U163" s="2" t="inlineStr">
        <is>
          <t>南京市十七中</t>
        </is>
      </c>
      <c r="V163" s="2" t="inlineStr">
        <is>
          <t>铆工</t>
        </is>
      </c>
      <c r="W163" s="2" t="inlineStr">
        <is>
          <t>初中</t>
        </is>
      </c>
      <c r="X163" s="2" t="inlineStr">
        <is>
          <t>C.拖沓被动：需要主管反复催促，才能勉强按时交差。</t>
        </is>
      </c>
      <c r="Y163" s="2" t="inlineStr">
        <is>
          <t>C.看心情/状态：状态好时不错，状态差时漏洞百出。</t>
        </is>
      </c>
      <c r="Z163" s="2" t="inlineStr">
        <is>
          <t>C.正常跟进：需要主管盯着节点、偶尔提醒进度，或者在跑偏时帮着拽回来。</t>
        </is>
      </c>
      <c r="AA163" s="2" t="inlineStr">
        <is>
          <t>B.清楚岗位：对自己岗位的活儿很门清，略知上下游。</t>
        </is>
      </c>
      <c r="AB163" s="2" t="inlineStr">
        <is>
          <t>B.尽力而为：能解决大部分问题，解决不了的会及时求助。</t>
        </is>
      </c>
      <c r="AC163" s="2" t="inlineStr">
        <is>
          <t>A.模范标兵：严于律己，从未在琐事上让主管费心。</t>
        </is>
      </c>
      <c r="AD163" s="2" t="inlineStr">
        <is>
          <t>C.照章办事：给多少干多少，完全按老规矩来，从不思考变革</t>
        </is>
      </c>
      <c r="AE163" s="2" t="inlineStr">
        <is>
          <t>C.沟通被动：你不催他不去，去了也带不回明确结果。</t>
        </is>
      </c>
      <c r="AF163" s="2" t="inlineStr">
        <is>
          <t>C.偶尔断片：答应得好好的，但中间不反馈，非得主管去追。</t>
        </is>
      </c>
      <c r="AG163" s="2" t="inlineStr">
        <is>
          <t>B.稳定器：做好自己，不给团队添乱，是可靠的一员。</t>
        </is>
      </c>
      <c r="AH163" s="2" t="inlineStr">
        <is>
          <t>B.懂得求助：在尝试后会及时向主管或同事反馈，寻求资源支持。</t>
        </is>
      </c>
      <c r="AI163" s="2" t="inlineStr">
        <is>
          <t>B. 配合接受：主管安排了就干，不推辞。</t>
        </is>
      </c>
      <c r="AJ163" s="2" t="inlineStr">
        <is>
          <t>C.较为配合：不抱怨，但压力较大时，工作质量会随之下滑。</t>
        </is>
      </c>
      <c r="AK163" s="2" t="inlineStr">
        <is>
          <t>B.照单全收：态度很好，虽然不一定完全理解，但会按要求改。</t>
        </is>
      </c>
      <c r="AL163" s="2" t="inlineStr">
        <is>
          <t>C.慢工细活：需要反复教，掌握过程比较吃力。</t>
        </is>
      </c>
      <c r="AM163" s="2" t="inlineStr">
        <is>
          <t>B.愿意传帮带：平时爱分享避坑指南，能带徒弟。</t>
        </is>
      </c>
      <c r="AN163" s="2" t="inlineStr">
        <is>
          <t>C.中规中矩：刚好达标，替代性较强。</t>
        </is>
      </c>
      <c r="AO163" s="2" t="inlineStr">
        <is>
          <t>C.熟练工：能胜任重复性工作，但很难承担更高阶的挑战。</t>
        </is>
      </c>
      <c r="AP163" s="2" t="inlineStr">
        <is>
          <t>C.正常更替：走就走吧，招个新人培养一下也没什么区别。</t>
        </is>
      </c>
      <c r="AQ163" s="2" t="inlineStr">
        <is>
          <t>C</t>
        </is>
      </c>
      <c r="AR163" s="2" t="inlineStr">
        <is>
          <t>C</t>
        </is>
      </c>
      <c r="AS163" s="2" t="inlineStr">
        <is>
          <t>一致</t>
        </is>
      </c>
      <c r="AT163" s="2" t="inlineStr">
        <is>
          <t>C</t>
        </is>
      </c>
      <c r="AU163" s="2"/>
      <c r="AV163" s="3"/>
      <c r="AW163" s="3"/>
      <c r="AX163" s="3"/>
      <c r="AY163" s="2" t="inlineStr">
        <is>
          <t>D</t>
        </is>
      </c>
      <c r="AZ163" s="2" t="inlineStr">
        <is>
          <t>工作态度尚可，因病休假转岗，目前岗位能力欠缺，但积极学习，希望尽快适应岗位。</t>
        </is>
      </c>
      <c r="BA163" s="7" t="n">
        <v>2</v>
      </c>
      <c r="BB163" s="7" t="n">
        <v>2</v>
      </c>
      <c r="BC163" s="7" t="n">
        <v>3</v>
      </c>
      <c r="BD163" s="7" t="n">
        <v>4</v>
      </c>
      <c r="BE163" s="7" t="n">
        <v>4</v>
      </c>
      <c r="BF163" s="7" t="n">
        <v>5</v>
      </c>
      <c r="BG163" s="7" t="n">
        <v>3</v>
      </c>
      <c r="BH163" s="7" t="n">
        <v>1</v>
      </c>
      <c r="BI163" s="7" t="n">
        <v>2</v>
      </c>
      <c r="BJ163" s="7" t="n">
        <v>4</v>
      </c>
      <c r="BK163" s="7" t="n">
        <v>3</v>
      </c>
      <c r="BL163" s="7" t="n">
        <v>4</v>
      </c>
      <c r="BM163" s="7" t="n">
        <v>2</v>
      </c>
      <c r="BN163" s="7" t="n">
        <v>3</v>
      </c>
      <c r="BO163" s="7" t="n">
        <v>3</v>
      </c>
      <c r="BP163" s="7" t="n">
        <v>2</v>
      </c>
      <c r="BQ163" s="7" t="n">
        <v>4</v>
      </c>
      <c r="BR163" s="7" t="n">
        <v>3</v>
      </c>
      <c r="BS163" s="7" t="n">
        <v>3</v>
      </c>
      <c r="BT163" s="7" t="n">
        <v>3</v>
      </c>
      <c r="BU163" s="7" t="n">
        <v>60</v>
      </c>
      <c r="BV163" s="2" t="inlineStr">
        <is>
          <t>A.需要存在，不可去除</t>
        </is>
      </c>
      <c r="BW163" s="2"/>
      <c r="BX163" s="2"/>
      <c r="BY163" s="6">
        <f>HYPERLINK("https://www.h3yun.com/Form/Attachments/?schemacode=D148357733993cc00c048ad9898e53f5f82cbb9&amp;bizObjectId=4a589f22-a1af-478a-bebd-ff648ef02fda&amp;name=F0000016","点击查看")</f>
        <v>0</v>
      </c>
      <c r="BZ163" s="2" t="inlineStr">
        <is>
          <t>2026-05-07 13:58:02</t>
        </is>
      </c>
      <c r="CA163" s="2" t="inlineStr">
        <is>
          <t>C</t>
        </is>
      </c>
      <c r="CB163" s="2" t="inlineStr">
        <is>
          <t>已提交</t>
        </is>
      </c>
      <c r="CC163" s="2" t="inlineStr">
        <is>
          <t>无</t>
        </is>
      </c>
      <c r="CD163" s="2" t="inlineStr">
        <is>
          <t>无</t>
        </is>
      </c>
      <c r="CE163" s="2" t="inlineStr">
        <is>
          <t>无</t>
        </is>
      </c>
      <c r="CF163" s="2"/>
      <c r="CG163" s="2" t="inlineStr">
        <is>
          <t>320111197009164433</t>
        </is>
      </c>
      <c r="CH163" s="2" t="inlineStr">
        <is>
          <t>已生效</t>
        </is>
      </c>
      <c r="CI163" s="2" t="inlineStr">
        <is>
          <t>d38dd770-787c-4be8-af31-3f487ddb04d0</t>
        </is>
      </c>
      <c r="CJ163" s="3" t="n">
        <v>1</v>
      </c>
      <c r="CK163" s="2" t="inlineStr">
        <is>
          <t>该成员存在一线工作履历</t>
        </is>
      </c>
      <c r="CL163" s="2" t="inlineStr">
        <is>
          <t>该成员存在一线工作履历</t>
        </is>
      </c>
      <c r="CM163" s="2" t="inlineStr">
        <is>
          <t>南化建司劳2017-1号文-南京南化建设有限公司施工一线专业序列人员分级管理规定</t>
        </is>
      </c>
      <c r="CN163" s="2" t="inlineStr">
        <is>
          <t>第三章第6条D类</t>
        </is>
      </c>
      <c r="CO163" s="2"/>
      <c r="CP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t="inlineStr">
        <is>
          <t>41d86e17-5993-466f-bf2e-c98136664a5f</t>
        </is>
      </c>
      <c r="CJ164" s="3" t="n">
        <v>2</v>
      </c>
      <c r="CK164" s="2" t="inlineStr">
        <is>
          <t>近五年内该成员存在一线工作履历</t>
        </is>
      </c>
      <c r="CL164" s="2" t="inlineStr">
        <is>
          <t>近五年内该成员存在一线工作履历</t>
        </is>
      </c>
      <c r="CM164" s="2" t="inlineStr">
        <is>
          <t>南化建司劳2017-1号文-南京南化建设有限公司施工一线专业序列人员分级管理规定</t>
        </is>
      </c>
      <c r="CN164" s="2" t="inlineStr">
        <is>
          <t>第三章第6条D类</t>
        </is>
      </c>
      <c r="CO164" s="2"/>
      <c r="CP164" s="2"/>
    </row>
    <row r="165">
      <c r="A165" s="2" t="inlineStr">
        <is>
          <t>2edf235b-18b6-401a-8c70-900c7f380d3d</t>
        </is>
      </c>
      <c r="B165" s="2" t="inlineStr">
        <is>
          <t>C.均衡，工作负荷一般，按部就班完成工作，除了突发时间几乎不用加班</t>
        </is>
      </c>
      <c r="C165" s="2" t="inlineStr">
        <is>
          <t>安装一分公司    王佳诚    男    赵尊须</t>
        </is>
      </c>
      <c r="D165" s="2" t="inlineStr">
        <is>
          <t>Anonymous</t>
        </is>
      </c>
      <c r="E165" s="2" t="inlineStr">
        <is>
          <t>Anonymous</t>
        </is>
      </c>
      <c r="F165" s="2"/>
      <c r="G165" s="2" t="inlineStr">
        <is>
          <t>2026-05-25 10:56:15</t>
        </is>
      </c>
      <c r="H165" s="2" t="inlineStr">
        <is>
          <t>赵尊须</t>
        </is>
      </c>
      <c r="I165" s="2" t="inlineStr">
        <is>
          <t>320321199409114614</t>
        </is>
      </c>
      <c r="J165" s="2" t="inlineStr">
        <is>
          <t>男</t>
        </is>
      </c>
      <c r="K165" s="2" t="inlineStr">
        <is>
          <t>安装一分公司</t>
        </is>
      </c>
      <c r="L165" s="2" t="inlineStr">
        <is>
          <t>2017-08-01</t>
        </is>
      </c>
      <c r="M165" s="2" t="inlineStr">
        <is>
          <t>淮海工学院</t>
        </is>
      </c>
      <c r="N165" s="2" t="inlineStr">
        <is>
          <t>过控</t>
        </is>
      </c>
      <c r="O165" s="2" t="inlineStr">
        <is>
          <t>本科</t>
        </is>
      </c>
      <c r="P165" s="2" t="inlineStr">
        <is>
          <t>安装一分公司</t>
        </is>
      </c>
      <c r="Q165" s="2" t="inlineStr">
        <is>
          <t>王佳诚</t>
        </is>
      </c>
      <c r="R165" s="2" t="inlineStr">
        <is>
          <t>男</t>
        </is>
      </c>
      <c r="S165" s="2" t="inlineStr">
        <is>
          <t>2021-04-01</t>
        </is>
      </c>
      <c r="T165" s="2" t="inlineStr">
        <is>
          <t>主要工种初级工</t>
        </is>
      </c>
      <c r="U165" s="2" t="inlineStr">
        <is>
          <t>邳州市碾庄镇碾庄中学</t>
        </is>
      </c>
      <c r="V165" s="2" t="inlineStr">
        <is>
          <t>焊接</t>
        </is>
      </c>
      <c r="W165" s="2" t="inlineStr">
        <is>
          <t>初中</t>
        </is>
      </c>
      <c r="X165" s="2" t="inlineStr">
        <is>
          <t>C.拖沓被动：需要主管反复催促，才能勉强按时交差。</t>
        </is>
      </c>
      <c r="Y165" s="2" t="inlineStr">
        <is>
          <t>C.看心情/状态：状态好时不错，状态差时漏洞百出。</t>
        </is>
      </c>
      <c r="Z165" s="2" t="inlineStr">
        <is>
          <t>C.正常跟进：需要主管盯着节点、偶尔提醒进度，或者在跑偏时帮着拽回来。</t>
        </is>
      </c>
      <c r="AA165" s="2" t="inlineStr">
        <is>
          <t>B.清楚岗位：对自己岗位的活儿很门清，略知上下游。</t>
        </is>
      </c>
      <c r="AB165" s="2" t="inlineStr">
        <is>
          <t>B.尽力而为：能解决大部分问题，解决不了的会及时求助。</t>
        </is>
      </c>
      <c r="AC165" s="2" t="inlineStr">
        <is>
          <t>A.模范标兵：严于律己，从未在琐事上让主管费心。</t>
        </is>
      </c>
      <c r="AD165" s="2" t="inlineStr">
        <is>
          <t>C.照章办事：给多少干多少，完全按老规矩来，从不思考变革</t>
        </is>
      </c>
      <c r="AE165" s="2" t="inlineStr">
        <is>
          <t>C.沟通被动：你不催他不去，去了也带不回明确结果。</t>
        </is>
      </c>
      <c r="AF165" s="2" t="inlineStr">
        <is>
          <t>B.有问有答：问到时能说清楚进度，基本能做到及时反馈。</t>
        </is>
      </c>
      <c r="AG165" s="2" t="inlineStr">
        <is>
          <t>B.稳定器：做好自己，不给团队添乱，是可靠的一员。</t>
        </is>
      </c>
      <c r="AH165" s="2" t="inlineStr">
        <is>
          <t>B.懂得求助：在尝试后会及时向主管或同事反馈，寻求资源支持。</t>
        </is>
      </c>
      <c r="AI165" s="2" t="inlineStr">
        <is>
          <t>B. 配合接受：主管安排了就干，不推辞。</t>
        </is>
      </c>
      <c r="AJ165" s="2" t="inlineStr">
        <is>
          <t>C.较为配合：不抱怨，但压力较大时，工作质量会随之下滑。</t>
        </is>
      </c>
      <c r="AK165" s="2" t="inlineStr">
        <is>
          <t>C.自我辩解：第一反应是找借口证明自己没错。</t>
        </is>
      </c>
      <c r="AL165" s="2" t="inlineStr">
        <is>
          <t>C.慢工细活：需要反复教，掌握过程比较吃力。</t>
        </is>
      </c>
      <c r="AM165" s="2" t="inlineStr">
        <is>
          <t>B.愿意传帮带：平时爱分享避坑指南，能带徒弟。</t>
        </is>
      </c>
      <c r="AN165" s="2" t="inlineStr">
        <is>
          <t>C.中规中矩：刚好达标，替代性较强。</t>
        </is>
      </c>
      <c r="AO165" s="2" t="inlineStr">
        <is>
          <t>C.熟练工：能胜任重复性工作，但很难承担更高阶的挑战。</t>
        </is>
      </c>
      <c r="AP165" s="2" t="inlineStr">
        <is>
          <t>C.正常更替：走就走吧，招个新人培养一下也没什么区别。</t>
        </is>
      </c>
      <c r="AQ165" s="2" t="inlineStr">
        <is>
          <t>C</t>
        </is>
      </c>
      <c r="AR165" s="2" t="inlineStr">
        <is>
          <t>C</t>
        </is>
      </c>
      <c r="AS165" s="2" t="inlineStr">
        <is>
          <t>一致</t>
        </is>
      </c>
      <c r="AT165" s="2" t="inlineStr">
        <is>
          <t>C</t>
        </is>
      </c>
      <c r="AU165" s="2" t="inlineStr">
        <is>
          <t>2档</t>
        </is>
      </c>
      <c r="AV165" s="3" t="n">
        <v>6300</v>
      </c>
      <c r="AW165" s="3" t="n">
        <v>5040</v>
      </c>
      <c r="AX165" s="3" t="n">
        <v>7560</v>
      </c>
      <c r="AY165" s="2" t="inlineStr">
        <is>
          <t>D</t>
        </is>
      </c>
      <c r="AZ165" s="2" t="inlineStr">
        <is>
          <t>特殊工种，自动焊工，符合工厂预制化的要求，需重点培养</t>
        </is>
      </c>
      <c r="BA165" s="7" t="n">
        <v>2</v>
      </c>
      <c r="BB165" s="7" t="n">
        <v>2</v>
      </c>
      <c r="BC165" s="7" t="n">
        <v>3</v>
      </c>
      <c r="BD165" s="7" t="n">
        <v>4</v>
      </c>
      <c r="BE165" s="7" t="n">
        <v>4</v>
      </c>
      <c r="BF165" s="7" t="n">
        <v>5</v>
      </c>
      <c r="BG165" s="7" t="n">
        <v>3</v>
      </c>
      <c r="BH165" s="7" t="n">
        <v>1</v>
      </c>
      <c r="BI165" s="7" t="n">
        <v>4</v>
      </c>
      <c r="BJ165" s="7" t="n">
        <v>4</v>
      </c>
      <c r="BK165" s="7" t="n">
        <v>3</v>
      </c>
      <c r="BL165" s="7" t="n">
        <v>4</v>
      </c>
      <c r="BM165" s="7" t="n">
        <v>3</v>
      </c>
      <c r="BN165" s="7" t="n">
        <v>3</v>
      </c>
      <c r="BO165" s="7" t="n">
        <v>1</v>
      </c>
      <c r="BP165" s="7" t="n">
        <v>2</v>
      </c>
      <c r="BQ165" s="7" t="n">
        <v>4</v>
      </c>
      <c r="BR165" s="7" t="n">
        <v>3</v>
      </c>
      <c r="BS165" s="7" t="n">
        <v>3</v>
      </c>
      <c r="BT165" s="7" t="n">
        <v>3</v>
      </c>
      <c r="BU165" s="7" t="n">
        <v>61</v>
      </c>
      <c r="BV165" s="2" t="inlineStr">
        <is>
          <t>A.需要存在，不可去除</t>
        </is>
      </c>
      <c r="BW165" s="2"/>
      <c r="BX165" s="2"/>
      <c r="BY165" s="6">
        <f>HYPERLINK("https://www.h3yun.com/Form/Attachments/?schemacode=D148357733993cc00c048ad9898e53f5f82cbb9&amp;bizObjectId=2edf235b-18b6-401a-8c70-900c7f380d3d&amp;name=F0000016","点击查看")</f>
        <v>0</v>
      </c>
      <c r="BZ165" s="2" t="inlineStr">
        <is>
          <t>2026-05-07 13:44:51</t>
        </is>
      </c>
      <c r="CA165" s="2" t="inlineStr">
        <is>
          <t>C</t>
        </is>
      </c>
      <c r="CB165" s="2" t="inlineStr">
        <is>
          <t>已提交</t>
        </is>
      </c>
      <c r="CC165" s="2" t="inlineStr">
        <is>
          <t>无</t>
        </is>
      </c>
      <c r="CD165" s="2" t="inlineStr">
        <is>
          <t>安全员证c2</t>
        </is>
      </c>
      <c r="CE165" s="2" t="inlineStr">
        <is>
          <t>无</t>
        </is>
      </c>
      <c r="CF165" s="2"/>
      <c r="CG165" s="2" t="inlineStr">
        <is>
          <t>320382199608026513</t>
        </is>
      </c>
      <c r="CH165" s="2" t="inlineStr">
        <is>
          <t>已生效</t>
        </is>
      </c>
      <c r="CI165" s="2" t="inlineStr">
        <is>
          <t>4782c7c8-e871-466a-a9aa-ce24de189f6b</t>
        </is>
      </c>
      <c r="CJ165" s="3" t="n">
        <v>1</v>
      </c>
      <c r="CK165" s="2" t="inlineStr">
        <is>
          <t>该成员存在一线工作履历</t>
        </is>
      </c>
      <c r="CL165" s="2" t="inlineStr">
        <is>
          <t>该成员存在一线工作履历</t>
        </is>
      </c>
      <c r="CM165" s="2" t="inlineStr">
        <is>
          <t>南化建司劳2017-1号文-南京南化建设有限公司施工一线专业序列人员分级管理规定</t>
        </is>
      </c>
      <c r="CN165" s="2" t="inlineStr">
        <is>
          <t>第三章第6条D类</t>
        </is>
      </c>
      <c r="CO165" s="2"/>
      <c r="CP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t="inlineStr">
        <is>
          <t>2445a12d-cad2-44c3-8118-349ea733357a</t>
        </is>
      </c>
      <c r="CJ166" s="3" t="n">
        <v>2</v>
      </c>
      <c r="CK166" s="2" t="inlineStr">
        <is>
          <t>近五年内该成员存在一线工作履历</t>
        </is>
      </c>
      <c r="CL166" s="2" t="inlineStr">
        <is>
          <t>近五年内该成员存在一线工作履历</t>
        </is>
      </c>
      <c r="CM166" s="2" t="inlineStr">
        <is>
          <t>南化建司劳2017-1号文-南京南化建设有限公司施工一线专业序列人员分级管理规定</t>
        </is>
      </c>
      <c r="CN166" s="2" t="inlineStr">
        <is>
          <t>第三章第6条D类</t>
        </is>
      </c>
      <c r="CO166" s="2"/>
      <c r="CP166" s="2"/>
    </row>
    <row r="167">
      <c r="A167" s="2" t="inlineStr">
        <is>
          <t>83c3ad21-9d29-48d3-9a76-ea75ce9be0a0</t>
        </is>
      </c>
      <c r="B167" s="2" t="inlineStr">
        <is>
          <t>C.均衡，工作负荷一般，按部就班完成工作，除了突发时间几乎不用加班</t>
        </is>
      </c>
      <c r="C167" s="2" t="inlineStr">
        <is>
          <t>安装一分公司    宋志清    男    赵尊须</t>
        </is>
      </c>
      <c r="D167" s="2" t="inlineStr">
        <is>
          <t>Anonymous</t>
        </is>
      </c>
      <c r="E167" s="2" t="inlineStr">
        <is>
          <t>Anonymous</t>
        </is>
      </c>
      <c r="F167" s="2"/>
      <c r="G167" s="2" t="inlineStr">
        <is>
          <t>2026-05-25 10:56:15</t>
        </is>
      </c>
      <c r="H167" s="2" t="inlineStr">
        <is>
          <t>赵尊须</t>
        </is>
      </c>
      <c r="I167" s="2" t="inlineStr">
        <is>
          <t>320321199409114614</t>
        </is>
      </c>
      <c r="J167" s="2" t="inlineStr">
        <is>
          <t>男</t>
        </is>
      </c>
      <c r="K167" s="2" t="inlineStr">
        <is>
          <t>安装一分公司</t>
        </is>
      </c>
      <c r="L167" s="2" t="inlineStr">
        <is>
          <t>2017-08-01</t>
        </is>
      </c>
      <c r="M167" s="2" t="inlineStr">
        <is>
          <t>淮海工学院</t>
        </is>
      </c>
      <c r="N167" s="2" t="inlineStr">
        <is>
          <t>过控</t>
        </is>
      </c>
      <c r="O167" s="2" t="inlineStr">
        <is>
          <t>本科</t>
        </is>
      </c>
      <c r="P167" s="2" t="inlineStr">
        <is>
          <t>安装一分公司</t>
        </is>
      </c>
      <c r="Q167" s="2" t="inlineStr">
        <is>
          <t>宋志清</t>
        </is>
      </c>
      <c r="R167" s="2" t="inlineStr">
        <is>
          <t>男</t>
        </is>
      </c>
      <c r="S167" s="2" t="inlineStr">
        <is>
          <t>2017-07-01</t>
        </is>
      </c>
      <c r="T167" s="2" t="inlineStr">
        <is>
          <t>辅助工种初级工</t>
        </is>
      </c>
      <c r="U167" s="2"/>
      <c r="V167" s="2" t="inlineStr">
        <is>
          <t>焊接</t>
        </is>
      </c>
      <c r="W167" s="2" t="inlineStr">
        <is>
          <t>高中</t>
        </is>
      </c>
      <c r="X167" s="2" t="inlineStr">
        <is>
          <t>C.拖沓被动：需要主管反复催促，才能勉强按时交差。</t>
        </is>
      </c>
      <c r="Y167" s="2" t="inlineStr">
        <is>
          <t>B.基本稳定：偶有小瑕疵，但不影响整体使用。</t>
        </is>
      </c>
      <c r="Z167" s="2" t="inlineStr">
        <is>
          <t>C.正常跟进：需要主管盯着节点、偶尔提醒进度，或者在跑偏时帮着拽回来。</t>
        </is>
      </c>
      <c r="AA167" s="2" t="inlineStr">
        <is>
          <t>B.清楚岗位：对自己岗位的活儿很门清，略知上下游。</t>
        </is>
      </c>
      <c r="AB167" s="2" t="inlineStr">
        <is>
          <t>B.尽力而为：能解决大部分问题，解决不了的会及时求助。</t>
        </is>
      </c>
      <c r="AC167" s="2" t="inlineStr">
        <is>
          <t>A.模范标兵：严于律己，从未在琐事上让主管费心。</t>
        </is>
      </c>
      <c r="AD167" s="2" t="inlineStr">
        <is>
          <t>C.照章办事：给多少干多少，完全按老规矩来，从不思考变革</t>
        </is>
      </c>
      <c r="AE167" s="2" t="inlineStr">
        <is>
          <t>C.沟通被动：你不催他不去，去了也带不回明确结果。</t>
        </is>
      </c>
      <c r="AF167" s="2" t="inlineStr">
        <is>
          <t>B.有问有答：问到时能说清楚进度，基本能做到及时反馈。</t>
        </is>
      </c>
      <c r="AG167" s="2" t="inlineStr">
        <is>
          <t>B.稳定器：做好自己，不给团队添乱，是可靠的一员。</t>
        </is>
      </c>
      <c r="AH167" s="2" t="inlineStr">
        <is>
          <t>B.懂得求助：在尝试后会及时向主管或同事反馈，寻求资源支持。</t>
        </is>
      </c>
      <c r="AI167" s="2" t="inlineStr">
        <is>
          <t>C. 守好地盘：只管自己那一块，多一点都不想碰。</t>
        </is>
      </c>
      <c r="AJ167" s="2" t="inlineStr">
        <is>
          <t>C.较为配合：不抱怨，但压力较大时，工作质量会随之下滑。</t>
        </is>
      </c>
      <c r="AK167" s="2" t="inlineStr">
        <is>
          <t>B.照单全收：态度很好，虽然不一定完全理解，但会按要求改。</t>
        </is>
      </c>
      <c r="AL167" s="2" t="inlineStr">
        <is>
          <t>C.慢工细活：需要反复教，掌握过程比较吃力。</t>
        </is>
      </c>
      <c r="AM167" s="2" t="inlineStr">
        <is>
          <t>B.愿意传帮带：平时爱分享避坑指南，能带徒弟。</t>
        </is>
      </c>
      <c r="AN167" s="2" t="inlineStr">
        <is>
          <t>C.中规中矩：刚好达标，替代性较强。</t>
        </is>
      </c>
      <c r="AO167" s="2" t="inlineStr">
        <is>
          <t>C.熟练工：能胜任重复性工作，但很难承担更高阶的挑战。</t>
        </is>
      </c>
      <c r="AP167" s="2" t="inlineStr">
        <is>
          <t>C.正常更替：走就走吧，招个新人培养一下也没什么区别。</t>
        </is>
      </c>
      <c r="AQ167" s="2" t="inlineStr">
        <is>
          <t>C</t>
        </is>
      </c>
      <c r="AR167" s="2" t="inlineStr">
        <is>
          <t>C</t>
        </is>
      </c>
      <c r="AS167" s="2" t="inlineStr">
        <is>
          <t>一致</t>
        </is>
      </c>
      <c r="AT167" s="2" t="inlineStr">
        <is>
          <t>C</t>
        </is>
      </c>
      <c r="AU167" s="2" t="inlineStr">
        <is>
          <t>1档</t>
        </is>
      </c>
      <c r="AV167" s="3" t="n">
        <v>6100</v>
      </c>
      <c r="AW167" s="3" t="n">
        <v>4880</v>
      </c>
      <c r="AX167" s="3" t="n">
        <v>7320</v>
      </c>
      <c r="AY167" s="2" t="inlineStr">
        <is>
          <t>D</t>
        </is>
      </c>
      <c r="AZ167" s="2" t="inlineStr">
        <is>
          <t>工作态度尚可，工作能力及工作效率有待提高</t>
        </is>
      </c>
      <c r="BA167" s="7" t="n">
        <v>2</v>
      </c>
      <c r="BB167" s="7" t="n">
        <v>4</v>
      </c>
      <c r="BC167" s="7" t="n">
        <v>3</v>
      </c>
      <c r="BD167" s="7" t="n">
        <v>4</v>
      </c>
      <c r="BE167" s="7" t="n">
        <v>4</v>
      </c>
      <c r="BF167" s="7" t="n">
        <v>5</v>
      </c>
      <c r="BG167" s="7" t="n">
        <v>3</v>
      </c>
      <c r="BH167" s="7" t="n">
        <v>1</v>
      </c>
      <c r="BI167" s="7" t="n">
        <v>4</v>
      </c>
      <c r="BJ167" s="7" t="n">
        <v>4</v>
      </c>
      <c r="BK167" s="7" t="n">
        <v>3</v>
      </c>
      <c r="BL167" s="7" t="n">
        <v>3</v>
      </c>
      <c r="BM167" s="7" t="n">
        <v>3</v>
      </c>
      <c r="BN167" s="7" t="n">
        <v>3</v>
      </c>
      <c r="BO167" s="7" t="n">
        <v>3</v>
      </c>
      <c r="BP167" s="7" t="n">
        <v>2</v>
      </c>
      <c r="BQ167" s="7" t="n">
        <v>4</v>
      </c>
      <c r="BR167" s="7" t="n">
        <v>3</v>
      </c>
      <c r="BS167" s="7" t="n">
        <v>3</v>
      </c>
      <c r="BT167" s="7" t="n">
        <v>3</v>
      </c>
      <c r="BU167" s="7" t="n">
        <v>64</v>
      </c>
      <c r="BV167" s="2" t="inlineStr">
        <is>
          <t>A.需要存在，不可去除</t>
        </is>
      </c>
      <c r="BW167" s="2"/>
      <c r="BX167" s="2"/>
      <c r="BY167" s="6">
        <f>HYPERLINK("https://www.h3yun.com/Form/Attachments/?schemacode=D148357733993cc00c048ad9898e53f5f82cbb9&amp;bizObjectId=83c3ad21-9d29-48d3-9a76-ea75ce9be0a0&amp;name=F0000016","点击查看")</f>
        <v>0</v>
      </c>
      <c r="BZ167" s="2" t="inlineStr">
        <is>
          <t>2026-05-07 13:40:41</t>
        </is>
      </c>
      <c r="CA167" s="2" t="inlineStr">
        <is>
          <t>C</t>
        </is>
      </c>
      <c r="CB167" s="2" t="inlineStr">
        <is>
          <t>已提交</t>
        </is>
      </c>
      <c r="CC167" s="2" t="inlineStr">
        <is>
          <t>无</t>
        </is>
      </c>
      <c r="CD167" s="2" t="inlineStr">
        <is>
          <t>无</t>
        </is>
      </c>
      <c r="CE167" s="2" t="inlineStr">
        <is>
          <t>无</t>
        </is>
      </c>
      <c r="CF167" s="2"/>
      <c r="CG167" s="2" t="inlineStr">
        <is>
          <t>320123196610202614</t>
        </is>
      </c>
      <c r="CH167" s="2" t="inlineStr">
        <is>
          <t>已生效</t>
        </is>
      </c>
      <c r="CI167" s="2" t="inlineStr">
        <is>
          <t>30f0fda1-34f0-4afb-85f7-65c2720c62cd</t>
        </is>
      </c>
      <c r="CJ167" s="3" t="n">
        <v>1</v>
      </c>
      <c r="CK167" s="2" t="inlineStr">
        <is>
          <t>该成员存在一线工作履历</t>
        </is>
      </c>
      <c r="CL167" s="2" t="inlineStr">
        <is>
          <t>该成员存在一线工作履历</t>
        </is>
      </c>
      <c r="CM167" s="2" t="inlineStr">
        <is>
          <t>南化建司劳2017-1号文-南京南化建设有限公司施工一线专业序列人员分级管理规定</t>
        </is>
      </c>
      <c r="CN167" s="2" t="inlineStr">
        <is>
          <t>第三章第6条D类</t>
        </is>
      </c>
      <c r="CO167" s="2"/>
      <c r="CP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t="inlineStr">
        <is>
          <t>96b2492a-87a6-4be8-987b-2850d71b8ca4</t>
        </is>
      </c>
      <c r="CJ168" s="3" t="n">
        <v>2</v>
      </c>
      <c r="CK168" s="2" t="inlineStr">
        <is>
          <t>近五年内该成员存在一线工作履历</t>
        </is>
      </c>
      <c r="CL168" s="2" t="inlineStr">
        <is>
          <t>近五年内该成员存在一线工作履历</t>
        </is>
      </c>
      <c r="CM168" s="2" t="inlineStr">
        <is>
          <t>南化建司劳2017-1号文-南京南化建设有限公司施工一线专业序列人员分级管理规定</t>
        </is>
      </c>
      <c r="CN168" s="2" t="inlineStr">
        <is>
          <t>第三章第6条D类</t>
        </is>
      </c>
      <c r="CO168" s="2"/>
      <c r="CP168" s="2"/>
    </row>
    <row r="169">
      <c r="A169" s="2" t="inlineStr">
        <is>
          <t>a3211b62-9af7-47f4-aafe-b70afa4b75f1</t>
        </is>
      </c>
      <c r="B169" s="2" t="inlineStr">
        <is>
          <t>B.满负荷，平时工作就很忙，偶尔因为非突发时间也要加班</t>
        </is>
      </c>
      <c r="C169" s="2" t="inlineStr">
        <is>
          <t>安装一分公司    李明    男    赵尊须</t>
        </is>
      </c>
      <c r="D169" s="2" t="inlineStr">
        <is>
          <t>Anonymous</t>
        </is>
      </c>
      <c r="E169" s="2" t="inlineStr">
        <is>
          <t>Anonymous</t>
        </is>
      </c>
      <c r="F169" s="2"/>
      <c r="G169" s="2" t="inlineStr">
        <is>
          <t>2026-05-25 10:56:15</t>
        </is>
      </c>
      <c r="H169" s="2" t="inlineStr">
        <is>
          <t>赵尊须</t>
        </is>
      </c>
      <c r="I169" s="2" t="inlineStr">
        <is>
          <t>320321199409114614</t>
        </is>
      </c>
      <c r="J169" s="2" t="inlineStr">
        <is>
          <t>男</t>
        </is>
      </c>
      <c r="K169" s="2" t="inlineStr">
        <is>
          <t>安装一分公司</t>
        </is>
      </c>
      <c r="L169" s="2" t="inlineStr">
        <is>
          <t>2017-08-01</t>
        </is>
      </c>
      <c r="M169" s="2" t="inlineStr">
        <is>
          <t>淮海工学院</t>
        </is>
      </c>
      <c r="N169" s="2" t="inlineStr">
        <is>
          <t>过控</t>
        </is>
      </c>
      <c r="O169" s="2" t="inlineStr">
        <is>
          <t>本科</t>
        </is>
      </c>
      <c r="P169" s="2" t="inlineStr">
        <is>
          <t>安装一分公司</t>
        </is>
      </c>
      <c r="Q169" s="2" t="inlineStr">
        <is>
          <t>李明</t>
        </is>
      </c>
      <c r="R169" s="2" t="inlineStr">
        <is>
          <t>男</t>
        </is>
      </c>
      <c r="S169" s="2" t="inlineStr">
        <is>
          <t>1994-08-01</t>
        </is>
      </c>
      <c r="T169" s="2" t="inlineStr">
        <is>
          <t>辅助工种中级工</t>
        </is>
      </c>
      <c r="U169" s="2" t="inlineStr">
        <is>
          <t>南化技校</t>
        </is>
      </c>
      <c r="V169" s="2" t="inlineStr">
        <is>
          <t>铆工</t>
        </is>
      </c>
      <c r="W169" s="2" t="inlineStr">
        <is>
          <t>技校</t>
        </is>
      </c>
      <c r="X169" s="2" t="inlineStr">
        <is>
          <t>C.拖沓被动：需要主管反复催促，才能勉强按时交差。</t>
        </is>
      </c>
      <c r="Y169" s="2" t="inlineStr">
        <is>
          <t>B.基本稳定：偶有小瑕疵，但不影响整体使用。</t>
        </is>
      </c>
      <c r="Z169" s="2" t="inlineStr">
        <is>
          <t>B.比较省心：只需定期同步一下进度，不需要主管盯着细节，能独立把事情办成。</t>
        </is>
      </c>
      <c r="AA169" s="2" t="inlineStr">
        <is>
          <t>B.清楚岗位：对自己岗位的活儿很门清，略知上下游。</t>
        </is>
      </c>
      <c r="AB169" s="2" t="inlineStr">
        <is>
          <t>B.尽力而为：能解决大部分问题，解决不了的会及时求助。</t>
        </is>
      </c>
      <c r="AC169" s="2" t="inlineStr">
        <is>
          <t>A.模范标兵：严于律己，从未在琐事上让主管费心。</t>
        </is>
      </c>
      <c r="AD169" s="2" t="inlineStr">
        <is>
          <t>C.照章办事：给多少干多少，完全按老规矩来，从不思考变革</t>
        </is>
      </c>
      <c r="AE169" s="2" t="inlineStr">
        <is>
          <t>C.沟通被动：你不催他不去，去了也带不回明确结果。</t>
        </is>
      </c>
      <c r="AF169" s="2" t="inlineStr">
        <is>
          <t>B.有问有答：问到时能说清楚进度，基本能做到及时反馈。</t>
        </is>
      </c>
      <c r="AG169" s="2" t="inlineStr">
        <is>
          <t>B.稳定器：做好自己，不给团队添乱，是可靠的一员。</t>
        </is>
      </c>
      <c r="AH169" s="2" t="inlineStr">
        <is>
          <t>B.懂得求助：在尝试后会及时向主管或同事反馈，寻求资源支持。</t>
        </is>
      </c>
      <c r="AI169" s="2" t="inlineStr">
        <is>
          <t>B. 配合接受：主管安排了就干，不推辞。</t>
        </is>
      </c>
      <c r="AJ169" s="2" t="inlineStr">
        <is>
          <t>B.配合度高：虽然有压力，但能服从大局，咬牙顶上去，且质量尚可。</t>
        </is>
      </c>
      <c r="AK169" s="2" t="inlineStr">
        <is>
          <t>B.照单全收：态度很好，虽然不一定完全理解，但会按要求改。</t>
        </is>
      </c>
      <c r="AL169" s="2" t="inlineStr">
        <is>
          <t>B.正常上手：经过简单培训或指导，能很快投入应用。</t>
        </is>
      </c>
      <c r="AM169" s="2" t="inlineStr">
        <is>
          <t>B.愿意传帮带：平时爱分享避坑指南，能带徒弟。</t>
        </is>
      </c>
      <c r="AN169" s="2" t="inlineStr">
        <is>
          <t>C.中规中矩：刚好达标，替代性较强。</t>
        </is>
      </c>
      <c r="AO169" s="2" t="inlineStr">
        <is>
          <t>C.熟练工：能胜任重复性工作，但很难承担更高阶的挑战。</t>
        </is>
      </c>
      <c r="AP169" s="2" t="inlineStr">
        <is>
          <t>C.正常更替：走就走吧，招个新人培养一下也没什么区别。</t>
        </is>
      </c>
      <c r="AQ169" s="2" t="inlineStr">
        <is>
          <t>B</t>
        </is>
      </c>
      <c r="AR169" s="2" t="inlineStr">
        <is>
          <t>B</t>
        </is>
      </c>
      <c r="AS169" s="2" t="inlineStr">
        <is>
          <t>一致</t>
        </is>
      </c>
      <c r="AT169" s="2" t="inlineStr">
        <is>
          <t>B</t>
        </is>
      </c>
      <c r="AU169" s="2" t="inlineStr">
        <is>
          <t>1档</t>
        </is>
      </c>
      <c r="AV169" s="3" t="n">
        <v>7600</v>
      </c>
      <c r="AW169" s="3" t="n">
        <v>6080</v>
      </c>
      <c r="AX169" s="3" t="n">
        <v>9120</v>
      </c>
      <c r="AY169" s="2" t="inlineStr">
        <is>
          <t>C</t>
        </is>
      </c>
      <c r="AZ169" s="2" t="inlineStr">
        <is>
          <t>技能工种，熟练掌握本职工作，工作认真负责</t>
        </is>
      </c>
      <c r="BA169" s="7" t="n">
        <v>2</v>
      </c>
      <c r="BB169" s="7" t="n">
        <v>4</v>
      </c>
      <c r="BC169" s="7" t="n">
        <v>4</v>
      </c>
      <c r="BD169" s="7" t="n">
        <v>4</v>
      </c>
      <c r="BE169" s="7" t="n">
        <v>4</v>
      </c>
      <c r="BF169" s="7" t="n">
        <v>5</v>
      </c>
      <c r="BG169" s="7" t="n">
        <v>3</v>
      </c>
      <c r="BH169" s="7" t="n">
        <v>1</v>
      </c>
      <c r="BI169" s="7" t="n">
        <v>4</v>
      </c>
      <c r="BJ169" s="7" t="n">
        <v>4</v>
      </c>
      <c r="BK169" s="7" t="n">
        <v>3</v>
      </c>
      <c r="BL169" s="7" t="n">
        <v>4</v>
      </c>
      <c r="BM169" s="7" t="n">
        <v>4</v>
      </c>
      <c r="BN169" s="7" t="n">
        <v>4</v>
      </c>
      <c r="BO169" s="7" t="n">
        <v>3</v>
      </c>
      <c r="BP169" s="7" t="n">
        <v>4</v>
      </c>
      <c r="BQ169" s="7" t="n">
        <v>4</v>
      </c>
      <c r="BR169" s="7" t="n">
        <v>3</v>
      </c>
      <c r="BS169" s="7" t="n">
        <v>3</v>
      </c>
      <c r="BT169" s="7" t="n">
        <v>3</v>
      </c>
      <c r="BU169" s="7" t="n">
        <v>70</v>
      </c>
      <c r="BV169" s="2" t="inlineStr">
        <is>
          <t>A.需要存在，不可去除</t>
        </is>
      </c>
      <c r="BW169" s="2"/>
      <c r="BX169" s="2"/>
      <c r="BY169" s="6">
        <f>HYPERLINK("https://www.h3yun.com/Form/Attachments/?schemacode=D148357733993cc00c048ad9898e53f5f82cbb9&amp;bizObjectId=a3211b62-9af7-47f4-aafe-b70afa4b75f1&amp;name=F0000016","点击查看")</f>
        <v>0</v>
      </c>
      <c r="BZ169" s="2" t="inlineStr">
        <is>
          <t>2026-05-07 13:36:47</t>
        </is>
      </c>
      <c r="CA169" s="2" t="inlineStr">
        <is>
          <t>B</t>
        </is>
      </c>
      <c r="CB169" s="2" t="inlineStr">
        <is>
          <t>已提交</t>
        </is>
      </c>
      <c r="CC169" s="2" t="inlineStr">
        <is>
          <t>无</t>
        </is>
      </c>
      <c r="CD169" s="2" t="inlineStr">
        <is>
          <t>无</t>
        </is>
      </c>
      <c r="CE169" s="2" t="inlineStr">
        <is>
          <t>优秀员工</t>
        </is>
      </c>
      <c r="CF169" s="2"/>
      <c r="CG169" s="2" t="inlineStr">
        <is>
          <t>320112197505170011</t>
        </is>
      </c>
      <c r="CH169" s="2" t="inlineStr">
        <is>
          <t>已生效</t>
        </is>
      </c>
      <c r="CI169" s="2" t="inlineStr">
        <is>
          <t>558690a9-a819-43c3-9807-3a71a7a4a9b2</t>
        </is>
      </c>
      <c r="CJ169" s="3" t="n">
        <v>1</v>
      </c>
      <c r="CK169" s="2" t="inlineStr">
        <is>
          <t>近三年至少担任过一个合同额1000万元以上项目相应岗位的主管</t>
        </is>
      </c>
      <c r="CL169" s="2" t="inlineStr">
        <is>
          <t>近三年至少担任过一个合同额1000万元以上项目相应岗位的主管</t>
        </is>
      </c>
      <c r="CM169" s="2" t="inlineStr">
        <is>
          <t>南化建司劳2017-1号文-南京南化建设有限公司施工一线专业序列人员分级管理规定</t>
        </is>
      </c>
      <c r="CN169" s="2" t="inlineStr">
        <is>
          <t>第三章第3条C类</t>
        </is>
      </c>
      <c r="CO169" s="2"/>
      <c r="CP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t="inlineStr">
        <is>
          <t>a542cfe8-0b5a-49e8-9399-e89fdb66695b</t>
        </is>
      </c>
      <c r="CJ170" s="3" t="n">
        <v>2</v>
      </c>
      <c r="CK170" s="2" t="inlineStr">
        <is>
          <t>公司二级单位或公司职能部门推荐</t>
        </is>
      </c>
      <c r="CL170" s="2" t="inlineStr">
        <is>
          <t>公司二级单位或公司职能部门推荐</t>
        </is>
      </c>
      <c r="CM170" s="2" t="inlineStr">
        <is>
          <t>南化建司劳2017-1号文-南京南化建设有限公司施工一线专业序列人员分级管理规定</t>
        </is>
      </c>
      <c r="CN170" s="2" t="inlineStr">
        <is>
          <t>第三章第3条C类</t>
        </is>
      </c>
      <c r="CO170" s="2"/>
      <c r="CP170" s="2"/>
    </row>
    <row r="171">
      <c r="A171" s="2" t="inlineStr">
        <is>
          <t>42398ad7-b32e-48f2-b370-3c7209a7e9f0</t>
        </is>
      </c>
      <c r="B171" s="2" t="inlineStr">
        <is>
          <t>B.满负荷，平时工作就很忙，偶尔因为非突发时间也要加班</t>
        </is>
      </c>
      <c r="C171" s="2" t="inlineStr">
        <is>
          <t>安装一分公司    彭文    男    赵尊须</t>
        </is>
      </c>
      <c r="D171" s="2" t="inlineStr">
        <is>
          <t>Anonymous</t>
        </is>
      </c>
      <c r="E171" s="2" t="inlineStr">
        <is>
          <t>Anonymous</t>
        </is>
      </c>
      <c r="F171" s="2"/>
      <c r="G171" s="2" t="inlineStr">
        <is>
          <t>2026-05-25 10:56:15</t>
        </is>
      </c>
      <c r="H171" s="2" t="inlineStr">
        <is>
          <t>赵尊须</t>
        </is>
      </c>
      <c r="I171" s="2" t="inlineStr">
        <is>
          <t>320321199409114614</t>
        </is>
      </c>
      <c r="J171" s="2" t="inlineStr">
        <is>
          <t>男</t>
        </is>
      </c>
      <c r="K171" s="2" t="inlineStr">
        <is>
          <t>安装一分公司</t>
        </is>
      </c>
      <c r="L171" s="2" t="inlineStr">
        <is>
          <t>2017-08-01</t>
        </is>
      </c>
      <c r="M171" s="2" t="inlineStr">
        <is>
          <t>淮海工学院</t>
        </is>
      </c>
      <c r="N171" s="2" t="inlineStr">
        <is>
          <t>过控</t>
        </is>
      </c>
      <c r="O171" s="2" t="inlineStr">
        <is>
          <t>本科</t>
        </is>
      </c>
      <c r="P171" s="2" t="inlineStr">
        <is>
          <t>安装一分公司</t>
        </is>
      </c>
      <c r="Q171" s="2" t="inlineStr">
        <is>
          <t>彭文</t>
        </is>
      </c>
      <c r="R171" s="2" t="inlineStr">
        <is>
          <t>男</t>
        </is>
      </c>
      <c r="S171" s="2" t="inlineStr">
        <is>
          <t>1984-12-01</t>
        </is>
      </c>
      <c r="T171" s="2" t="inlineStr">
        <is>
          <t>队长</t>
        </is>
      </c>
      <c r="U171" s="2"/>
      <c r="V171" s="2" t="inlineStr">
        <is>
          <t>铆工</t>
        </is>
      </c>
      <c r="W171" s="2" t="inlineStr">
        <is>
          <t>初中</t>
        </is>
      </c>
      <c r="X171" s="2" t="inlineStr">
        <is>
          <t>C.拖沓被动：需要主管反复催促，才能勉强按时交差。</t>
        </is>
      </c>
      <c r="Y171" s="2" t="inlineStr">
        <is>
          <t>B.基本稳定：偶有小瑕疵，但不影响整体使用。</t>
        </is>
      </c>
      <c r="Z171" s="2" t="inlineStr">
        <is>
          <t>B.比较省心：只需定期同步一下进度，不需要主管盯着细节，能独立把事情办成。</t>
        </is>
      </c>
      <c r="AA171" s="2" t="inlineStr">
        <is>
          <t>A.全局视野：了解上下游，能站在全业务链条考虑问题。</t>
        </is>
      </c>
      <c r="AB171" s="2" t="inlineStr">
        <is>
          <t>B.尽力而为：能解决大部分问题，解决不了的会及时求助。</t>
        </is>
      </c>
      <c r="AC171" s="2" t="inlineStr">
        <is>
          <t>A.模范标兵：严于律己，从未在琐事上让主管费心。</t>
        </is>
      </c>
      <c r="AD171" s="2" t="inlineStr">
        <is>
          <t>B.偶尔思考：在主管启发下，能提出一些优化想法</t>
        </is>
      </c>
      <c r="AE171" s="2" t="inlineStr">
        <is>
          <t>B.正常沟通：能清晰表达需求，维持基本的协作。</t>
        </is>
      </c>
      <c r="AF171" s="2" t="inlineStr">
        <is>
          <t>B.有问有答：问到时能说清楚进度，基本能做到及时反馈。</t>
        </is>
      </c>
      <c r="AG171" s="2" t="inlineStr">
        <is>
          <t>B.稳定器：做好自己，不给团队添乱，是可靠的一员。</t>
        </is>
      </c>
      <c r="AH171" s="2" t="inlineStr">
        <is>
          <t>B.懂得求助：在尝试后会及时向主管或同事反馈，寻求资源支持。</t>
        </is>
      </c>
      <c r="AI171" s="2" t="inlineStr">
        <is>
          <t>B. 配合接受：主管安排了就干，不推辞。</t>
        </is>
      </c>
      <c r="AJ171" s="2" t="inlineStr">
        <is>
          <t>B.抗压能力较强，面对重负荷能通过合理排期自行消化</t>
        </is>
      </c>
      <c r="AK171" s="2" t="inlineStr">
        <is>
          <t>C.有，其实是两种都可行的办法</t>
        </is>
      </c>
      <c r="AL171" s="2" t="inlineStr">
        <is>
          <t>B.学的一般，也能完成</t>
        </is>
      </c>
      <c r="AM171" s="2" t="inlineStr">
        <is>
          <t>B.愿意传帮带：平时爱分享避坑指南，能带徒弟。</t>
        </is>
      </c>
      <c r="AN171" s="2" t="inlineStr">
        <is>
          <t>C.中规中矩：刚好达标，替代性较强。</t>
        </is>
      </c>
      <c r="AO171" s="2" t="inlineStr">
        <is>
          <t>C.熟练工：能胜任重复性工作，但很难承担更高阶的挑战。</t>
        </is>
      </c>
      <c r="AP171" s="2" t="inlineStr">
        <is>
          <t>C.正常更替：走就走吧，招个新人培养一下也没什么区别。</t>
        </is>
      </c>
      <c r="AQ171" s="2" t="inlineStr">
        <is>
          <t>B</t>
        </is>
      </c>
      <c r="AR171" s="2" t="inlineStr">
        <is>
          <t>B</t>
        </is>
      </c>
      <c r="AS171" s="2" t="inlineStr">
        <is>
          <t>一致</t>
        </is>
      </c>
      <c r="AT171" s="2" t="inlineStr">
        <is>
          <t>B</t>
        </is>
      </c>
      <c r="AU171" s="2" t="inlineStr">
        <is>
          <t>1档</t>
        </is>
      </c>
      <c r="AV171" s="3" t="n">
        <v>7600</v>
      </c>
      <c r="AW171" s="3" t="n">
        <v>6080</v>
      </c>
      <c r="AX171" s="3" t="n">
        <v>9120</v>
      </c>
      <c r="AY171" s="2" t="inlineStr">
        <is>
          <t>C</t>
        </is>
      </c>
      <c r="AZ171" s="2" t="inlineStr">
        <is>
          <t>工作能力较强，服从工作安排，能很好地带领班组工作</t>
        </is>
      </c>
      <c r="BA171" s="7" t="n">
        <v>2</v>
      </c>
      <c r="BB171" s="7" t="n">
        <v>4</v>
      </c>
      <c r="BC171" s="7" t="n">
        <v>4</v>
      </c>
      <c r="BD171" s="7" t="n">
        <v>5</v>
      </c>
      <c r="BE171" s="7" t="n">
        <v>4</v>
      </c>
      <c r="BF171" s="7" t="n">
        <v>5</v>
      </c>
      <c r="BG171" s="7" t="n">
        <v>4</v>
      </c>
      <c r="BH171" s="7" t="n">
        <v>3.5</v>
      </c>
      <c r="BI171" s="7" t="n">
        <v>4</v>
      </c>
      <c r="BJ171" s="7" t="n">
        <v>4</v>
      </c>
      <c r="BK171" s="7" t="n">
        <v>3</v>
      </c>
      <c r="BL171" s="7" t="n">
        <v>4</v>
      </c>
      <c r="BM171" s="7" t="n">
        <v>4</v>
      </c>
      <c r="BN171" s="7" t="n">
        <v>4</v>
      </c>
      <c r="BO171" s="7" t="n">
        <v>1</v>
      </c>
      <c r="BP171" s="7" t="n">
        <v>4</v>
      </c>
      <c r="BQ171" s="7" t="n">
        <v>4</v>
      </c>
      <c r="BR171" s="7" t="n">
        <v>3</v>
      </c>
      <c r="BS171" s="7" t="n">
        <v>3</v>
      </c>
      <c r="BT171" s="7" t="n">
        <v>3</v>
      </c>
      <c r="BU171" s="7" t="n">
        <v>72.5</v>
      </c>
      <c r="BV171" s="2" t="inlineStr">
        <is>
          <t>A.需要存在，不可去除</t>
        </is>
      </c>
      <c r="BW171" s="2"/>
      <c r="BX171" s="2"/>
      <c r="BY171" s="6">
        <f>HYPERLINK("https://www.h3yun.com/Form/Attachments/?schemacode=D148357733993cc00c048ad9898e53f5f82cbb9&amp;bizObjectId=42398ad7-b32e-48f2-b370-3c7209a7e9f0&amp;name=F0000016","点击查看")</f>
        <v>0</v>
      </c>
      <c r="BZ171" s="2" t="inlineStr">
        <is>
          <t>2026-05-07 13:31:26</t>
        </is>
      </c>
      <c r="CA171" s="2" t="inlineStr">
        <is>
          <t>B</t>
        </is>
      </c>
      <c r="CB171" s="2" t="inlineStr">
        <is>
          <t>已提交</t>
        </is>
      </c>
      <c r="CC171" s="2" t="inlineStr">
        <is>
          <t>高级工</t>
        </is>
      </c>
      <c r="CD171" s="2" t="inlineStr">
        <is>
          <t>无</t>
        </is>
      </c>
      <c r="CE171" s="2" t="inlineStr">
        <is>
          <t>优秀员工</t>
        </is>
      </c>
      <c r="CF171" s="2"/>
      <c r="CG171" s="2" t="inlineStr">
        <is>
          <t>320112196706240413</t>
        </is>
      </c>
      <c r="CH171" s="2" t="inlineStr">
        <is>
          <t>已生效</t>
        </is>
      </c>
      <c r="CI171" s="2" t="inlineStr">
        <is>
          <t>680cdc98-9036-46b1-8b78-0a59f8d200cb</t>
        </is>
      </c>
      <c r="CJ171" s="3" t="n">
        <v>1</v>
      </c>
      <c r="CK171" s="2" t="inlineStr">
        <is>
          <t>近三年至少担任过一个合同额1000万元以上项目相应岗位的主管</t>
        </is>
      </c>
      <c r="CL171" s="2" t="inlineStr">
        <is>
          <t>近三年至少担任过一个合同额1000万元以上项目相应岗位的主管</t>
        </is>
      </c>
      <c r="CM171" s="2" t="inlineStr">
        <is>
          <t>南化建司劳2017-1号文-南京南化建设有限公司施工一线专业序列人员分级管理规定</t>
        </is>
      </c>
      <c r="CN171" s="2" t="inlineStr">
        <is>
          <t>第三章第3条C类</t>
        </is>
      </c>
      <c r="CO171" s="2"/>
      <c r="CP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t="inlineStr">
        <is>
          <t>447fb5a3-6876-413c-8098-64e1a4213724</t>
        </is>
      </c>
      <c r="CJ172" s="3" t="n">
        <v>2</v>
      </c>
      <c r="CK172" s="2" t="inlineStr">
        <is>
          <t>公司二级单位或公司职能部门推荐</t>
        </is>
      </c>
      <c r="CL172" s="2" t="inlineStr">
        <is>
          <t>公司二级单位或公司职能部门推荐</t>
        </is>
      </c>
      <c r="CM172" s="2" t="inlineStr">
        <is>
          <t>南化建司劳2017-1号文-南京南化建设有限公司施工一线专业序列人员分级管理规定</t>
        </is>
      </c>
      <c r="CN172" s="2" t="inlineStr">
        <is>
          <t>第三章第3条C类</t>
        </is>
      </c>
      <c r="CO172" s="2"/>
      <c r="CP172" s="2"/>
    </row>
    <row r="173">
      <c r="A173" s="2" t="inlineStr">
        <is>
          <t>8bcce49c-168c-4382-b1df-e28872a05d2e</t>
        </is>
      </c>
      <c r="B173" s="2" t="inlineStr">
        <is>
          <t>C.均衡，工作负荷一般，按部就班完成工作，除了突发时间几乎不用加班</t>
        </is>
      </c>
      <c r="C173" s="2" t="inlineStr">
        <is>
          <t>南京永利重工制造有限公司    周子豪    男    孙书志</t>
        </is>
      </c>
      <c r="D173" s="2" t="inlineStr">
        <is>
          <t>Anonymous</t>
        </is>
      </c>
      <c r="E173" s="2" t="inlineStr">
        <is>
          <t>Anonymous</t>
        </is>
      </c>
      <c r="F173" s="2"/>
      <c r="G173" s="2" t="inlineStr">
        <is>
          <t>2026-05-25 10:56:15</t>
        </is>
      </c>
      <c r="H173" s="2" t="inlineStr">
        <is>
          <t>孙书志</t>
        </is>
      </c>
      <c r="I173" s="2" t="inlineStr">
        <is>
          <t>340822198902171674</t>
        </is>
      </c>
      <c r="J173" s="2" t="inlineStr">
        <is>
          <t>男</t>
        </is>
      </c>
      <c r="K173" s="2" t="inlineStr">
        <is>
          <t>南京永利重工制造有限公司</t>
        </is>
      </c>
      <c r="L173" s="2" t="inlineStr">
        <is>
          <t>2012-07-01</t>
        </is>
      </c>
      <c r="M173" s="2" t="inlineStr">
        <is>
          <t>安徽理工大学</t>
        </is>
      </c>
      <c r="N173" s="2" t="inlineStr">
        <is>
          <t>过控</t>
        </is>
      </c>
      <c r="O173" s="2" t="inlineStr">
        <is>
          <t>本科</t>
        </is>
      </c>
      <c r="P173" s="2" t="inlineStr">
        <is>
          <t>南京永利重工制造有限公司</t>
        </is>
      </c>
      <c r="Q173" s="2" t="inlineStr">
        <is>
          <t>周子豪</t>
        </is>
      </c>
      <c r="R173" s="2" t="inlineStr">
        <is>
          <t>男</t>
        </is>
      </c>
      <c r="S173" s="2" t="inlineStr">
        <is>
          <t>2025-01-01</t>
        </is>
      </c>
      <c r="T173" s="2" t="inlineStr">
        <is>
          <t>技术助理(四)</t>
        </is>
      </c>
      <c r="U173" s="2" t="inlineStr">
        <is>
          <t>无锡城市职业技术学院</t>
        </is>
      </c>
      <c r="V173" s="2" t="inlineStr">
        <is>
          <t>土建</t>
        </is>
      </c>
      <c r="W173" s="2" t="inlineStr">
        <is>
          <t>大专</t>
        </is>
      </c>
      <c r="X173" s="2" t="inlineStr">
        <is>
          <t>C.拖沓被动：需要主管反复催促，才能勉强按时交差。</t>
        </is>
      </c>
      <c r="Y173" s="2" t="inlineStr">
        <is>
          <t>C.看心情/状态：状态好时不错，状态差时漏洞百出。</t>
        </is>
      </c>
      <c r="Z173" s="2" t="inlineStr">
        <is>
          <t>C.正常跟进：需要主管盯着节点、偶尔提醒进度，或者在跑偏时帮着拽回来。</t>
        </is>
      </c>
      <c r="AA173" s="2" t="inlineStr">
        <is>
          <t>B.清楚岗位：对自己岗位的活儿很门清，略知上下游。</t>
        </is>
      </c>
      <c r="AB173" s="2" t="inlineStr">
        <is>
          <t>B.尽力而为：能解决大部分问题，解决不了的会及时求助。</t>
        </is>
      </c>
      <c r="AC173" s="2" t="inlineStr">
        <is>
          <t>A.模范标兵：严于律己，从未在琐事上让主管费心。</t>
        </is>
      </c>
      <c r="AD173" s="2" t="inlineStr">
        <is>
          <t>C.照章办事：给多少干多少，完全按老规矩来，从不思考变革</t>
        </is>
      </c>
      <c r="AE173" s="2" t="inlineStr">
        <is>
          <t>B.正常沟通：能清晰表达需求，维持基本的协作。</t>
        </is>
      </c>
      <c r="AF173" s="2" t="inlineStr">
        <is>
          <t>C.偶尔断片：答应得好好的，但中间不反馈，非得主管去追。</t>
        </is>
      </c>
      <c r="AG173" s="2" t="inlineStr">
        <is>
          <t>C.旁观者：不关心团队，只关心自己的工作。</t>
        </is>
      </c>
      <c r="AH173" s="2" t="inlineStr">
        <is>
          <t>B.懂得求助：在尝试后会及时向主管或同事反馈，寻求资源支持。</t>
        </is>
      </c>
      <c r="AI173" s="2" t="inlineStr">
        <is>
          <t>B. 配合接受：主管安排了就干，不推辞。</t>
        </is>
      </c>
      <c r="AJ173" s="2" t="inlineStr">
        <is>
          <t>C.较为配合：不抱怨，但压力较大时，工作质量会随之下滑。</t>
        </is>
      </c>
      <c r="AK173" s="2" t="inlineStr">
        <is>
          <t>B.照单全收：态度很好，虽然不一定完全理解，但会按要求改。</t>
        </is>
      </c>
      <c r="AL173" s="2" t="inlineStr">
        <is>
          <t>C.慢工细活：需要反复教，掌握过程比较吃力。</t>
        </is>
      </c>
      <c r="AM173" s="2" t="inlineStr">
        <is>
          <t>C.技能私有：自己干得好也愿意分享，但是不会总结或讲不出来。</t>
        </is>
      </c>
      <c r="AN173" s="2" t="inlineStr">
        <is>
          <t>C.中规中矩：刚好达标，替代性较强。</t>
        </is>
      </c>
      <c r="AO173" s="2" t="inlineStr">
        <is>
          <t>C.熟练工：能胜任重复性工作，但很难承担更高阶的挑战。</t>
        </is>
      </c>
      <c r="AP173" s="2" t="inlineStr">
        <is>
          <t>C.正常更替：走就走吧，招个新人培养一下也没什么区别。</t>
        </is>
      </c>
      <c r="AQ173" s="2" t="inlineStr">
        <is>
          <t>D</t>
        </is>
      </c>
      <c r="AR173" s="2" t="inlineStr">
        <is>
          <t>D</t>
        </is>
      </c>
      <c r="AS173" s="2" t="inlineStr">
        <is>
          <t>一致</t>
        </is>
      </c>
      <c r="AT173" s="2" t="inlineStr">
        <is>
          <t>D</t>
        </is>
      </c>
      <c r="AU173" s="2"/>
      <c r="AV173" s="3"/>
      <c r="AW173" s="3"/>
      <c r="AX173" s="3"/>
      <c r="AY173" s="2" t="inlineStr">
        <is>
          <t>无对照</t>
        </is>
      </c>
      <c r="AZ173" s="2" t="inlineStr">
        <is>
          <t>尽快加强项目专业技术学习</t>
        </is>
      </c>
      <c r="BA173" s="7" t="n">
        <v>2</v>
      </c>
      <c r="BB173" s="7" t="n">
        <v>2</v>
      </c>
      <c r="BC173" s="7" t="n">
        <v>3</v>
      </c>
      <c r="BD173" s="7" t="n">
        <v>4</v>
      </c>
      <c r="BE173" s="7" t="n">
        <v>4</v>
      </c>
      <c r="BF173" s="7" t="n">
        <v>5</v>
      </c>
      <c r="BG173" s="7" t="n">
        <v>3</v>
      </c>
      <c r="BH173" s="7" t="n">
        <v>3.5</v>
      </c>
      <c r="BI173" s="7" t="n">
        <v>2</v>
      </c>
      <c r="BJ173" s="7" t="n">
        <v>2</v>
      </c>
      <c r="BK173" s="7" t="n">
        <v>3</v>
      </c>
      <c r="BL173" s="7" t="n">
        <v>4</v>
      </c>
      <c r="BM173" s="7" t="n">
        <v>3</v>
      </c>
      <c r="BN173" s="7" t="n">
        <v>3</v>
      </c>
      <c r="BO173" s="7" t="n">
        <v>3</v>
      </c>
      <c r="BP173" s="7" t="n">
        <v>2</v>
      </c>
      <c r="BQ173" s="7" t="n">
        <v>2</v>
      </c>
      <c r="BR173" s="7" t="n">
        <v>3</v>
      </c>
      <c r="BS173" s="7" t="n">
        <v>3</v>
      </c>
      <c r="BT173" s="7" t="n">
        <v>3</v>
      </c>
      <c r="BU173" s="7" t="n">
        <v>59.5</v>
      </c>
      <c r="BV173" s="2" t="inlineStr">
        <is>
          <t>A.需要存在，不可去除</t>
        </is>
      </c>
      <c r="BW173" s="2" t="inlineStr">
        <is>
          <t>9. 该员工面对工作中的困难，是否能积极面对、主动思考
建议：将有正确的工作态度，偶尔发牢骚分成两个选项</t>
        </is>
      </c>
      <c r="BX173" s="2"/>
      <c r="BY173" s="6">
        <f>HYPERLINK("https://www.h3yun.com/Form/Attachments/?schemacode=D148357733993cc00c048ad9898e53f5f82cbb9&amp;bizObjectId=8bcce49c-168c-4382-b1df-e28872a05d2e&amp;name=F0000016","点击查看")</f>
        <v>0</v>
      </c>
      <c r="BZ173" s="2" t="inlineStr">
        <is>
          <t>2026-05-07 11:43:20</t>
        </is>
      </c>
      <c r="CA173" s="2" t="inlineStr">
        <is>
          <t>D</t>
        </is>
      </c>
      <c r="CB173" s="2" t="inlineStr">
        <is>
          <t>已提交</t>
        </is>
      </c>
      <c r="CC173" s="2" t="inlineStr">
        <is>
          <t>无</t>
        </is>
      </c>
      <c r="CD173" s="2" t="inlineStr">
        <is>
          <t>无</t>
        </is>
      </c>
      <c r="CE173" s="2" t="inlineStr">
        <is>
          <t>无</t>
        </is>
      </c>
      <c r="CF173" s="2"/>
      <c r="CG173" s="2" t="inlineStr">
        <is>
          <t>320122200501173212</t>
        </is>
      </c>
      <c r="CH173" s="2" t="inlineStr">
        <is>
          <t>已生效</t>
        </is>
      </c>
      <c r="CI173" s="2"/>
      <c r="CJ173" s="2"/>
      <c r="CK173" s="2"/>
      <c r="CL173" s="2"/>
      <c r="CM173" s="2"/>
      <c r="CN173" s="2"/>
      <c r="CO173" s="2"/>
      <c r="CP173" s="2"/>
    </row>
    <row r="174">
      <c r="A174" s="2" t="inlineStr">
        <is>
          <t>e3d3d9df-c87c-4a6d-9af7-5432fc19822d</t>
        </is>
      </c>
      <c r="B174" s="2" t="inlineStr">
        <is>
          <t>C.均衡，工作负荷一般，按部就班完成工作，除了突发时间几乎不用加班</t>
        </is>
      </c>
      <c r="C174" s="2" t="inlineStr">
        <is>
          <t>南京永利重工制造有限公司    吴昊    男    孙书志</t>
        </is>
      </c>
      <c r="D174" s="2" t="inlineStr">
        <is>
          <t>Anonymous</t>
        </is>
      </c>
      <c r="E174" s="2" t="inlineStr">
        <is>
          <t>Anonymous</t>
        </is>
      </c>
      <c r="F174" s="2"/>
      <c r="G174" s="2" t="inlineStr">
        <is>
          <t>2026-05-25 10:56:15</t>
        </is>
      </c>
      <c r="H174" s="2" t="inlineStr">
        <is>
          <t>孙书志</t>
        </is>
      </c>
      <c r="I174" s="2" t="inlineStr">
        <is>
          <t>340822198902171674</t>
        </is>
      </c>
      <c r="J174" s="2" t="inlineStr">
        <is>
          <t>男</t>
        </is>
      </c>
      <c r="K174" s="2" t="inlineStr">
        <is>
          <t>南京永利重工制造有限公司</t>
        </is>
      </c>
      <c r="L174" s="2" t="inlineStr">
        <is>
          <t>2012-07-01</t>
        </is>
      </c>
      <c r="M174" s="2" t="inlineStr">
        <is>
          <t>安徽理工大学</t>
        </is>
      </c>
      <c r="N174" s="2" t="inlineStr">
        <is>
          <t>过控</t>
        </is>
      </c>
      <c r="O174" s="2" t="inlineStr">
        <is>
          <t>本科</t>
        </is>
      </c>
      <c r="P174" s="2" t="inlineStr">
        <is>
          <t>南京永利重工制造有限公司</t>
        </is>
      </c>
      <c r="Q174" s="2" t="inlineStr">
        <is>
          <t>吴昊</t>
        </is>
      </c>
      <c r="R174" s="2" t="inlineStr">
        <is>
          <t>男</t>
        </is>
      </c>
      <c r="S174" s="2" t="inlineStr">
        <is>
          <t>2019-08-01</t>
        </is>
      </c>
      <c r="T174" s="2" t="inlineStr">
        <is>
          <t>专业工程师</t>
        </is>
      </c>
      <c r="U174" s="2" t="inlineStr">
        <is>
          <t>南通大学杏林学院</t>
        </is>
      </c>
      <c r="V174" s="2" t="inlineStr">
        <is>
          <t>其他</t>
        </is>
      </c>
      <c r="W174" s="2" t="inlineStr">
        <is>
          <t>本科</t>
        </is>
      </c>
      <c r="X174" s="2" t="inlineStr">
        <is>
          <t>C.拖沓被动：需要主管反复催促，才能勉强按时交差。</t>
        </is>
      </c>
      <c r="Y174" s="2" t="inlineStr">
        <is>
          <t>B.基本稳定：偶有小瑕疵，但不影响整体使用。</t>
        </is>
      </c>
      <c r="Z174" s="2" t="inlineStr">
        <is>
          <t>C.正常跟进：需要主管盯着节点、偶尔提醒进度，或者在跑偏时帮着拽回来。</t>
        </is>
      </c>
      <c r="AA174" s="2" t="inlineStr">
        <is>
          <t>B.清楚岗位：对自己岗位的活儿很门清，略知上下游。</t>
        </is>
      </c>
      <c r="AB174" s="2" t="inlineStr">
        <is>
          <t>B.尽力而为：能解决大部分问题，解决不了的会及时求助。</t>
        </is>
      </c>
      <c r="AC174" s="2" t="inlineStr">
        <is>
          <t>A.模范标兵：严于律己，从未在琐事上让主管费心。</t>
        </is>
      </c>
      <c r="AD174" s="2" t="inlineStr">
        <is>
          <t>C.照章办事：给多少干多少，完全按老规矩来，从不思考变革</t>
        </is>
      </c>
      <c r="AE174" s="2" t="inlineStr">
        <is>
          <t>C.沟通被动：你不催他不去，去了也带不回明确结果。</t>
        </is>
      </c>
      <c r="AF174" s="2" t="inlineStr">
        <is>
          <t>B.有问有答：问到时能说清楚进度，基本能做到及时反馈。</t>
        </is>
      </c>
      <c r="AG174" s="2" t="inlineStr">
        <is>
          <t>B.稳定器：做好自己，不给团队添乱，是可靠的一员。</t>
        </is>
      </c>
      <c r="AH174" s="2" t="inlineStr">
        <is>
          <t>B.懂得求助：在尝试后会及时向主管或同事反馈，寻求资源支持。</t>
        </is>
      </c>
      <c r="AI174" s="2" t="inlineStr">
        <is>
          <t>B. 配合接受：主管安排了就干，不推辞。</t>
        </is>
      </c>
      <c r="AJ174" s="2" t="inlineStr">
        <is>
          <t>B.配合度高：虽然有压力，但能服从大局，咬牙顶上去，且质量尚可。</t>
        </is>
      </c>
      <c r="AK174" s="2" t="inlineStr">
        <is>
          <t>B.照单全收：态度很好，虽然不一定完全理解，但会按要求改。</t>
        </is>
      </c>
      <c r="AL174" s="2" t="inlineStr">
        <is>
          <t>B.正常上手：经过简单培训或指导，能很快投入应用。</t>
        </is>
      </c>
      <c r="AM174" s="2" t="inlineStr">
        <is>
          <t>C.技能私有：自己干得好也愿意分享，但是不会总结或讲不出来。</t>
        </is>
      </c>
      <c r="AN174" s="2" t="inlineStr">
        <is>
          <t>C.中规中矩：刚好达标，替代性较强。</t>
        </is>
      </c>
      <c r="AO174" s="2" t="inlineStr">
        <is>
          <t>C.熟练工：能胜任重复性工作，但很难承担更高阶的挑战。</t>
        </is>
      </c>
      <c r="AP174" s="2" t="inlineStr">
        <is>
          <t>B.有点可惜：是个好手，需要费心再找一个相同水准的。</t>
        </is>
      </c>
      <c r="AQ174" s="2" t="inlineStr">
        <is>
          <t>C</t>
        </is>
      </c>
      <c r="AR174" s="2" t="inlineStr">
        <is>
          <t>C</t>
        </is>
      </c>
      <c r="AS174" s="2" t="inlineStr">
        <is>
          <t>一致</t>
        </is>
      </c>
      <c r="AT174" s="2" t="inlineStr">
        <is>
          <t>C</t>
        </is>
      </c>
      <c r="AU174" s="2"/>
      <c r="AV174" s="3"/>
      <c r="AW174" s="3"/>
      <c r="AX174" s="3"/>
      <c r="AY174" s="2" t="inlineStr">
        <is>
          <t>D</t>
        </is>
      </c>
      <c r="AZ174" s="2" t="inlineStr">
        <is>
          <t>需加强思考能力、技术能力，协调能力，</t>
        </is>
      </c>
      <c r="BA174" s="7" t="n">
        <v>2</v>
      </c>
      <c r="BB174" s="7" t="n">
        <v>4</v>
      </c>
      <c r="BC174" s="7" t="n">
        <v>3</v>
      </c>
      <c r="BD174" s="7" t="n">
        <v>4</v>
      </c>
      <c r="BE174" s="7" t="n">
        <v>4</v>
      </c>
      <c r="BF174" s="7" t="n">
        <v>5</v>
      </c>
      <c r="BG174" s="7" t="n">
        <v>3</v>
      </c>
      <c r="BH174" s="7" t="n">
        <v>1</v>
      </c>
      <c r="BI174" s="7" t="n">
        <v>4</v>
      </c>
      <c r="BJ174" s="7" t="n">
        <v>4</v>
      </c>
      <c r="BK174" s="7" t="n">
        <v>3</v>
      </c>
      <c r="BL174" s="7" t="n">
        <v>4</v>
      </c>
      <c r="BM174" s="7" t="n">
        <v>3</v>
      </c>
      <c r="BN174" s="7" t="n">
        <v>4</v>
      </c>
      <c r="BO174" s="7" t="n">
        <v>3</v>
      </c>
      <c r="BP174" s="7" t="n">
        <v>4</v>
      </c>
      <c r="BQ174" s="7" t="n">
        <v>2</v>
      </c>
      <c r="BR174" s="7" t="n">
        <v>3</v>
      </c>
      <c r="BS174" s="7" t="n">
        <v>3</v>
      </c>
      <c r="BT174" s="7" t="n">
        <v>4</v>
      </c>
      <c r="BU174" s="7" t="n">
        <v>67</v>
      </c>
      <c r="BV174" s="2" t="inlineStr">
        <is>
          <t>A.需要存在，不可去除</t>
        </is>
      </c>
      <c r="BW174" s="2"/>
      <c r="BX174" s="2"/>
      <c r="BY174" s="6">
        <f>HYPERLINK("https://www.h3yun.com/Form/Attachments/?schemacode=D148357733993cc00c048ad9898e53f5f82cbb9&amp;bizObjectId=e3d3d9df-c87c-4a6d-9af7-5432fc19822d&amp;name=F0000016","点击查看")</f>
        <v>0</v>
      </c>
      <c r="BZ174" s="2" t="inlineStr">
        <is>
          <t>2026-05-07 11:30:30</t>
        </is>
      </c>
      <c r="CA174" s="2" t="inlineStr">
        <is>
          <t>C</t>
        </is>
      </c>
      <c r="CB174" s="2" t="inlineStr">
        <is>
          <t>已提交</t>
        </is>
      </c>
      <c r="CC174" s="2" t="inlineStr">
        <is>
          <t>工程师</t>
        </is>
      </c>
      <c r="CD174" s="2" t="inlineStr">
        <is>
          <t>无</t>
        </is>
      </c>
      <c r="CE174" s="2" t="inlineStr">
        <is>
          <t>无</t>
        </is>
      </c>
      <c r="CF174" s="2"/>
      <c r="CG174" s="2" t="inlineStr">
        <is>
          <t>321011199706280039</t>
        </is>
      </c>
      <c r="CH174" s="2" t="inlineStr">
        <is>
          <t>已生效</t>
        </is>
      </c>
      <c r="CI174" s="2" t="inlineStr">
        <is>
          <t>009d782d-24fc-42b8-94c5-055b18af46a5</t>
        </is>
      </c>
      <c r="CJ174" s="3" t="n">
        <v>1</v>
      </c>
      <c r="CK174" s="2" t="inlineStr">
        <is>
          <t>该成员存在一线工作履历</t>
        </is>
      </c>
      <c r="CL174" s="2" t="inlineStr">
        <is>
          <t>该成员存在一线工作履历</t>
        </is>
      </c>
      <c r="CM174" s="2" t="inlineStr">
        <is>
          <t>南化建司劳2017-1号文-南京南化建设有限公司施工一线专业序列人员分级管理规定</t>
        </is>
      </c>
      <c r="CN174" s="2" t="inlineStr">
        <is>
          <t>第三章第6条D类</t>
        </is>
      </c>
      <c r="CO174" s="2"/>
      <c r="CP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t="inlineStr">
        <is>
          <t>0b478f92-1f52-4575-b920-f3989c9979cd</t>
        </is>
      </c>
      <c r="CJ175" s="3" t="n">
        <v>2</v>
      </c>
      <c r="CK175" s="2" t="inlineStr">
        <is>
          <t>近五年内该成员存在一线工作履历</t>
        </is>
      </c>
      <c r="CL175" s="2" t="inlineStr">
        <is>
          <t>近五年内该成员存在一线工作履历</t>
        </is>
      </c>
      <c r="CM175" s="2" t="inlineStr">
        <is>
          <t>南化建司劳2017-1号文-南京南化建设有限公司施工一线专业序列人员分级管理规定</t>
        </is>
      </c>
      <c r="CN175" s="2" t="inlineStr">
        <is>
          <t>第三章第6条D类</t>
        </is>
      </c>
      <c r="CO175" s="2"/>
      <c r="CP175" s="2"/>
    </row>
    <row r="176">
      <c r="A176" s="2" t="inlineStr">
        <is>
          <t>22f1a258-68e1-4dcc-a079-206cc3904704</t>
        </is>
      </c>
      <c r="B176" s="2" t="inlineStr">
        <is>
          <t>C.均衡，工作负荷一般，按部就班完成工作，除了突发时间几乎不用加班</t>
        </is>
      </c>
      <c r="C176" s="2" t="inlineStr">
        <is>
          <t>物资部    汪丽    女    卞晓芳</t>
        </is>
      </c>
      <c r="D176" s="2" t="inlineStr">
        <is>
          <t>Anonymous</t>
        </is>
      </c>
      <c r="E176" s="2" t="inlineStr">
        <is>
          <t>Anonymous</t>
        </is>
      </c>
      <c r="F176" s="2"/>
      <c r="G176" s="2" t="inlineStr">
        <is>
          <t>2026-05-25 10:56:15</t>
        </is>
      </c>
      <c r="H176" s="2" t="inlineStr">
        <is>
          <t>卞晓芳</t>
        </is>
      </c>
      <c r="I176" s="2" t="inlineStr">
        <is>
          <t>320112198401060824</t>
        </is>
      </c>
      <c r="J176" s="2" t="inlineStr">
        <is>
          <t>女</t>
        </is>
      </c>
      <c r="K176" s="2" t="inlineStr">
        <is>
          <t>物资部</t>
        </is>
      </c>
      <c r="L176" s="2" t="inlineStr">
        <is>
          <t>2009-12-01</t>
        </is>
      </c>
      <c r="M176" s="2" t="inlineStr">
        <is>
          <t>江苏大学</t>
        </is>
      </c>
      <c r="N176" s="2" t="inlineStr">
        <is>
          <t>材料员</t>
        </is>
      </c>
      <c r="O176" s="2" t="inlineStr">
        <is>
          <t>本科</t>
        </is>
      </c>
      <c r="P176" s="2" t="inlineStr">
        <is>
          <t>物资部</t>
        </is>
      </c>
      <c r="Q176" s="2" t="inlineStr">
        <is>
          <t>汪丽</t>
        </is>
      </c>
      <c r="R176" s="2" t="inlineStr">
        <is>
          <t>女</t>
        </is>
      </c>
      <c r="S176" s="2" t="inlineStr">
        <is>
          <t>2019-03-01</t>
        </is>
      </c>
      <c r="T176" s="2" t="inlineStr">
        <is>
          <t>专业工程师</t>
        </is>
      </c>
      <c r="U176" s="2" t="inlineStr">
        <is>
          <t>南京农业大学</t>
        </is>
      </c>
      <c r="V176" s="2" t="inlineStr">
        <is>
          <t>材料员</t>
        </is>
      </c>
      <c r="W176" s="2" t="inlineStr">
        <is>
          <t>本科</t>
        </is>
      </c>
      <c r="X176" s="2" t="inlineStr">
        <is>
          <t>B.按时推进：基本能卡着时间点完成，不掉链子。</t>
        </is>
      </c>
      <c r="Y176" s="2" t="inlineStr">
        <is>
          <t>B.基本稳定：偶有小瑕疵，但不影响整体使用。</t>
        </is>
      </c>
      <c r="Z176" s="2" t="inlineStr">
        <is>
          <t>B.比较省心：只需定期同步一下进度，不需要主管盯着细节，能独立把事情办成。</t>
        </is>
      </c>
      <c r="AA176" s="2" t="inlineStr">
        <is>
          <t>B.清楚岗位：对自己岗位的活儿很门清，略知上下游。</t>
        </is>
      </c>
      <c r="AB176" s="2" t="inlineStr">
        <is>
          <t>A.攻坚克难：会想尽一切办法钻研，直至彻底解决。</t>
        </is>
      </c>
      <c r="AC176" s="2" t="inlineStr">
        <is>
          <t>B.基本合规：偶尔迟到或忘打卡，提醒后能迅速改正。</t>
        </is>
      </c>
      <c r="AD176" s="2" t="inlineStr">
        <is>
          <t>A.持续优化：经常提出改进流程、提升效率的实用建议</t>
        </is>
      </c>
      <c r="AE176" s="2" t="inlineStr">
        <is>
          <t>B.正常沟通：能清晰表达需求，维持基本的协作。</t>
        </is>
      </c>
      <c r="AF176" s="2" t="inlineStr">
        <is>
          <t>B.有问有答：问到时能说清楚进度，基本能做到及时反馈。</t>
        </is>
      </c>
      <c r="AG176" s="2" t="inlineStr">
        <is>
          <t>B.稳定器：做好自己，不给团队添乱，是可靠的一员。</t>
        </is>
      </c>
      <c r="AH176" s="2" t="inlineStr">
        <is>
          <t>B.懂得求助：在尝试后会及时向主管或同事反馈，寻求资源支持。</t>
        </is>
      </c>
      <c r="AI176" s="2" t="inlineStr">
        <is>
          <t>B. 配合接受：主管安排了就干，不推辞。</t>
        </is>
      </c>
      <c r="AJ176" s="2" t="inlineStr">
        <is>
          <t>B.配合度高：虽然有压力，但能服从大局，咬牙顶上去，且质量尚可。</t>
        </is>
      </c>
      <c r="AK176" s="2" t="inlineStr">
        <is>
          <t>B.照单全收：态度很好，虽然不一定完全理解，但会按要求改。</t>
        </is>
      </c>
      <c r="AL176" s="2" t="inlineStr">
        <is>
          <t>B.正常上手：经过简单培训或指导，能很快投入应用。</t>
        </is>
      </c>
      <c r="AM176" s="2" t="inlineStr">
        <is>
          <t>C.技能私有：自己干得好也愿意分享，但是不会总结或讲不出来。</t>
        </is>
      </c>
      <c r="AN176" s="2" t="inlineStr">
        <is>
          <t>C.中规中矩：刚好达标，替代性较强。</t>
        </is>
      </c>
      <c r="AO176" s="2" t="inlineStr">
        <is>
          <t>C.熟练工：能胜任重复性工作，但很难承担更高阶的挑战。</t>
        </is>
      </c>
      <c r="AP176" s="2" t="inlineStr">
        <is>
          <t>D.有点影响：目前人员缺失，正好符合这个领域，没人用，有比没有好</t>
        </is>
      </c>
      <c r="AQ176" s="2" t="inlineStr">
        <is>
          <t>B</t>
        </is>
      </c>
      <c r="AR176" s="2" t="inlineStr">
        <is>
          <t>B</t>
        </is>
      </c>
      <c r="AS176" s="2" t="inlineStr">
        <is>
          <t>一致</t>
        </is>
      </c>
      <c r="AT176" s="2" t="inlineStr">
        <is>
          <t>B</t>
        </is>
      </c>
      <c r="AU176" s="2" t="inlineStr">
        <is>
          <t>1档</t>
        </is>
      </c>
      <c r="AV176" s="3" t="n">
        <v>7600</v>
      </c>
      <c r="AW176" s="3" t="n">
        <v>6080</v>
      </c>
      <c r="AX176" s="3" t="n">
        <v>9120</v>
      </c>
      <c r="AY176" s="2" t="inlineStr">
        <is>
          <t>C</t>
        </is>
      </c>
      <c r="AZ176" s="2" t="inlineStr">
        <is>
          <t>能按时完成主管交代的任务，主动性待加强</t>
        </is>
      </c>
      <c r="BA176" s="7" t="n">
        <v>3</v>
      </c>
      <c r="BB176" s="7" t="n">
        <v>4</v>
      </c>
      <c r="BC176" s="7" t="n">
        <v>4</v>
      </c>
      <c r="BD176" s="7" t="n">
        <v>4</v>
      </c>
      <c r="BE176" s="7" t="n">
        <v>5</v>
      </c>
      <c r="BF176" s="7" t="n">
        <v>3.5</v>
      </c>
      <c r="BG176" s="7" t="n">
        <v>5</v>
      </c>
      <c r="BH176" s="7" t="n">
        <v>3.5</v>
      </c>
      <c r="BI176" s="7" t="n">
        <v>4</v>
      </c>
      <c r="BJ176" s="7" t="n">
        <v>4</v>
      </c>
      <c r="BK176" s="7" t="n">
        <v>3</v>
      </c>
      <c r="BL176" s="7" t="n">
        <v>4</v>
      </c>
      <c r="BM176" s="7" t="n">
        <v>3</v>
      </c>
      <c r="BN176" s="7" t="n">
        <v>4</v>
      </c>
      <c r="BO176" s="7" t="n">
        <v>3</v>
      </c>
      <c r="BP176" s="7" t="n">
        <v>4</v>
      </c>
      <c r="BQ176" s="7" t="n">
        <v>2</v>
      </c>
      <c r="BR176" s="7" t="n">
        <v>3</v>
      </c>
      <c r="BS176" s="7" t="n">
        <v>3</v>
      </c>
      <c r="BT176" s="7" t="n">
        <v>1</v>
      </c>
      <c r="BU176" s="7" t="n">
        <v>70</v>
      </c>
      <c r="BV176" s="2" t="inlineStr">
        <is>
          <t>A.需要存在，不可去除</t>
        </is>
      </c>
      <c r="BW176" s="2" t="inlineStr">
        <is>
          <t>对员工薪资区间不了解，建议不知道是否妥当</t>
        </is>
      </c>
      <c r="BX176" s="2"/>
      <c r="BY176" s="6">
        <f>HYPERLINK("https://www.h3yun.com/Form/Attachments/?schemacode=D148357733993cc00c048ad9898e53f5f82cbb9&amp;bizObjectId=22f1a258-68e1-4dcc-a079-206cc3904704&amp;name=F0000016","点击查看")</f>
        <v>0</v>
      </c>
      <c r="BZ176" s="2" t="inlineStr">
        <is>
          <t>2026-05-07 11:26:17</t>
        </is>
      </c>
      <c r="CA176" s="2" t="inlineStr">
        <is>
          <t>B</t>
        </is>
      </c>
      <c r="CB176" s="2" t="inlineStr">
        <is>
          <t>已提交</t>
        </is>
      </c>
      <c r="CC176" s="2" t="inlineStr">
        <is>
          <t>中级经济师</t>
        </is>
      </c>
      <c r="CD176" s="2" t="inlineStr">
        <is>
          <t>吴</t>
        </is>
      </c>
      <c r="CE176" s="2" t="inlineStr">
        <is>
          <t>吴</t>
        </is>
      </c>
      <c r="CF176" s="2"/>
      <c r="CG176" s="2" t="inlineStr">
        <is>
          <t>321283198806206440</t>
        </is>
      </c>
      <c r="CH176" s="2" t="inlineStr">
        <is>
          <t>已生效</t>
        </is>
      </c>
      <c r="CI176" s="2" t="inlineStr">
        <is>
          <t>d3bc555f-a184-444e-bde6-79647808f6f2</t>
        </is>
      </c>
      <c r="CJ176" s="3" t="n">
        <v>1</v>
      </c>
      <c r="CK176" s="2" t="inlineStr">
        <is>
          <t>近三年至少担任过一个合同额1000万元以上项目相应岗位的主管</t>
        </is>
      </c>
      <c r="CL176" s="2" t="inlineStr">
        <is>
          <t>近三年至少担任过一个合同额1000万元以上项目相应岗位的主管</t>
        </is>
      </c>
      <c r="CM176" s="2" t="inlineStr">
        <is>
          <t>南化建司劳2017-1号文-南京南化建设有限公司施工一线专业序列人员分级管理规定</t>
        </is>
      </c>
      <c r="CN176" s="2" t="inlineStr">
        <is>
          <t>第三章第3条C类</t>
        </is>
      </c>
      <c r="CO176" s="2"/>
      <c r="CP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t="inlineStr">
        <is>
          <t>062f6282-94f0-432d-a538-d158c7e96f73</t>
        </is>
      </c>
      <c r="CJ177" s="3" t="n">
        <v>2</v>
      </c>
      <c r="CK177" s="2" t="inlineStr">
        <is>
          <t>公司二级单位或公司职能部门推荐</t>
        </is>
      </c>
      <c r="CL177" s="2" t="inlineStr">
        <is>
          <t>公司二级单位或公司职能部门推荐</t>
        </is>
      </c>
      <c r="CM177" s="2" t="inlineStr">
        <is>
          <t>南化建司劳2017-1号文-南京南化建设有限公司施工一线专业序列人员分级管理规定</t>
        </is>
      </c>
      <c r="CN177" s="2" t="inlineStr">
        <is>
          <t>第三章第3条C类</t>
        </is>
      </c>
      <c r="CO177" s="2"/>
      <c r="CP177" s="2"/>
    </row>
    <row r="178">
      <c r="A178" s="2" t="inlineStr">
        <is>
          <t>edca4544-8ec2-4682-bcbb-de11fdc634ff</t>
        </is>
      </c>
      <c r="B178" s="2" t="inlineStr">
        <is>
          <t>C.均衡，工作负荷一般，按部就班完成工作，除了突发时间几乎不用加班</t>
        </is>
      </c>
      <c r="C178" s="2" t="inlineStr">
        <is>
          <t>物资部    杨祎    女    卞晓芳</t>
        </is>
      </c>
      <c r="D178" s="2" t="inlineStr">
        <is>
          <t>Anonymous</t>
        </is>
      </c>
      <c r="E178" s="2" t="inlineStr">
        <is>
          <t>Anonymous</t>
        </is>
      </c>
      <c r="F178" s="2"/>
      <c r="G178" s="2" t="inlineStr">
        <is>
          <t>2026-05-25 10:56:15</t>
        </is>
      </c>
      <c r="H178" s="2" t="inlineStr">
        <is>
          <t>卞晓芳</t>
        </is>
      </c>
      <c r="I178" s="2" t="inlineStr">
        <is>
          <t>320112198401060824</t>
        </is>
      </c>
      <c r="J178" s="2" t="inlineStr">
        <is>
          <t>女</t>
        </is>
      </c>
      <c r="K178" s="2" t="inlineStr">
        <is>
          <t>物资部</t>
        </is>
      </c>
      <c r="L178" s="2" t="inlineStr">
        <is>
          <t>2009-12-01</t>
        </is>
      </c>
      <c r="M178" s="2" t="inlineStr">
        <is>
          <t>江苏大学</t>
        </is>
      </c>
      <c r="N178" s="2" t="inlineStr">
        <is>
          <t>材料员</t>
        </is>
      </c>
      <c r="O178" s="2" t="inlineStr">
        <is>
          <t>本科</t>
        </is>
      </c>
      <c r="P178" s="2" t="inlineStr">
        <is>
          <t>物资部</t>
        </is>
      </c>
      <c r="Q178" s="2" t="inlineStr">
        <is>
          <t>杨祎</t>
        </is>
      </c>
      <c r="R178" s="2" t="inlineStr">
        <is>
          <t>女</t>
        </is>
      </c>
      <c r="S178" s="2" t="inlineStr">
        <is>
          <t>2014-08-01</t>
        </is>
      </c>
      <c r="T178" s="2" t="inlineStr">
        <is>
          <t>业务主管</t>
        </is>
      </c>
      <c r="U178" s="2" t="inlineStr">
        <is>
          <t>扬州工业职业技术学院</t>
        </is>
      </c>
      <c r="V178" s="2" t="inlineStr">
        <is>
          <t>材料员</t>
        </is>
      </c>
      <c r="W178" s="2" t="inlineStr">
        <is>
          <t>大专</t>
        </is>
      </c>
      <c r="X178" s="2" t="inlineStr">
        <is>
          <t>B.按时推进：基本能卡着时间点完成，不掉链子。</t>
        </is>
      </c>
      <c r="Y178" s="2" t="inlineStr">
        <is>
          <t>B.基本稳定：偶有小瑕疵，但不影响整体使用。</t>
        </is>
      </c>
      <c r="Z178" s="2" t="inlineStr">
        <is>
          <t>B.比较省心：只需定期同步一下进度，不需要主管盯着细节，能独立把事情办成。</t>
        </is>
      </c>
      <c r="AA178" s="2" t="inlineStr">
        <is>
          <t>A.全局视野：了解上下游，能站在全业务链条考虑问题。</t>
        </is>
      </c>
      <c r="AB178" s="2" t="inlineStr">
        <is>
          <t>A.攻坚克难：会想尽一切办法钻研，直至彻底解决。</t>
        </is>
      </c>
      <c r="AC178" s="2" t="inlineStr">
        <is>
          <t>B.基本合规：偶尔迟到或忘打卡，提醒后能迅速改正。</t>
        </is>
      </c>
      <c r="AD178" s="2" t="inlineStr">
        <is>
          <t>B.偶尔思考：在主管启发下，能提出一些优化想法</t>
        </is>
      </c>
      <c r="AE178" s="2" t="inlineStr">
        <is>
          <t>A.推进力极强：能搞定不同性格的人，让对方配合。</t>
        </is>
      </c>
      <c r="AF178" s="2" t="inlineStr">
        <is>
          <t>B.有问有答：问到时能说清楚进度，基本能做到及时反馈。</t>
        </is>
      </c>
      <c r="AG178" s="2" t="inlineStr">
        <is>
          <t>B.稳定器：做好自己，不给团队添乱，是可靠的一员。</t>
        </is>
      </c>
      <c r="AH178" s="2" t="inlineStr">
        <is>
          <t>B.懂得求助：在尝试后会及时向主管或同事反馈，寻求资源支持。</t>
        </is>
      </c>
      <c r="AI178" s="2" t="inlineStr">
        <is>
          <t>B. 配合接受：主管安排了就干，不推辞。</t>
        </is>
      </c>
      <c r="AJ178" s="2" t="inlineStr">
        <is>
          <t>B.配合度高：虽然有压力，但能服从大局，咬牙顶上去，且质量尚可。</t>
        </is>
      </c>
      <c r="AK178" s="2" t="inlineStr">
        <is>
          <t>A.虚心求教：能听进去，并积极探讨更科学的方法。</t>
        </is>
      </c>
      <c r="AL178" s="2" t="inlineStr">
        <is>
          <t>A.极速掌握：自学能力极强，很快就能成为该领域的“百晓生”。</t>
        </is>
      </c>
      <c r="AM178" s="2" t="inlineStr">
        <is>
          <t>C.技能私有：自己干得好也愿意分享，但是不会总结或讲不出来。</t>
        </is>
      </c>
      <c r="AN178" s="2" t="inlineStr">
        <is>
          <t>C.中规中矩：刚好达标，替代性较强。</t>
        </is>
      </c>
      <c r="AO178" s="2" t="inlineStr">
        <is>
          <t>C.熟练工：能胜任重复性工作，但很难承担更高阶的挑战。</t>
        </is>
      </c>
      <c r="AP178" s="2" t="inlineStr">
        <is>
          <t>C.正常更替：走就走吧，招个新人培养一下也没什么区别。</t>
        </is>
      </c>
      <c r="AQ178" s="2" t="inlineStr">
        <is>
          <t>B</t>
        </is>
      </c>
      <c r="AR178" s="2" t="inlineStr">
        <is>
          <t>B</t>
        </is>
      </c>
      <c r="AS178" s="2" t="inlineStr">
        <is>
          <t>一致</t>
        </is>
      </c>
      <c r="AT178" s="2" t="inlineStr">
        <is>
          <t>B</t>
        </is>
      </c>
      <c r="AU178" s="2" t="inlineStr">
        <is>
          <t>1档</t>
        </is>
      </c>
      <c r="AV178" s="3" t="n">
        <v>7600</v>
      </c>
      <c r="AW178" s="3" t="n">
        <v>6080</v>
      </c>
      <c r="AX178" s="3" t="n">
        <v>9120</v>
      </c>
      <c r="AY178" s="2" t="inlineStr">
        <is>
          <t>C</t>
        </is>
      </c>
      <c r="AZ178" s="2" t="inlineStr">
        <is>
          <t>沟通能力比较强。</t>
        </is>
      </c>
      <c r="BA178" s="7" t="n">
        <v>3</v>
      </c>
      <c r="BB178" s="7" t="n">
        <v>4</v>
      </c>
      <c r="BC178" s="7" t="n">
        <v>4</v>
      </c>
      <c r="BD178" s="7" t="n">
        <v>5</v>
      </c>
      <c r="BE178" s="7" t="n">
        <v>5</v>
      </c>
      <c r="BF178" s="7" t="n">
        <v>3.5</v>
      </c>
      <c r="BG178" s="7" t="n">
        <v>4</v>
      </c>
      <c r="BH178" s="7" t="n">
        <v>5</v>
      </c>
      <c r="BI178" s="7" t="n">
        <v>4</v>
      </c>
      <c r="BJ178" s="7" t="n">
        <v>4</v>
      </c>
      <c r="BK178" s="7" t="n">
        <v>3</v>
      </c>
      <c r="BL178" s="7" t="n">
        <v>4</v>
      </c>
      <c r="BM178" s="7" t="n">
        <v>3</v>
      </c>
      <c r="BN178" s="7" t="n">
        <v>4</v>
      </c>
      <c r="BO178" s="7" t="n">
        <v>5</v>
      </c>
      <c r="BP178" s="7" t="n">
        <v>5</v>
      </c>
      <c r="BQ178" s="7" t="n">
        <v>2</v>
      </c>
      <c r="BR178" s="7" t="n">
        <v>3</v>
      </c>
      <c r="BS178" s="7" t="n">
        <v>3</v>
      </c>
      <c r="BT178" s="7" t="n">
        <v>3</v>
      </c>
      <c r="BU178" s="7" t="n">
        <v>76.5</v>
      </c>
      <c r="BV178" s="2" t="inlineStr">
        <is>
          <t>A.需要存在，不可去除</t>
        </is>
      </c>
      <c r="BW178" s="2" t="inlineStr">
        <is>
          <t>本人对员工的薪资区间并不熟悉，不知填写是否妥当</t>
        </is>
      </c>
      <c r="BX178" s="2"/>
      <c r="BY178" s="6">
        <f>HYPERLINK("https://www.h3yun.com/Form/Attachments/?schemacode=D148357733993cc00c048ad9898e53f5f82cbb9&amp;bizObjectId=edca4544-8ec2-4682-bcbb-de11fdc634ff&amp;name=F0000016","点击查看")</f>
        <v>0</v>
      </c>
      <c r="BZ178" s="2" t="inlineStr">
        <is>
          <t>2026-05-07 11:19:52</t>
        </is>
      </c>
      <c r="CA178" s="2" t="inlineStr">
        <is>
          <t>B</t>
        </is>
      </c>
      <c r="CB178" s="2" t="inlineStr">
        <is>
          <t>已提交</t>
        </is>
      </c>
      <c r="CC178" s="2" t="inlineStr">
        <is>
          <t>无</t>
        </is>
      </c>
      <c r="CD178" s="2" t="inlineStr">
        <is>
          <t>无</t>
        </is>
      </c>
      <c r="CE178" s="2" t="inlineStr">
        <is>
          <t>优秀员工</t>
        </is>
      </c>
      <c r="CF178" s="2"/>
      <c r="CG178" s="2" t="inlineStr">
        <is>
          <t>429006199405141529</t>
        </is>
      </c>
      <c r="CH178" s="2" t="inlineStr">
        <is>
          <t>已生效</t>
        </is>
      </c>
      <c r="CI178" s="2" t="inlineStr">
        <is>
          <t>9209a785-0e6e-43c6-ad23-9da393cdb010</t>
        </is>
      </c>
      <c r="CJ178" s="3" t="n">
        <v>1</v>
      </c>
      <c r="CK178" s="2" t="inlineStr">
        <is>
          <t>近三年至少担任过一个合同额1000万元以上项目相应岗位的主管</t>
        </is>
      </c>
      <c r="CL178" s="2" t="inlineStr">
        <is>
          <t>近三年至少担任过一个合同额1000万元以上项目相应岗位的主管</t>
        </is>
      </c>
      <c r="CM178" s="2" t="inlineStr">
        <is>
          <t>南化建司劳2017-1号文-南京南化建设有限公司施工一线专业序列人员分级管理规定</t>
        </is>
      </c>
      <c r="CN178" s="2" t="inlineStr">
        <is>
          <t>第三章第3条C类</t>
        </is>
      </c>
      <c r="CO178" s="2"/>
      <c r="CP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t="inlineStr">
        <is>
          <t>3c9bd83b-1fce-40c1-9c1a-6fbccc2c2fd9</t>
        </is>
      </c>
      <c r="CJ179" s="3" t="n">
        <v>2</v>
      </c>
      <c r="CK179" s="2" t="inlineStr">
        <is>
          <t>公司二级单位或公司职能部门推荐</t>
        </is>
      </c>
      <c r="CL179" s="2" t="inlineStr">
        <is>
          <t>公司二级单位或公司职能部门推荐</t>
        </is>
      </c>
      <c r="CM179" s="2" t="inlineStr">
        <is>
          <t>南化建司劳2017-1号文-南京南化建设有限公司施工一线专业序列人员分级管理规定</t>
        </is>
      </c>
      <c r="CN179" s="2" t="inlineStr">
        <is>
          <t>第三章第3条C类</t>
        </is>
      </c>
      <c r="CO179" s="2"/>
      <c r="CP179" s="2"/>
    </row>
    <row r="180">
      <c r="A180" s="2" t="inlineStr">
        <is>
          <t>a23b0721-3c31-4f94-98dc-111151d7f2ea</t>
        </is>
      </c>
      <c r="B180" s="2" t="inlineStr">
        <is>
          <t>B.满负荷，平时工作就很忙，偶尔因为非突发时间也要加班</t>
        </is>
      </c>
      <c r="C180" s="2" t="inlineStr">
        <is>
          <t>南京永利重工制造有限公司    董如明    男    孙书志</t>
        </is>
      </c>
      <c r="D180" s="2" t="inlineStr">
        <is>
          <t>Anonymous</t>
        </is>
      </c>
      <c r="E180" s="2" t="inlineStr">
        <is>
          <t>Anonymous</t>
        </is>
      </c>
      <c r="F180" s="2"/>
      <c r="G180" s="2" t="inlineStr">
        <is>
          <t>2026-05-25 10:56:15</t>
        </is>
      </c>
      <c r="H180" s="2" t="inlineStr">
        <is>
          <t>孙书志</t>
        </is>
      </c>
      <c r="I180" s="2" t="inlineStr">
        <is>
          <t>340822198902171674</t>
        </is>
      </c>
      <c r="J180" s="2" t="inlineStr">
        <is>
          <t>男</t>
        </is>
      </c>
      <c r="K180" s="2" t="inlineStr">
        <is>
          <t>南京永利重工制造有限公司</t>
        </is>
      </c>
      <c r="L180" s="2" t="inlineStr">
        <is>
          <t>2012-07-01</t>
        </is>
      </c>
      <c r="M180" s="2" t="inlineStr">
        <is>
          <t>安徽理工大学</t>
        </is>
      </c>
      <c r="N180" s="2" t="inlineStr">
        <is>
          <t>过控</t>
        </is>
      </c>
      <c r="O180" s="2" t="inlineStr">
        <is>
          <t>本科</t>
        </is>
      </c>
      <c r="P180" s="2" t="inlineStr">
        <is>
          <t>南京永利重工制造有限公司</t>
        </is>
      </c>
      <c r="Q180" s="2" t="inlineStr">
        <is>
          <t>董如明</t>
        </is>
      </c>
      <c r="R180" s="2" t="inlineStr">
        <is>
          <t>男</t>
        </is>
      </c>
      <c r="S180" s="2" t="inlineStr">
        <is>
          <t>2018-12-01</t>
        </is>
      </c>
      <c r="T180" s="2" t="inlineStr">
        <is>
          <t>专业工程师</t>
        </is>
      </c>
      <c r="U180" s="2" t="inlineStr">
        <is>
          <t>安徽大学</t>
        </is>
      </c>
      <c r="V180" s="2" t="inlineStr">
        <is>
          <t>化机</t>
        </is>
      </c>
      <c r="W180" s="2" t="inlineStr">
        <is>
          <t>本科</t>
        </is>
      </c>
      <c r="X180" s="2" t="inlineStr">
        <is>
          <t>A.积极高效：经常提前完成，且质量超出预期。</t>
        </is>
      </c>
      <c r="Y180" s="2" t="inlineStr">
        <is>
          <t>B.基本稳定：偶有小瑕疵，但不影响整体使用。</t>
        </is>
      </c>
      <c r="Z180" s="2" t="inlineStr">
        <is>
          <t>A.极其省心：只需交代目标，剩下的一律不用管，最后不仅能准时交付，甚至能超出预期。</t>
        </is>
      </c>
      <c r="AA180" s="2" t="inlineStr">
        <is>
          <t>A.全局视野：了解上下游，能站在全业务链条考虑问题。</t>
        </is>
      </c>
      <c r="AB180" s="2" t="inlineStr">
        <is>
          <t>A.攻坚克难：会想尽一切办法钻研，直至彻底解决。</t>
        </is>
      </c>
      <c r="AC180" s="2" t="inlineStr">
        <is>
          <t>A.模范标兵：严于律己，从未在琐事上让主管费心。</t>
        </is>
      </c>
      <c r="AD180" s="2" t="inlineStr">
        <is>
          <t>A.持续优化：经常提出改进流程、提升效率的实用建议</t>
        </is>
      </c>
      <c r="AE180" s="2" t="inlineStr">
        <is>
          <t>A.推进力极强：能搞定不同性格的人，让对方配合。</t>
        </is>
      </c>
      <c r="AF180" s="2" t="inlineStr">
        <is>
          <t>A.完美闭环：进展、难点、结果都会主动汇报，无需催促。</t>
        </is>
      </c>
      <c r="AG180" s="2" t="inlineStr">
        <is>
          <t>A.动力源：像小太阳，主动分享、帮人解惑，带活团队。</t>
        </is>
      </c>
      <c r="AH180" s="2" t="inlineStr">
        <is>
          <t>A.整合高手：能迅速找到能帮上忙的人和资源，借力打力解决问题。</t>
        </is>
      </c>
      <c r="AI180" s="2" t="inlineStr">
        <is>
          <t>A. 主动揽活：只要对团队有利，先接过来干了再说。</t>
        </is>
      </c>
      <c r="AJ180" s="2" t="inlineStr">
        <is>
          <t>A.越战越勇：能扛住压力，保持冷静，高效处理紧急事务。</t>
        </is>
      </c>
      <c r="AK180" s="2" t="inlineStr">
        <is>
          <t>B.照单全收：态度很好，虽然不一定完全理解，但会按要求改。</t>
        </is>
      </c>
      <c r="AL180" s="2" t="inlineStr">
        <is>
          <t>A.极速掌握：自学能力极强，很快就能成为该领域的“百晓生”。</t>
        </is>
      </c>
      <c r="AM180" s="2" t="inlineStr">
        <is>
          <t>B.愿意传帮带：平时爱分享避坑指南，能带徒弟。</t>
        </is>
      </c>
      <c r="AN180" s="2" t="inlineStr">
        <is>
          <t>A.第一梯队（Top 10%）：部门的标杆。</t>
        </is>
      </c>
      <c r="AO180" s="2" t="inlineStr">
        <is>
          <t>A.核心管理/专家：具备成为部门负责人或顶尖专家的潜质。</t>
        </is>
      </c>
      <c r="AP180" s="2" t="inlineStr">
        <is>
          <t>A.晴天霹雳：极其遗憾，会不惜代价挽留，他是部门的支柱。</t>
        </is>
      </c>
      <c r="AQ180" s="2" t="inlineStr">
        <is>
          <t>S</t>
        </is>
      </c>
      <c r="AR180" s="2" t="inlineStr">
        <is>
          <t>S</t>
        </is>
      </c>
      <c r="AS180" s="2" t="inlineStr">
        <is>
          <t>一致</t>
        </is>
      </c>
      <c r="AT180" s="2" t="inlineStr">
        <is>
          <t>S</t>
        </is>
      </c>
      <c r="AU180" s="2"/>
      <c r="AV180" s="3"/>
      <c r="AW180" s="3"/>
      <c r="AX180" s="3"/>
      <c r="AY180" s="2" t="inlineStr">
        <is>
          <t>A</t>
        </is>
      </c>
      <c r="AZ180" s="2" t="inlineStr">
        <is>
          <t>1. 积极主动
2. 效率优越
3. 技术能力出众</t>
        </is>
      </c>
      <c r="BA180" s="7" t="n">
        <v>5</v>
      </c>
      <c r="BB180" s="7" t="n">
        <v>4</v>
      </c>
      <c r="BC180" s="7" t="n">
        <v>5</v>
      </c>
      <c r="BD180" s="7" t="n">
        <v>5</v>
      </c>
      <c r="BE180" s="7" t="n">
        <v>5</v>
      </c>
      <c r="BF180" s="7" t="n">
        <v>5</v>
      </c>
      <c r="BG180" s="7" t="n">
        <v>5</v>
      </c>
      <c r="BH180" s="7" t="n">
        <v>5</v>
      </c>
      <c r="BI180" s="7" t="n">
        <v>5</v>
      </c>
      <c r="BJ180" s="7" t="n">
        <v>5</v>
      </c>
      <c r="BK180" s="7" t="n">
        <v>5</v>
      </c>
      <c r="BL180" s="7" t="n">
        <v>5</v>
      </c>
      <c r="BM180" s="7" t="n">
        <v>4</v>
      </c>
      <c r="BN180" s="7" t="n">
        <v>5</v>
      </c>
      <c r="BO180" s="7" t="n">
        <v>3</v>
      </c>
      <c r="BP180" s="7" t="n">
        <v>5</v>
      </c>
      <c r="BQ180" s="7" t="n">
        <v>4</v>
      </c>
      <c r="BR180" s="7" t="n">
        <v>5</v>
      </c>
      <c r="BS180" s="7" t="n">
        <v>5</v>
      </c>
      <c r="BT180" s="7" t="n">
        <v>5</v>
      </c>
      <c r="BU180" s="7" t="n">
        <v>95</v>
      </c>
      <c r="BV180" s="2" t="inlineStr">
        <is>
          <t>A.需要存在，不可去除</t>
        </is>
      </c>
      <c r="BW180" s="2"/>
      <c r="BX180" s="2"/>
      <c r="BY180" s="6">
        <f>HYPERLINK("https://www.h3yun.com/Form/Attachments/?schemacode=D148357733993cc00c048ad9898e53f5f82cbb9&amp;bizObjectId=a23b0721-3c31-4f94-98dc-111151d7f2ea&amp;name=F0000016","点击查看")</f>
        <v>0</v>
      </c>
      <c r="BZ180" s="2" t="inlineStr">
        <is>
          <t>2026-05-07 11:08:07</t>
        </is>
      </c>
      <c r="CA180" s="2" t="inlineStr">
        <is>
          <t>S</t>
        </is>
      </c>
      <c r="CB180" s="2" t="inlineStr">
        <is>
          <t>已提交</t>
        </is>
      </c>
      <c r="CC180" s="2" t="inlineStr">
        <is>
          <t>中级工程师证</t>
        </is>
      </c>
      <c r="CD180" s="2" t="inlineStr">
        <is>
          <t>安全员A证</t>
        </is>
      </c>
      <c r="CE180" s="2" t="inlineStr">
        <is>
          <t>2022年度公司优秀员工；
2023年度公司优秀员工；
2024年度公司优秀员工；
国际BIM大奖赛“最佳BIM施工管理应用”金奖-第四位；
工程建设企业青年科技创新大赛三等成果奖-第九位；
2024年度江苏省安装行业优秀论文评选一等奖-第三位；
第九届建设工程BIM大赛一等奖-第五位；
2021年度广西华谊公辅项目质量管理先进个人；
2022年度广西华谊公辅项目质量管理先进个人。</t>
        </is>
      </c>
      <c r="CF180" s="2"/>
      <c r="CG180" s="2" t="inlineStr">
        <is>
          <t>341125199608121293</t>
        </is>
      </c>
      <c r="CH180" s="2" t="inlineStr">
        <is>
          <t>已生效</t>
        </is>
      </c>
      <c r="CI180" s="2" t="inlineStr">
        <is>
          <t>654d9b6e-f4ca-4f90-bf36-5882b9d783c1</t>
        </is>
      </c>
      <c r="CJ180" s="3" t="n">
        <v>1</v>
      </c>
      <c r="CK180" s="2" t="inlineStr">
        <is>
          <t>近三年至少担任过一个合同额 2000万元以上项目的项目经理、施工经理、技术负责人(项目总工程师)、安全经理、质量经理、采购经理、合同控制经理、设计经理等关键岗位中的一个</t>
        </is>
      </c>
      <c r="CL180" s="2" t="inlineStr">
        <is>
          <t>近三年至少担任过一个合同额 2000万元以上项目的项目经理、施工经理、技术负责人(项目总工程师)、安全经理、质量经理、采购经理、合同控制经理、设计经理等关键岗位中的一个</t>
        </is>
      </c>
      <c r="CM180" s="2" t="inlineStr">
        <is>
          <t>南化建司劳2017-1号文-南京南化建设有限公司施工一线专业序列人员分级管理规定</t>
        </is>
      </c>
      <c r="CN180" s="2" t="inlineStr">
        <is>
          <t>第三章第1条A类</t>
        </is>
      </c>
      <c r="CO180" s="2"/>
      <c r="CP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t="inlineStr">
        <is>
          <t>2223830b-4d35-43e1-8de0-11d05d88b900</t>
        </is>
      </c>
      <c r="CJ181" s="3" t="n">
        <v>2</v>
      </c>
      <c r="CK181" s="2" t="inlineStr">
        <is>
          <t>公司二级单位或公司职能部门推荐</t>
        </is>
      </c>
      <c r="CL181" s="2" t="inlineStr">
        <is>
          <t>公司二级单位或公司职能部门推荐</t>
        </is>
      </c>
      <c r="CM181" s="2" t="inlineStr">
        <is>
          <t>南化建司劳2017-1号文-南京南化建设有限公司施工一线专业序列人员分级管理规定</t>
        </is>
      </c>
      <c r="CN181" s="2" t="inlineStr">
        <is>
          <t>第三章第1条A类</t>
        </is>
      </c>
      <c r="CO181" s="2"/>
      <c r="CP181" s="2"/>
    </row>
    <row r="182">
      <c r="A182" s="2" t="inlineStr">
        <is>
          <t>d7e658c0-1240-45f6-a195-bf114089ab90</t>
        </is>
      </c>
      <c r="B182" s="2" t="inlineStr">
        <is>
          <t>D.欠饱和，没想起来给他布置工作的话很可能就是闲着</t>
        </is>
      </c>
      <c r="C182" s="2" t="inlineStr">
        <is>
          <t>信息化中心    陈淑怡    女    蔡雷萌</t>
        </is>
      </c>
      <c r="D182" s="2" t="inlineStr">
        <is>
          <t>Anonymous</t>
        </is>
      </c>
      <c r="E182" s="2" t="inlineStr">
        <is>
          <t>Anonymous</t>
        </is>
      </c>
      <c r="F182" s="2"/>
      <c r="G182" s="2" t="inlineStr">
        <is>
          <t>2026-05-25 10:56:15</t>
        </is>
      </c>
      <c r="H182" s="2" t="inlineStr">
        <is>
          <t>蔡雷萌</t>
        </is>
      </c>
      <c r="I182" s="2" t="inlineStr">
        <is>
          <t>320705197403302019</t>
        </is>
      </c>
      <c r="J182" s="2" t="inlineStr">
        <is>
          <t>男</t>
        </is>
      </c>
      <c r="K182" s="2" t="inlineStr">
        <is>
          <t>信息化中心</t>
        </is>
      </c>
      <c r="L182" s="2" t="inlineStr">
        <is>
          <t>1995-08-01</t>
        </is>
      </c>
      <c r="M182" s="2" t="inlineStr">
        <is>
          <t>连云港化工高等专业学校</t>
        </is>
      </c>
      <c r="N182" s="2" t="inlineStr">
        <is>
          <t>电气</t>
        </is>
      </c>
      <c r="O182" s="2" t="inlineStr">
        <is>
          <t>大专</t>
        </is>
      </c>
      <c r="P182" s="2" t="inlineStr">
        <is>
          <t>信息化中心</t>
        </is>
      </c>
      <c r="Q182" s="2" t="inlineStr">
        <is>
          <t>陈淑怡</t>
        </is>
      </c>
      <c r="R182" s="2" t="inlineStr">
        <is>
          <t>女</t>
        </is>
      </c>
      <c r="S182" s="2" t="inlineStr">
        <is>
          <t>2018-07-01</t>
        </is>
      </c>
      <c r="T182" s="2" t="inlineStr">
        <is>
          <t>业务主办A</t>
        </is>
      </c>
      <c r="U182" s="2" t="inlineStr">
        <is>
          <t>南京联合职业技术学院</t>
        </is>
      </c>
      <c r="V182" s="2" t="inlineStr">
        <is>
          <t>其他</t>
        </is>
      </c>
      <c r="W182" s="2" t="inlineStr">
        <is>
          <t>本科</t>
        </is>
      </c>
      <c r="X182" s="2" t="inlineStr">
        <is>
          <t>B.按时推进：基本能卡着时间点完成，不掉链子。</t>
        </is>
      </c>
      <c r="Y182" s="2" t="inlineStr">
        <is>
          <t>B.基本稳定：偶有小瑕疵，但不影响整体使用。</t>
        </is>
      </c>
      <c r="Z182" s="2" t="inlineStr">
        <is>
          <t>C.正常跟进：需要主管盯着节点、偶尔提醒进度，或者在跑偏时帮着拽回来。</t>
        </is>
      </c>
      <c r="AA182" s="2" t="inlineStr">
        <is>
          <t>B.清楚岗位：对自己岗位的活儿很门清，略知上下游。</t>
        </is>
      </c>
      <c r="AB182" s="2" t="inlineStr">
        <is>
          <t>B.尽力而为：能解决大部分问题，解决不了的会及时求助。</t>
        </is>
      </c>
      <c r="AC182" s="2" t="inlineStr">
        <is>
          <t>B.基本合规：偶尔迟到或忘打卡，提醒后能迅速改正。</t>
        </is>
      </c>
      <c r="AD182" s="2" t="inlineStr">
        <is>
          <t>C.照章办事：给多少干多少，完全按老规矩来，从不思考变革</t>
        </is>
      </c>
      <c r="AE182" s="2" t="inlineStr">
        <is>
          <t>B.正常沟通：能清晰表达需求，维持基本的协作。</t>
        </is>
      </c>
      <c r="AF182" s="2" t="inlineStr">
        <is>
          <t>C.偶尔断片：答应得好好的，但中间不反馈，非得主管去追。</t>
        </is>
      </c>
      <c r="AG182" s="2" t="inlineStr">
        <is>
          <t>B.稳定器：做好自己，不给团队添乱，是可靠的一员。</t>
        </is>
      </c>
      <c r="AH182" s="2" t="inlineStr">
        <is>
          <t>B.懂得求助：在尝试后会及时向主管或同事反馈，寻求资源支持。</t>
        </is>
      </c>
      <c r="AI182" s="2" t="inlineStr">
        <is>
          <t>C. 守好地盘：只管自己那一块，多一点都不想碰。</t>
        </is>
      </c>
      <c r="AJ182" s="2" t="inlineStr">
        <is>
          <t>C.较为配合：不抱怨，但压力较大时，工作质量会随之下滑。</t>
        </is>
      </c>
      <c r="AK182" s="2" t="inlineStr">
        <is>
          <t>B.照单全收：态度很好，虽然不一定完全理解，但会按要求改。</t>
        </is>
      </c>
      <c r="AL182" s="2" t="inlineStr">
        <is>
          <t>C.慢工细活：需要反复教，掌握过程比较吃力。</t>
        </is>
      </c>
      <c r="AM182" s="2" t="inlineStr">
        <is>
          <t>C.技能私有：自己干得好也愿意分享，但是不会总结或讲不出来。</t>
        </is>
      </c>
      <c r="AN182" s="2" t="inlineStr">
        <is>
          <t>C.中规中矩：刚好达标，替代性较强。</t>
        </is>
      </c>
      <c r="AO182" s="2" t="inlineStr">
        <is>
          <t>C.熟练工：能胜任重复性工作，但很难承担更高阶的挑战。</t>
        </is>
      </c>
      <c r="AP182" s="2" t="inlineStr">
        <is>
          <t>D.有点影响：目前人员缺失，正好符合这个领域，没人用，有比没有好</t>
        </is>
      </c>
      <c r="AQ182" s="2" t="inlineStr">
        <is>
          <t>D</t>
        </is>
      </c>
      <c r="AR182" s="2" t="inlineStr">
        <is>
          <t>C</t>
        </is>
      </c>
      <c r="AS182" s="2" t="inlineStr">
        <is>
          <t>不一致</t>
        </is>
      </c>
      <c r="AT182" s="2" t="inlineStr">
        <is>
          <t>C</t>
        </is>
      </c>
      <c r="AU182" s="2"/>
      <c r="AV182" s="3"/>
      <c r="AW182" s="3"/>
      <c r="AX182" s="3"/>
      <c r="AY182" s="2" t="inlineStr">
        <is>
          <t>D</t>
        </is>
      </c>
      <c r="AZ182" s="2" t="inlineStr">
        <is>
          <t>陈淑怡工作态度尚可，但能力有所欠缺。考虑到的今后将不再单独设置行政类岗位，需要其进一步努力学习并掌握ERP运维能力。</t>
        </is>
      </c>
      <c r="BA182" s="7" t="n">
        <v>3</v>
      </c>
      <c r="BB182" s="7" t="n">
        <v>4</v>
      </c>
      <c r="BC182" s="7" t="n">
        <v>3</v>
      </c>
      <c r="BD182" s="7" t="n">
        <v>4</v>
      </c>
      <c r="BE182" s="7" t="n">
        <v>4</v>
      </c>
      <c r="BF182" s="7" t="n">
        <v>3.5</v>
      </c>
      <c r="BG182" s="7" t="n">
        <v>3</v>
      </c>
      <c r="BH182" s="7" t="n">
        <v>3.5</v>
      </c>
      <c r="BI182" s="7" t="n">
        <v>2</v>
      </c>
      <c r="BJ182" s="7" t="n">
        <v>4</v>
      </c>
      <c r="BK182" s="7" t="n">
        <v>3</v>
      </c>
      <c r="BL182" s="7" t="n">
        <v>3</v>
      </c>
      <c r="BM182" s="7" t="n">
        <v>2</v>
      </c>
      <c r="BN182" s="7" t="n">
        <v>3</v>
      </c>
      <c r="BO182" s="7" t="n">
        <v>3</v>
      </c>
      <c r="BP182" s="7" t="n">
        <v>2</v>
      </c>
      <c r="BQ182" s="7" t="n">
        <v>2</v>
      </c>
      <c r="BR182" s="7" t="n">
        <v>3</v>
      </c>
      <c r="BS182" s="7" t="n">
        <v>3</v>
      </c>
      <c r="BT182" s="7" t="n">
        <v>1</v>
      </c>
      <c r="BU182" s="7" t="n">
        <v>59</v>
      </c>
      <c r="BV182" s="2" t="inlineStr">
        <is>
          <t>B.存不存在均可</t>
        </is>
      </c>
      <c r="BW182" s="2"/>
      <c r="BX182" s="2"/>
      <c r="BY182" s="6">
        <f>HYPERLINK("https://www.h3yun.com/Form/Attachments/?schemacode=D148357733993cc00c048ad9898e53f5f82cbb9&amp;bizObjectId=d7e658c0-1240-45f6-a195-bf114089ab90&amp;name=F0000016","点击查看")</f>
        <v>0</v>
      </c>
      <c r="BZ182" s="2" t="inlineStr">
        <is>
          <t>2026-05-07 11:06:09</t>
        </is>
      </c>
      <c r="CA182" s="2" t="inlineStr">
        <is>
          <t>C</t>
        </is>
      </c>
      <c r="CB182" s="2" t="inlineStr">
        <is>
          <t>已提交</t>
        </is>
      </c>
      <c r="CC182" s="2" t="inlineStr">
        <is>
          <t>无</t>
        </is>
      </c>
      <c r="CD182" s="2" t="inlineStr">
        <is>
          <t>无</t>
        </is>
      </c>
      <c r="CE182" s="2" t="inlineStr">
        <is>
          <t>无</t>
        </is>
      </c>
      <c r="CF182" s="2"/>
      <c r="CG182" s="2" t="inlineStr">
        <is>
          <t>320111199210203624</t>
        </is>
      </c>
      <c r="CH182" s="2" t="inlineStr">
        <is>
          <t>已生效</t>
        </is>
      </c>
      <c r="CI182" s="2" t="inlineStr">
        <is>
          <t>544a798d-81ab-494c-ada1-aa74a690465b</t>
        </is>
      </c>
      <c r="CJ182" s="3" t="n">
        <v>1</v>
      </c>
      <c r="CK182" s="2" t="inlineStr">
        <is>
          <t>该成员存在一线工作履历</t>
        </is>
      </c>
      <c r="CL182" s="2" t="inlineStr">
        <is>
          <t>该成员存在一线工作履历</t>
        </is>
      </c>
      <c r="CM182" s="2" t="inlineStr">
        <is>
          <t>南化建司劳2017-1号文-南京南化建设有限公司施工一线专业序列人员分级管理规定</t>
        </is>
      </c>
      <c r="CN182" s="2" t="inlineStr">
        <is>
          <t>第三章第6条D类</t>
        </is>
      </c>
      <c r="CO182" s="2"/>
      <c r="CP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t="inlineStr">
        <is>
          <t>6a15a13b-b350-4588-8ae8-1a877481a977</t>
        </is>
      </c>
      <c r="CJ183" s="3" t="n">
        <v>2</v>
      </c>
      <c r="CK183" s="2" t="inlineStr">
        <is>
          <t>近五年内该成员存在一线工作履历</t>
        </is>
      </c>
      <c r="CL183" s="2" t="inlineStr">
        <is>
          <t>近五年内该成员存在一线工作履历</t>
        </is>
      </c>
      <c r="CM183" s="2" t="inlineStr">
        <is>
          <t>南化建司劳2017-1号文-南京南化建设有限公司施工一线专业序列人员分级管理规定</t>
        </is>
      </c>
      <c r="CN183" s="2" t="inlineStr">
        <is>
          <t>第三章第6条D类</t>
        </is>
      </c>
      <c r="CO183" s="2"/>
      <c r="CP183" s="2"/>
    </row>
    <row r="184">
      <c r="A184" s="2" t="inlineStr">
        <is>
          <t>89ca832e-1b85-4e7c-af9c-15dbe64e1f96</t>
        </is>
      </c>
      <c r="B184" s="2" t="inlineStr">
        <is>
          <t>C.均衡，工作负荷一般，按部就班完成工作，除了突发时间几乎不用加班</t>
        </is>
      </c>
      <c r="C184" s="2" t="inlineStr">
        <is>
          <t>技术中心    汤冉    男    张威</t>
        </is>
      </c>
      <c r="D184" s="2" t="inlineStr">
        <is>
          <t>Anonymous</t>
        </is>
      </c>
      <c r="E184" s="2" t="inlineStr">
        <is>
          <t>Anonymous</t>
        </is>
      </c>
      <c r="F184" s="2"/>
      <c r="G184" s="2" t="inlineStr">
        <is>
          <t>2026-05-25 10:56:15</t>
        </is>
      </c>
      <c r="H184" s="2" t="inlineStr">
        <is>
          <t>张威</t>
        </is>
      </c>
      <c r="I184" s="2" t="inlineStr">
        <is>
          <t>321027198912083075</t>
        </is>
      </c>
      <c r="J184" s="2" t="inlineStr">
        <is>
          <t>男</t>
        </is>
      </c>
      <c r="K184" s="2" t="inlineStr">
        <is>
          <t>技术中心</t>
        </is>
      </c>
      <c r="L184" s="2" t="inlineStr">
        <is>
          <t>2012-07-01</t>
        </is>
      </c>
      <c r="M184" s="2" t="inlineStr">
        <is>
          <t>常州大学</t>
        </is>
      </c>
      <c r="N184" s="2" t="inlineStr">
        <is>
          <t>过控</t>
        </is>
      </c>
      <c r="O184" s="2" t="inlineStr">
        <is>
          <t>本科</t>
        </is>
      </c>
      <c r="P184" s="2" t="inlineStr">
        <is>
          <t>技术中心</t>
        </is>
      </c>
      <c r="Q184" s="2" t="inlineStr">
        <is>
          <t>汤冉</t>
        </is>
      </c>
      <c r="R184" s="2" t="inlineStr">
        <is>
          <t>男</t>
        </is>
      </c>
      <c r="S184" s="2" t="inlineStr">
        <is>
          <t>2023-07-01</t>
        </is>
      </c>
      <c r="T184" s="2" t="inlineStr">
        <is>
          <t>业务主管</t>
        </is>
      </c>
      <c r="U184" s="2" t="inlineStr">
        <is>
          <t>仁荷大学</t>
        </is>
      </c>
      <c r="V184" s="2" t="inlineStr">
        <is>
          <t>其他</t>
        </is>
      </c>
      <c r="W184" s="2" t="inlineStr">
        <is>
          <t>硕士</t>
        </is>
      </c>
      <c r="X184" s="2" t="inlineStr">
        <is>
          <t>C.拖沓被动：需要主管反复催促，才能勉强按时交差。</t>
        </is>
      </c>
      <c r="Y184" s="2" t="inlineStr">
        <is>
          <t>B.基本稳定：偶有小瑕疵，但不影响整体使用。</t>
        </is>
      </c>
      <c r="Z184" s="2" t="inlineStr">
        <is>
          <t>B.比较省心：只需定期同步一下进度，不需要主管盯着细节，能独立把事情办成。</t>
        </is>
      </c>
      <c r="AA184" s="2" t="inlineStr">
        <is>
          <t>B.清楚岗位：对自己岗位的活儿很门清，略知上下游。</t>
        </is>
      </c>
      <c r="AB184" s="2" t="inlineStr">
        <is>
          <t>B.尽力而为：能解决大部分问题，解决不了的会及时求助。</t>
        </is>
      </c>
      <c r="AC184" s="2" t="inlineStr">
        <is>
          <t>B.基本合规：偶尔迟到或忘打卡，提醒后能迅速改正。</t>
        </is>
      </c>
      <c r="AD184" s="2" t="inlineStr">
        <is>
          <t>C.照章办事：给多少干多少，完全按老规矩来，从不思考变革</t>
        </is>
      </c>
      <c r="AE184" s="2" t="inlineStr">
        <is>
          <t>C.沟通被动：你不催他不去，去了也带不回明确结果。</t>
        </is>
      </c>
      <c r="AF184" s="2" t="inlineStr">
        <is>
          <t>C.偶尔断片：答应得好好的，但中间不反馈，非得主管去追。</t>
        </is>
      </c>
      <c r="AG184" s="2" t="inlineStr">
        <is>
          <t>B.稳定器：做好自己，不给团队添乱，是可靠的一员。</t>
        </is>
      </c>
      <c r="AH184" s="2" t="inlineStr">
        <is>
          <t>B.懂得求助：在尝试后会及时向主管或同事反馈，寻求资源支持。</t>
        </is>
      </c>
      <c r="AI184" s="2" t="inlineStr">
        <is>
          <t>B. 配合接受：主管安排了就干，不推辞。</t>
        </is>
      </c>
      <c r="AJ184" s="2" t="inlineStr">
        <is>
          <t>B.配合度高：虽然有压力，但能服从大局，咬牙顶上去，且质量尚可。</t>
        </is>
      </c>
      <c r="AK184" s="2" t="inlineStr">
        <is>
          <t>B.照单全收：态度很好，虽然不一定完全理解，但会按要求改。</t>
        </is>
      </c>
      <c r="AL184" s="2" t="inlineStr">
        <is>
          <t>C.慢工细活：需要反复教，掌握过程比较吃力。</t>
        </is>
      </c>
      <c r="AM184" s="2" t="inlineStr">
        <is>
          <t>C.技能私有：自己干得好也愿意分享，但是不会总结或讲不出来。</t>
        </is>
      </c>
      <c r="AN184" s="2" t="inlineStr">
        <is>
          <t>C.中规中矩：刚好达标，替代性较强。</t>
        </is>
      </c>
      <c r="AO184" s="2" t="inlineStr">
        <is>
          <t>C.熟练工：能胜任重复性工作，但很难承担更高阶的挑战。</t>
        </is>
      </c>
      <c r="AP184" s="2" t="inlineStr">
        <is>
          <t>C.正常更替：走就走吧，招个新人培养一下也没什么区别。</t>
        </is>
      </c>
      <c r="AQ184" s="2" t="inlineStr">
        <is>
          <t>C</t>
        </is>
      </c>
      <c r="AR184" s="2" t="inlineStr">
        <is>
          <t>C</t>
        </is>
      </c>
      <c r="AS184" s="2" t="inlineStr">
        <is>
          <t>一致</t>
        </is>
      </c>
      <c r="AT184" s="2" t="inlineStr">
        <is>
          <t>C</t>
        </is>
      </c>
      <c r="AU184" s="2"/>
      <c r="AV184" s="3"/>
      <c r="AW184" s="3"/>
      <c r="AX184" s="3"/>
      <c r="AY184" s="2" t="inlineStr">
        <is>
          <t>D</t>
        </is>
      </c>
      <c r="AZ184" s="2" t="inlineStr">
        <is>
          <t>各项工作基本能按时完成，受限于没有现场施工经验，管道材料经验和应用场景理解一般。工作效率有待提高</t>
        </is>
      </c>
      <c r="BA184" s="7" t="n">
        <v>2</v>
      </c>
      <c r="BB184" s="7" t="n">
        <v>4</v>
      </c>
      <c r="BC184" s="7" t="n">
        <v>4</v>
      </c>
      <c r="BD184" s="7" t="n">
        <v>4</v>
      </c>
      <c r="BE184" s="7" t="n">
        <v>4</v>
      </c>
      <c r="BF184" s="7" t="n">
        <v>3.5</v>
      </c>
      <c r="BG184" s="7" t="n">
        <v>3</v>
      </c>
      <c r="BH184" s="7" t="n">
        <v>1</v>
      </c>
      <c r="BI184" s="7" t="n">
        <v>2</v>
      </c>
      <c r="BJ184" s="7" t="n">
        <v>4</v>
      </c>
      <c r="BK184" s="7" t="n">
        <v>3</v>
      </c>
      <c r="BL184" s="7" t="n">
        <v>4</v>
      </c>
      <c r="BM184" s="7" t="n">
        <v>3</v>
      </c>
      <c r="BN184" s="7" t="n">
        <v>4</v>
      </c>
      <c r="BO184" s="7" t="n">
        <v>3</v>
      </c>
      <c r="BP184" s="7" t="n">
        <v>2</v>
      </c>
      <c r="BQ184" s="7" t="n">
        <v>2</v>
      </c>
      <c r="BR184" s="7" t="n">
        <v>3</v>
      </c>
      <c r="BS184" s="7" t="n">
        <v>3</v>
      </c>
      <c r="BT184" s="7" t="n">
        <v>3</v>
      </c>
      <c r="BU184" s="7" t="n">
        <v>61.5</v>
      </c>
      <c r="BV184" s="2" t="inlineStr">
        <is>
          <t>B.存不存在均可</t>
        </is>
      </c>
      <c r="BW184" s="2"/>
      <c r="BX184" s="2"/>
      <c r="BY184" s="6">
        <f>HYPERLINK("https://www.h3yun.com/Form/Attachments/?schemacode=D148357733993cc00c048ad9898e53f5f82cbb9&amp;bizObjectId=89ca832e-1b85-4e7c-af9c-15dbe64e1f96&amp;name=F0000016","点击查看")</f>
        <v>0</v>
      </c>
      <c r="BZ184" s="2" t="inlineStr">
        <is>
          <t>2026-05-07 11:04:24</t>
        </is>
      </c>
      <c r="CA184" s="2" t="inlineStr">
        <is>
          <t>C</t>
        </is>
      </c>
      <c r="CB184" s="2" t="inlineStr">
        <is>
          <t>已提交</t>
        </is>
      </c>
      <c r="CC184" s="2" t="inlineStr">
        <is>
          <t>无</t>
        </is>
      </c>
      <c r="CD184" s="2" t="inlineStr">
        <is>
          <t>无</t>
        </is>
      </c>
      <c r="CE184" s="2" t="inlineStr">
        <is>
          <t>无</t>
        </is>
      </c>
      <c r="CF184" s="2"/>
      <c r="CG184" s="2" t="inlineStr">
        <is>
          <t>320112198809020439</t>
        </is>
      </c>
      <c r="CH184" s="2" t="inlineStr">
        <is>
          <t>已生效</t>
        </is>
      </c>
      <c r="CI184" s="2" t="inlineStr">
        <is>
          <t>567a2ba1-4cde-425e-aec2-5e45f7f05786</t>
        </is>
      </c>
      <c r="CJ184" s="3" t="n">
        <v>1</v>
      </c>
      <c r="CK184" s="2" t="inlineStr">
        <is>
          <t>该成员存在一线工作履历</t>
        </is>
      </c>
      <c r="CL184" s="2" t="inlineStr">
        <is>
          <t>该成员存在一线工作履历</t>
        </is>
      </c>
      <c r="CM184" s="2" t="inlineStr">
        <is>
          <t>南化建司劳2017-1号文-南京南化建设有限公司施工一线专业序列人员分级管理规定</t>
        </is>
      </c>
      <c r="CN184" s="2" t="inlineStr">
        <is>
          <t>第三章第6条D类</t>
        </is>
      </c>
      <c r="CO184" s="2"/>
      <c r="CP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t="inlineStr">
        <is>
          <t>97325bab-26aa-4041-81fb-bd30a690477e</t>
        </is>
      </c>
      <c r="CJ185" s="3" t="n">
        <v>2</v>
      </c>
      <c r="CK185" s="2" t="inlineStr">
        <is>
          <t>近五年内该成员存在一线工作履历</t>
        </is>
      </c>
      <c r="CL185" s="2" t="inlineStr">
        <is>
          <t>近五年内该成员存在一线工作履历</t>
        </is>
      </c>
      <c r="CM185" s="2" t="inlineStr">
        <is>
          <t>南化建司劳2017-1号文-南京南化建设有限公司施工一线专业序列人员分级管理规定</t>
        </is>
      </c>
      <c r="CN185" s="2" t="inlineStr">
        <is>
          <t>第三章第6条D类</t>
        </is>
      </c>
      <c r="CO185" s="2"/>
      <c r="CP185" s="2"/>
    </row>
    <row r="186">
      <c r="A186" s="2" t="inlineStr">
        <is>
          <t>31b6dec1-8b1d-4d74-adc6-36a0bbb5669b</t>
        </is>
      </c>
      <c r="B186" s="2" t="inlineStr">
        <is>
          <t>C.均衡，工作负荷一般，按部就班完成工作，除了突发时间几乎不用加班</t>
        </is>
      </c>
      <c r="C186" s="2" t="inlineStr">
        <is>
          <t>安装一分公司    卢亚男    女    赵尊须</t>
        </is>
      </c>
      <c r="D186" s="2" t="inlineStr">
        <is>
          <t>Anonymous</t>
        </is>
      </c>
      <c r="E186" s="2" t="inlineStr">
        <is>
          <t>Anonymous</t>
        </is>
      </c>
      <c r="F186" s="2"/>
      <c r="G186" s="2" t="inlineStr">
        <is>
          <t>2026-05-25 10:56:15</t>
        </is>
      </c>
      <c r="H186" s="2" t="inlineStr">
        <is>
          <t>赵尊须</t>
        </is>
      </c>
      <c r="I186" s="2" t="inlineStr">
        <is>
          <t>320321199409114614</t>
        </is>
      </c>
      <c r="J186" s="2" t="inlineStr">
        <is>
          <t>男</t>
        </is>
      </c>
      <c r="K186" s="2" t="inlineStr">
        <is>
          <t>安装一分公司</t>
        </is>
      </c>
      <c r="L186" s="2" t="inlineStr">
        <is>
          <t>2017-08-01</t>
        </is>
      </c>
      <c r="M186" s="2" t="inlineStr">
        <is>
          <t>淮海工学院</t>
        </is>
      </c>
      <c r="N186" s="2" t="inlineStr">
        <is>
          <t>过控</t>
        </is>
      </c>
      <c r="O186" s="2" t="inlineStr">
        <is>
          <t>本科</t>
        </is>
      </c>
      <c r="P186" s="2" t="inlineStr">
        <is>
          <t>安装一分公司</t>
        </is>
      </c>
      <c r="Q186" s="2" t="inlineStr">
        <is>
          <t>卢亚男</t>
        </is>
      </c>
      <c r="R186" s="2" t="inlineStr">
        <is>
          <t>女</t>
        </is>
      </c>
      <c r="S186" s="2" t="inlineStr">
        <is>
          <t>2023-11-01</t>
        </is>
      </c>
      <c r="T186" s="2" t="inlineStr">
        <is>
          <t>技术助理(一)</t>
        </is>
      </c>
      <c r="U186" s="2" t="inlineStr">
        <is>
          <t>常州大学</t>
        </is>
      </c>
      <c r="V186" s="2" t="inlineStr">
        <is>
          <t>安全员</t>
        </is>
      </c>
      <c r="W186" s="2" t="inlineStr">
        <is>
          <t>本科</t>
        </is>
      </c>
      <c r="X186" s="2" t="inlineStr">
        <is>
          <t>C.拖沓被动：需要主管反复催促，才能勉强按时交差。</t>
        </is>
      </c>
      <c r="Y186" s="2" t="inlineStr">
        <is>
          <t>B.基本稳定：偶有小瑕疵，但不影响整体使用。</t>
        </is>
      </c>
      <c r="Z186" s="2" t="inlineStr">
        <is>
          <t>C.正常跟进：需要主管盯着节点、偶尔提醒进度，或者在跑偏时帮着拽回来。</t>
        </is>
      </c>
      <c r="AA186" s="2" t="inlineStr">
        <is>
          <t>B.清楚岗位：对自己岗位的活儿很门清，略知上下游。</t>
        </is>
      </c>
      <c r="AB186" s="2" t="inlineStr">
        <is>
          <t>B.尽力而为：能解决大部分问题，解决不了的会及时求助。</t>
        </is>
      </c>
      <c r="AC186" s="2" t="inlineStr">
        <is>
          <t>B.基本合规：偶尔迟到或忘打卡，提醒后能迅速改正。</t>
        </is>
      </c>
      <c r="AD186" s="2" t="inlineStr">
        <is>
          <t>C.照章办事：给多少干多少，完全按老规矩来，从不思考变革</t>
        </is>
      </c>
      <c r="AE186" s="2" t="inlineStr">
        <is>
          <t>B.正常沟通：能清晰表达需求，维持基本的协作。</t>
        </is>
      </c>
      <c r="AF186" s="2" t="inlineStr">
        <is>
          <t>B.有问有答：问到时能说清楚进度，基本能做到及时反馈。</t>
        </is>
      </c>
      <c r="AG186" s="2" t="inlineStr">
        <is>
          <t>B.稳定器：做好自己，不给团队添乱，是可靠的一员。</t>
        </is>
      </c>
      <c r="AH186" s="2" t="inlineStr">
        <is>
          <t>B.懂得求助：在尝试后会及时向主管或同事反馈，寻求资源支持。</t>
        </is>
      </c>
      <c r="AI186" s="2" t="inlineStr">
        <is>
          <t>B. 配合接受：主管安排了就干，不推辞。</t>
        </is>
      </c>
      <c r="AJ186" s="2" t="inlineStr">
        <is>
          <t>C.较为配合：不抱怨，但压力较大时，工作质量会随之下滑。</t>
        </is>
      </c>
      <c r="AK186" s="2" t="inlineStr">
        <is>
          <t>B.照单全收：态度很好，虽然不一定完全理解，但会按要求改。</t>
        </is>
      </c>
      <c r="AL186" s="2" t="inlineStr">
        <is>
          <t>C.慢工细活：需要反复教，掌握过程比较吃力。</t>
        </is>
      </c>
      <c r="AM186" s="2" t="inlineStr">
        <is>
          <t>C.技能私有：自己干得好也愿意分享，但是不会总结或讲不出来。</t>
        </is>
      </c>
      <c r="AN186" s="2" t="inlineStr">
        <is>
          <t>C.中规中矩：刚好达标，替代性较强。</t>
        </is>
      </c>
      <c r="AO186" s="2" t="inlineStr">
        <is>
          <t>C.熟练工：能胜任重复性工作，但很难承担更高阶的挑战。</t>
        </is>
      </c>
      <c r="AP186" s="2" t="inlineStr">
        <is>
          <t>C.正常更替：走就走吧，招个新人培养一下也没什么区别。</t>
        </is>
      </c>
      <c r="AQ186" s="2" t="inlineStr">
        <is>
          <t>C</t>
        </is>
      </c>
      <c r="AR186" s="2" t="inlineStr">
        <is>
          <t>C</t>
        </is>
      </c>
      <c r="AS186" s="2" t="inlineStr">
        <is>
          <t>一致</t>
        </is>
      </c>
      <c r="AT186" s="2" t="inlineStr">
        <is>
          <t>C</t>
        </is>
      </c>
      <c r="AU186" s="2" t="inlineStr">
        <is>
          <t>1档</t>
        </is>
      </c>
      <c r="AV186" s="3" t="n">
        <v>6100</v>
      </c>
      <c r="AW186" s="3" t="n">
        <v>4880</v>
      </c>
      <c r="AX186" s="3" t="n">
        <v>7320</v>
      </c>
      <c r="AY186" s="2" t="inlineStr">
        <is>
          <t>D</t>
        </is>
      </c>
      <c r="AZ186" s="2" t="inlineStr">
        <is>
          <t>工作态度较可，工作能力及工作效率有待提高</t>
        </is>
      </c>
      <c r="BA186" s="7" t="n">
        <v>2</v>
      </c>
      <c r="BB186" s="7" t="n">
        <v>4</v>
      </c>
      <c r="BC186" s="7" t="n">
        <v>3</v>
      </c>
      <c r="BD186" s="7" t="n">
        <v>4</v>
      </c>
      <c r="BE186" s="7" t="n">
        <v>4</v>
      </c>
      <c r="BF186" s="7" t="n">
        <v>3.5</v>
      </c>
      <c r="BG186" s="7" t="n">
        <v>3</v>
      </c>
      <c r="BH186" s="7" t="n">
        <v>3.5</v>
      </c>
      <c r="BI186" s="7" t="n">
        <v>4</v>
      </c>
      <c r="BJ186" s="7" t="n">
        <v>4</v>
      </c>
      <c r="BK186" s="7" t="n">
        <v>3</v>
      </c>
      <c r="BL186" s="7" t="n">
        <v>4</v>
      </c>
      <c r="BM186" s="7" t="n">
        <v>3</v>
      </c>
      <c r="BN186" s="7" t="n">
        <v>3</v>
      </c>
      <c r="BO186" s="7" t="n">
        <v>3</v>
      </c>
      <c r="BP186" s="7" t="n">
        <v>2</v>
      </c>
      <c r="BQ186" s="7" t="n">
        <v>2</v>
      </c>
      <c r="BR186" s="7" t="n">
        <v>3</v>
      </c>
      <c r="BS186" s="7" t="n">
        <v>3</v>
      </c>
      <c r="BT186" s="7" t="n">
        <v>3</v>
      </c>
      <c r="BU186" s="7" t="n">
        <v>64</v>
      </c>
      <c r="BV186" s="2" t="inlineStr">
        <is>
          <t>A.需要存在，不可去除</t>
        </is>
      </c>
      <c r="BW186" s="2"/>
      <c r="BX186" s="2"/>
      <c r="BY186" s="6">
        <f>HYPERLINK("https://www.h3yun.com/Form/Attachments/?schemacode=D148357733993cc00c048ad9898e53f5f82cbb9&amp;bizObjectId=31b6dec1-8b1d-4d74-adc6-36a0bbb5669b&amp;name=F0000016","点击查看")</f>
        <v>0</v>
      </c>
      <c r="BZ186" s="2" t="inlineStr">
        <is>
          <t>2026-05-07 10:59:15</t>
        </is>
      </c>
      <c r="CA186" s="2" t="inlineStr">
        <is>
          <t>C</t>
        </is>
      </c>
      <c r="CB186" s="2" t="inlineStr">
        <is>
          <t>已提交</t>
        </is>
      </c>
      <c r="CC186" s="2" t="inlineStr">
        <is>
          <t>助理工程师</t>
        </is>
      </c>
      <c r="CD186" s="2" t="inlineStr">
        <is>
          <t>建筑施工企业机械类专职安全生产管理人员</t>
        </is>
      </c>
      <c r="CE186" s="2" t="inlineStr">
        <is>
          <t>无</t>
        </is>
      </c>
      <c r="CF186" s="2"/>
      <c r="CG186" s="2" t="inlineStr">
        <is>
          <t>321283199309239027</t>
        </is>
      </c>
      <c r="CH186" s="2" t="inlineStr">
        <is>
          <t>已生效</t>
        </is>
      </c>
      <c r="CI186" s="2" t="inlineStr">
        <is>
          <t>e7800c2b-2990-4af3-a88e-e63def67d9e9</t>
        </is>
      </c>
      <c r="CJ186" s="3" t="n">
        <v>1</v>
      </c>
      <c r="CK186" s="2" t="inlineStr">
        <is>
          <t>该成员存在一线工作履历</t>
        </is>
      </c>
      <c r="CL186" s="2" t="inlineStr">
        <is>
          <t>该成员存在一线工作履历</t>
        </is>
      </c>
      <c r="CM186" s="2" t="inlineStr">
        <is>
          <t>南化建司劳2017-1号文-南京南化建设有限公司施工一线专业序列人员分级管理规定</t>
        </is>
      </c>
      <c r="CN186" s="2" t="inlineStr">
        <is>
          <t>第三章第6条D类</t>
        </is>
      </c>
      <c r="CO186" s="2"/>
      <c r="CP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t="inlineStr">
        <is>
          <t>75d1fa0c-20c1-4943-8d12-798237b5344b</t>
        </is>
      </c>
      <c r="CJ187" s="3" t="n">
        <v>2</v>
      </c>
      <c r="CK187" s="2" t="inlineStr">
        <is>
          <t>近五年内该成员存在一线工作履历</t>
        </is>
      </c>
      <c r="CL187" s="2" t="inlineStr">
        <is>
          <t>近五年内该成员存在一线工作履历</t>
        </is>
      </c>
      <c r="CM187" s="2" t="inlineStr">
        <is>
          <t>南化建司劳2017-1号文-南京南化建设有限公司施工一线专业序列人员分级管理规定</t>
        </is>
      </c>
      <c r="CN187" s="2" t="inlineStr">
        <is>
          <t>第三章第6条D类</t>
        </is>
      </c>
      <c r="CO187" s="2"/>
      <c r="CP187" s="2"/>
    </row>
    <row r="188">
      <c r="A188" s="2" t="inlineStr">
        <is>
          <t>3a4d9bef-75b4-4756-b8e0-ad26c2b187ef</t>
        </is>
      </c>
      <c r="B188" s="2" t="inlineStr">
        <is>
          <t>C.均衡，工作负荷一般，按部就班完成工作，除了突发时间几乎不用加班</t>
        </is>
      </c>
      <c r="C188" s="2" t="inlineStr">
        <is>
          <t>安装一分公司    杨志伟    男    赵尊须</t>
        </is>
      </c>
      <c r="D188" s="2" t="inlineStr">
        <is>
          <t>Anonymous</t>
        </is>
      </c>
      <c r="E188" s="2" t="inlineStr">
        <is>
          <t>Anonymous</t>
        </is>
      </c>
      <c r="F188" s="2"/>
      <c r="G188" s="2" t="inlineStr">
        <is>
          <t>2026-05-25 10:56:15</t>
        </is>
      </c>
      <c r="H188" s="2" t="inlineStr">
        <is>
          <t>赵尊须</t>
        </is>
      </c>
      <c r="I188" s="2" t="inlineStr">
        <is>
          <t>320321199409114614</t>
        </is>
      </c>
      <c r="J188" s="2" t="inlineStr">
        <is>
          <t>男</t>
        </is>
      </c>
      <c r="K188" s="2" t="inlineStr">
        <is>
          <t>安装一分公司</t>
        </is>
      </c>
      <c r="L188" s="2" t="inlineStr">
        <is>
          <t>2017-08-01</t>
        </is>
      </c>
      <c r="M188" s="2" t="inlineStr">
        <is>
          <t>淮海工学院</t>
        </is>
      </c>
      <c r="N188" s="2" t="inlineStr">
        <is>
          <t>过控</t>
        </is>
      </c>
      <c r="O188" s="2" t="inlineStr">
        <is>
          <t>本科</t>
        </is>
      </c>
      <c r="P188" s="2" t="inlineStr">
        <is>
          <t>安装一分公司</t>
        </is>
      </c>
      <c r="Q188" s="2" t="inlineStr">
        <is>
          <t>杨志伟</t>
        </is>
      </c>
      <c r="R188" s="2" t="inlineStr">
        <is>
          <t>男</t>
        </is>
      </c>
      <c r="S188" s="2" t="inlineStr">
        <is>
          <t>2024-08-01</t>
        </is>
      </c>
      <c r="T188" s="2" t="inlineStr">
        <is>
          <t>技术助理(四)</t>
        </is>
      </c>
      <c r="U188" s="2" t="inlineStr">
        <is>
          <t>江苏海事职业技术学院</t>
        </is>
      </c>
      <c r="V188" s="2" t="inlineStr">
        <is>
          <t>电气</t>
        </is>
      </c>
      <c r="W188" s="2" t="inlineStr">
        <is>
          <t>大专</t>
        </is>
      </c>
      <c r="X188" s="2" t="inlineStr">
        <is>
          <t>C.拖沓被动：需要主管反复催促，才能勉强按时交差。</t>
        </is>
      </c>
      <c r="Y188" s="2" t="inlineStr">
        <is>
          <t>B.基本稳定：偶有小瑕疵，但不影响整体使用。</t>
        </is>
      </c>
      <c r="Z188" s="2" t="inlineStr">
        <is>
          <t>C.正常跟进：需要主管盯着节点、偶尔提醒进度，或者在跑偏时帮着拽回来。</t>
        </is>
      </c>
      <c r="AA188" s="2" t="inlineStr">
        <is>
          <t>B.清楚岗位：对自己岗位的活儿很门清，略知上下游。</t>
        </is>
      </c>
      <c r="AB188" s="2" t="inlineStr">
        <is>
          <t>B.尽力而为：能解决大部分问题，解决不了的会及时求助。</t>
        </is>
      </c>
      <c r="AC188" s="2" t="inlineStr">
        <is>
          <t>A.模范标兵：严于律己，从未在琐事上让主管费心。</t>
        </is>
      </c>
      <c r="AD188" s="2" t="inlineStr">
        <is>
          <t>B.偶尔思考：在主管启发下，能提出一些优化想法</t>
        </is>
      </c>
      <c r="AE188" s="2" t="inlineStr">
        <is>
          <t>B.正常沟通：能清晰表达需求，维持基本的协作。</t>
        </is>
      </c>
      <c r="AF188" s="2" t="inlineStr">
        <is>
          <t>C.偶尔断片：答应得好好的，但中间不反馈，非得主管去追。</t>
        </is>
      </c>
      <c r="AG188" s="2" t="inlineStr">
        <is>
          <t>B.稳定器：做好自己，不给团队添乱，是可靠的一员。</t>
        </is>
      </c>
      <c r="AH188" s="2" t="inlineStr">
        <is>
          <t>B.懂得求助：在尝试后会及时向主管或同事反馈，寻求资源支持。</t>
        </is>
      </c>
      <c r="AI188" s="2" t="inlineStr">
        <is>
          <t>B. 配合接受：主管安排了就干，不推辞。</t>
        </is>
      </c>
      <c r="AJ188" s="2" t="inlineStr">
        <is>
          <t>C.较为配合：不抱怨，但压力较大时，工作质量会随之下滑。</t>
        </is>
      </c>
      <c r="AK188" s="2" t="inlineStr">
        <is>
          <t>C.自我辩解：第一反应是找借口证明自己没错。</t>
        </is>
      </c>
      <c r="AL188" s="2" t="inlineStr">
        <is>
          <t>C.慢工细活：需要反复教，掌握过程比较吃力。</t>
        </is>
      </c>
      <c r="AM188" s="2" t="inlineStr">
        <is>
          <t>C.技能私有：自己干得好也愿意分享，但是不会总结或讲不出来。</t>
        </is>
      </c>
      <c r="AN188" s="2" t="inlineStr">
        <is>
          <t>C.中规中矩：刚好达标，替代性较强。</t>
        </is>
      </c>
      <c r="AO188" s="2" t="inlineStr">
        <is>
          <t>C.熟练工：能胜任重复性工作，但很难承担更高阶的挑战。</t>
        </is>
      </c>
      <c r="AP188" s="2" t="inlineStr">
        <is>
          <t>C.正常更替：走就走吧，招个新人培养一下也没什么区别。</t>
        </is>
      </c>
      <c r="AQ188" s="2" t="inlineStr">
        <is>
          <t>C</t>
        </is>
      </c>
      <c r="AR188" s="2" t="inlineStr">
        <is>
          <t>C</t>
        </is>
      </c>
      <c r="AS188" s="2" t="inlineStr">
        <is>
          <t>一致</t>
        </is>
      </c>
      <c r="AT188" s="2" t="inlineStr">
        <is>
          <t>C</t>
        </is>
      </c>
      <c r="AU188" s="2" t="inlineStr">
        <is>
          <t>1档</t>
        </is>
      </c>
      <c r="AV188" s="3" t="n">
        <v>6100</v>
      </c>
      <c r="AW188" s="3" t="n">
        <v>4880</v>
      </c>
      <c r="AX188" s="3" t="n">
        <v>7320</v>
      </c>
      <c r="AY188" s="2" t="inlineStr">
        <is>
          <t>D</t>
        </is>
      </c>
      <c r="AZ188" s="2" t="inlineStr">
        <is>
          <t>工作态度尚可，缺乏理论知识与实际现场管理经验，需进一步加强管理经验的学习。</t>
        </is>
      </c>
      <c r="BA188" s="7" t="n">
        <v>2</v>
      </c>
      <c r="BB188" s="7" t="n">
        <v>4</v>
      </c>
      <c r="BC188" s="7" t="n">
        <v>3</v>
      </c>
      <c r="BD188" s="7" t="n">
        <v>4</v>
      </c>
      <c r="BE188" s="7" t="n">
        <v>4</v>
      </c>
      <c r="BF188" s="7" t="n">
        <v>5</v>
      </c>
      <c r="BG188" s="7" t="n">
        <v>4</v>
      </c>
      <c r="BH188" s="7" t="n">
        <v>3.5</v>
      </c>
      <c r="BI188" s="7" t="n">
        <v>2</v>
      </c>
      <c r="BJ188" s="7" t="n">
        <v>4</v>
      </c>
      <c r="BK188" s="7" t="n">
        <v>3</v>
      </c>
      <c r="BL188" s="7" t="n">
        <v>4</v>
      </c>
      <c r="BM188" s="7" t="n">
        <v>3</v>
      </c>
      <c r="BN188" s="7" t="n">
        <v>3</v>
      </c>
      <c r="BO188" s="7" t="n">
        <v>1</v>
      </c>
      <c r="BP188" s="7" t="n">
        <v>2</v>
      </c>
      <c r="BQ188" s="7" t="n">
        <v>2</v>
      </c>
      <c r="BR188" s="7" t="n">
        <v>3</v>
      </c>
      <c r="BS188" s="7" t="n">
        <v>3</v>
      </c>
      <c r="BT188" s="7" t="n">
        <v>3</v>
      </c>
      <c r="BU188" s="7" t="n">
        <v>62.5</v>
      </c>
      <c r="BV188" s="2" t="inlineStr">
        <is>
          <t>A.需要存在，不可去除</t>
        </is>
      </c>
      <c r="BW188" s="2"/>
      <c r="BX188" s="2"/>
      <c r="BY188" s="6">
        <f>HYPERLINK("https://www.h3yun.com/Form/Attachments/?schemacode=D148357733993cc00c048ad9898e53f5f82cbb9&amp;bizObjectId=3a4d9bef-75b4-4756-b8e0-ad26c2b187ef&amp;name=F0000016","点击查看")</f>
        <v>0</v>
      </c>
      <c r="BZ188" s="2" t="inlineStr">
        <is>
          <t>2026-05-07 10:47:35</t>
        </is>
      </c>
      <c r="CA188" s="2" t="inlineStr">
        <is>
          <t>C</t>
        </is>
      </c>
      <c r="CB188" s="2" t="inlineStr">
        <is>
          <t>已提交</t>
        </is>
      </c>
      <c r="CC188" s="2" t="inlineStr">
        <is>
          <t>无</t>
        </is>
      </c>
      <c r="CD188" s="2" t="inlineStr">
        <is>
          <t>无</t>
        </is>
      </c>
      <c r="CE188" s="2" t="inlineStr">
        <is>
          <t>无</t>
        </is>
      </c>
      <c r="CF188" s="2"/>
      <c r="CG188" s="2" t="inlineStr">
        <is>
          <t>321284200110217017</t>
        </is>
      </c>
      <c r="CH188" s="2" t="inlineStr">
        <is>
          <t>已生效</t>
        </is>
      </c>
      <c r="CI188" s="2" t="inlineStr">
        <is>
          <t>0310bcca-531f-4b21-a5f2-51372c06f6ce</t>
        </is>
      </c>
      <c r="CJ188" s="3" t="n">
        <v>1</v>
      </c>
      <c r="CK188" s="2" t="inlineStr">
        <is>
          <t>该成员存在一线工作履历</t>
        </is>
      </c>
      <c r="CL188" s="2" t="inlineStr">
        <is>
          <t>该成员存在一线工作履历</t>
        </is>
      </c>
      <c r="CM188" s="2" t="inlineStr">
        <is>
          <t>南化建司劳2017-1号文-南京南化建设有限公司施工一线专业序列人员分级管理规定</t>
        </is>
      </c>
      <c r="CN188" s="2" t="inlineStr">
        <is>
          <t>第三章第6条D类</t>
        </is>
      </c>
      <c r="CO188" s="2"/>
      <c r="CP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t="inlineStr">
        <is>
          <t>4b2e81dc-9160-4c4d-a17a-7550d61d942c</t>
        </is>
      </c>
      <c r="CJ189" s="3" t="n">
        <v>2</v>
      </c>
      <c r="CK189" s="2" t="inlineStr">
        <is>
          <t>近五年内该成员存在一线工作履历</t>
        </is>
      </c>
      <c r="CL189" s="2" t="inlineStr">
        <is>
          <t>近五年内该成员存在一线工作履历</t>
        </is>
      </c>
      <c r="CM189" s="2" t="inlineStr">
        <is>
          <t>南化建司劳2017-1号文-南京南化建设有限公司施工一线专业序列人员分级管理规定</t>
        </is>
      </c>
      <c r="CN189" s="2" t="inlineStr">
        <is>
          <t>第三章第6条D类</t>
        </is>
      </c>
      <c r="CO189" s="2"/>
      <c r="CP189" s="2"/>
    </row>
    <row r="190">
      <c r="A190" s="2" t="inlineStr">
        <is>
          <t>6732dec7-8dfd-4389-91c7-b0f3f5832480</t>
        </is>
      </c>
      <c r="B190" s="2" t="inlineStr">
        <is>
          <t>B.满负荷，平时工作就很忙，偶尔因为非突发时间也要加班</t>
        </is>
      </c>
      <c r="C190" s="2" t="inlineStr">
        <is>
          <t>安装一分公司    周瑞    男    赵尊须</t>
        </is>
      </c>
      <c r="D190" s="2" t="inlineStr">
        <is>
          <t>Anonymous</t>
        </is>
      </c>
      <c r="E190" s="2" t="inlineStr">
        <is>
          <t>Anonymous</t>
        </is>
      </c>
      <c r="F190" s="2"/>
      <c r="G190" s="2" t="inlineStr">
        <is>
          <t>2026-05-25 10:56:15</t>
        </is>
      </c>
      <c r="H190" s="2" t="inlineStr">
        <is>
          <t>赵尊须</t>
        </is>
      </c>
      <c r="I190" s="2" t="inlineStr">
        <is>
          <t>320321199409114614</t>
        </is>
      </c>
      <c r="J190" s="2" t="inlineStr">
        <is>
          <t>男</t>
        </is>
      </c>
      <c r="K190" s="2" t="inlineStr">
        <is>
          <t>安装一分公司</t>
        </is>
      </c>
      <c r="L190" s="2" t="inlineStr">
        <is>
          <t>2017-08-01</t>
        </is>
      </c>
      <c r="M190" s="2" t="inlineStr">
        <is>
          <t>淮海工学院</t>
        </is>
      </c>
      <c r="N190" s="2" t="inlineStr">
        <is>
          <t>过控</t>
        </is>
      </c>
      <c r="O190" s="2" t="inlineStr">
        <is>
          <t>本科</t>
        </is>
      </c>
      <c r="P190" s="2" t="inlineStr">
        <is>
          <t>安装一分公司</t>
        </is>
      </c>
      <c r="Q190" s="2" t="inlineStr">
        <is>
          <t>周瑞</t>
        </is>
      </c>
      <c r="R190" s="2" t="inlineStr">
        <is>
          <t>男</t>
        </is>
      </c>
      <c r="S190" s="2" t="inlineStr">
        <is>
          <t>2018-09-01</t>
        </is>
      </c>
      <c r="T190" s="2" t="inlineStr">
        <is>
          <t>技术助理(一)</t>
        </is>
      </c>
      <c r="U190" s="2" t="inlineStr">
        <is>
          <t>安庆职业技术学院</t>
        </is>
      </c>
      <c r="V190" s="2" t="inlineStr">
        <is>
          <t>材料员</t>
        </is>
      </c>
      <c r="W190" s="2" t="inlineStr">
        <is>
          <t>大专</t>
        </is>
      </c>
      <c r="X190" s="2" t="inlineStr">
        <is>
          <t>B.按时推进：基本能卡着时间点完成，不掉链子。</t>
        </is>
      </c>
      <c r="Y190" s="2" t="inlineStr">
        <is>
          <t>B.基本稳定：偶有小瑕疵，但不影响整体使用。</t>
        </is>
      </c>
      <c r="Z190" s="2" t="inlineStr">
        <is>
          <t>B.比较省心：只需定期同步一下进度，不需要主管盯着细节，能独立把事情办成。</t>
        </is>
      </c>
      <c r="AA190" s="2" t="inlineStr">
        <is>
          <t>B.清楚岗位：对自己岗位的活儿很门清，略知上下游。</t>
        </is>
      </c>
      <c r="AB190" s="2" t="inlineStr">
        <is>
          <t>B.尽力而为：能解决大部分问题，解决不了的会及时求助。</t>
        </is>
      </c>
      <c r="AC190" s="2" t="inlineStr">
        <is>
          <t>A.模范标兵：严于律己，从未在琐事上让主管费心。</t>
        </is>
      </c>
      <c r="AD190" s="2" t="inlineStr">
        <is>
          <t>B.偶尔思考：在主管启发下，能提出一些优化想法</t>
        </is>
      </c>
      <c r="AE190" s="2" t="inlineStr">
        <is>
          <t>B.正常沟通：能清晰表达需求，维持基本的协作。</t>
        </is>
      </c>
      <c r="AF190" s="2" t="inlineStr">
        <is>
          <t>B.有问有答：问到时能说清楚进度，基本能做到及时反馈。</t>
        </is>
      </c>
      <c r="AG190" s="2" t="inlineStr">
        <is>
          <t>B.稳定器：做好自己，不给团队添乱，是可靠的一员。</t>
        </is>
      </c>
      <c r="AH190" s="2" t="inlineStr">
        <is>
          <t>B.懂得求助：在尝试后会及时向主管或同事反馈，寻求资源支持。</t>
        </is>
      </c>
      <c r="AI190" s="2" t="inlineStr">
        <is>
          <t>B. 配合接受：主管安排了就干，不推辞。</t>
        </is>
      </c>
      <c r="AJ190" s="2" t="inlineStr">
        <is>
          <t>B.配合度高：虽然有压力，但能服从大局，咬牙顶上去，且质量尚可。</t>
        </is>
      </c>
      <c r="AK190" s="2" t="inlineStr">
        <is>
          <t>B.照单全收：态度很好，虽然不一定完全理解，但会按要求改。</t>
        </is>
      </c>
      <c r="AL190" s="2" t="inlineStr">
        <is>
          <t>B.正常上手：经过简单培训或指导，能很快投入应用。</t>
        </is>
      </c>
      <c r="AM190" s="2" t="inlineStr">
        <is>
          <t>B.愿意传帮带：平时爱分享避坑指南，能带徒弟。</t>
        </is>
      </c>
      <c r="AN190" s="2" t="inlineStr">
        <is>
          <t>C.中规中矩：刚好达标，替代性较强。</t>
        </is>
      </c>
      <c r="AO190" s="2" t="inlineStr">
        <is>
          <t>C.熟练工：能胜任重复性工作，但很难承担更高阶的挑战。</t>
        </is>
      </c>
      <c r="AP190" s="2" t="inlineStr">
        <is>
          <t>B.有点可惜：是个好手，需要费心再找一个相同水准的。</t>
        </is>
      </c>
      <c r="AQ190" s="2" t="inlineStr">
        <is>
          <t>B</t>
        </is>
      </c>
      <c r="AR190" s="2" t="inlineStr">
        <is>
          <t>B</t>
        </is>
      </c>
      <c r="AS190" s="2" t="inlineStr">
        <is>
          <t>一致</t>
        </is>
      </c>
      <c r="AT190" s="2" t="inlineStr">
        <is>
          <t>B</t>
        </is>
      </c>
      <c r="AU190" s="2" t="inlineStr">
        <is>
          <t>1档</t>
        </is>
      </c>
      <c r="AV190" s="3" t="n">
        <v>7600</v>
      </c>
      <c r="AW190" s="3" t="n">
        <v>6080</v>
      </c>
      <c r="AX190" s="3" t="n">
        <v>9120</v>
      </c>
      <c r="AY190" s="2" t="inlineStr">
        <is>
          <t>C</t>
        </is>
      </c>
      <c r="AZ190" s="2" t="inlineStr">
        <is>
          <t>工作态度较好，工作能力较强，能很好的完成本职工作</t>
        </is>
      </c>
      <c r="BA190" s="7" t="n">
        <v>3</v>
      </c>
      <c r="BB190" s="7" t="n">
        <v>4</v>
      </c>
      <c r="BC190" s="7" t="n">
        <v>4</v>
      </c>
      <c r="BD190" s="7" t="n">
        <v>4</v>
      </c>
      <c r="BE190" s="7" t="n">
        <v>4</v>
      </c>
      <c r="BF190" s="7" t="n">
        <v>5</v>
      </c>
      <c r="BG190" s="7" t="n">
        <v>4</v>
      </c>
      <c r="BH190" s="7" t="n">
        <v>3.5</v>
      </c>
      <c r="BI190" s="7" t="n">
        <v>4</v>
      </c>
      <c r="BJ190" s="7" t="n">
        <v>4</v>
      </c>
      <c r="BK190" s="7" t="n">
        <v>3</v>
      </c>
      <c r="BL190" s="7" t="n">
        <v>4</v>
      </c>
      <c r="BM190" s="7" t="n">
        <v>4</v>
      </c>
      <c r="BN190" s="7" t="n">
        <v>4</v>
      </c>
      <c r="BO190" s="7" t="n">
        <v>3</v>
      </c>
      <c r="BP190" s="7" t="n">
        <v>4</v>
      </c>
      <c r="BQ190" s="7" t="n">
        <v>4</v>
      </c>
      <c r="BR190" s="7" t="n">
        <v>3</v>
      </c>
      <c r="BS190" s="7" t="n">
        <v>3</v>
      </c>
      <c r="BT190" s="7" t="n">
        <v>4</v>
      </c>
      <c r="BU190" s="7" t="n">
        <v>75.5</v>
      </c>
      <c r="BV190" s="2" t="inlineStr">
        <is>
          <t>A.需要存在，不可去除</t>
        </is>
      </c>
      <c r="BW190" s="2"/>
      <c r="BX190" s="2"/>
      <c r="BY190" s="6">
        <f>HYPERLINK("https://www.h3yun.com/Form/Attachments/?schemacode=D148357733993cc00c048ad9898e53f5f82cbb9&amp;bizObjectId=6732dec7-8dfd-4389-91c7-b0f3f5832480&amp;name=F0000016","点击查看")</f>
        <v>0</v>
      </c>
      <c r="BZ190" s="2" t="inlineStr">
        <is>
          <t>2026-05-07 10:43:02</t>
        </is>
      </c>
      <c r="CA190" s="2" t="inlineStr">
        <is>
          <t>B</t>
        </is>
      </c>
      <c r="CB190" s="2" t="inlineStr">
        <is>
          <t>已提交</t>
        </is>
      </c>
      <c r="CC190" s="2" t="inlineStr">
        <is>
          <t>无</t>
        </is>
      </c>
      <c r="CD190" s="2" t="inlineStr">
        <is>
          <t>无</t>
        </is>
      </c>
      <c r="CE190" s="2" t="inlineStr">
        <is>
          <t>无</t>
        </is>
      </c>
      <c r="CF190" s="2"/>
      <c r="CG190" s="2" t="inlineStr">
        <is>
          <t>342224199610161913</t>
        </is>
      </c>
      <c r="CH190" s="2" t="inlineStr">
        <is>
          <t>已生效</t>
        </is>
      </c>
      <c r="CI190" s="2" t="inlineStr">
        <is>
          <t>29889ca3-e3d1-4031-a71d-0c4d680402c4</t>
        </is>
      </c>
      <c r="CJ190" s="3" t="n">
        <v>1</v>
      </c>
      <c r="CK190" s="2" t="inlineStr">
        <is>
          <t>近三年至少担任过一个合同额1000万元以上项目相应岗位的主管</t>
        </is>
      </c>
      <c r="CL190" s="2" t="inlineStr">
        <is>
          <t>近三年至少担任过一个合同额1000万元以上项目相应岗位的主管</t>
        </is>
      </c>
      <c r="CM190" s="2" t="inlineStr">
        <is>
          <t>南化建司劳2017-1号文-南京南化建设有限公司施工一线专业序列人员分级管理规定</t>
        </is>
      </c>
      <c r="CN190" s="2" t="inlineStr">
        <is>
          <t>第三章第3条C类</t>
        </is>
      </c>
      <c r="CO190" s="2"/>
      <c r="CP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t="inlineStr">
        <is>
          <t>8b57485b-5bb2-4f67-b0af-e42880060f04</t>
        </is>
      </c>
      <c r="CJ191" s="3" t="n">
        <v>2</v>
      </c>
      <c r="CK191" s="2" t="inlineStr">
        <is>
          <t>公司二级单位或公司职能部门推荐</t>
        </is>
      </c>
      <c r="CL191" s="2" t="inlineStr">
        <is>
          <t>公司二级单位或公司职能部门推荐</t>
        </is>
      </c>
      <c r="CM191" s="2" t="inlineStr">
        <is>
          <t>南化建司劳2017-1号文-南京南化建设有限公司施工一线专业序列人员分级管理规定</t>
        </is>
      </c>
      <c r="CN191" s="2" t="inlineStr">
        <is>
          <t>第三章第3条C类</t>
        </is>
      </c>
      <c r="CO191" s="2"/>
      <c r="CP191" s="2"/>
    </row>
    <row r="192">
      <c r="A192" s="2" t="inlineStr">
        <is>
          <t>d75bc35c-d14e-4890-8336-ef808a13c701</t>
        </is>
      </c>
      <c r="B192" s="2" t="inlineStr">
        <is>
          <t>C.均衡，工作负荷一般，按部就班完成工作，除了突发时间几乎不用加班</t>
        </is>
      </c>
      <c r="C192" s="2" t="inlineStr">
        <is>
          <t>信息化中心    薛斌    男    蔡雷萌</t>
        </is>
      </c>
      <c r="D192" s="2" t="inlineStr">
        <is>
          <t>Anonymous</t>
        </is>
      </c>
      <c r="E192" s="2" t="inlineStr">
        <is>
          <t>Anonymous</t>
        </is>
      </c>
      <c r="F192" s="2"/>
      <c r="G192" s="2" t="inlineStr">
        <is>
          <t>2026-05-25 10:56:15</t>
        </is>
      </c>
      <c r="H192" s="2" t="inlineStr">
        <is>
          <t>蔡雷萌</t>
        </is>
      </c>
      <c r="I192" s="2" t="inlineStr">
        <is>
          <t>320705197403302019</t>
        </is>
      </c>
      <c r="J192" s="2" t="inlineStr">
        <is>
          <t>男</t>
        </is>
      </c>
      <c r="K192" s="2" t="inlineStr">
        <is>
          <t>信息化中心</t>
        </is>
      </c>
      <c r="L192" s="2" t="inlineStr">
        <is>
          <t>1995-08-01</t>
        </is>
      </c>
      <c r="M192" s="2" t="inlineStr">
        <is>
          <t>连云港化工高等专业学校</t>
        </is>
      </c>
      <c r="N192" s="2" t="inlineStr">
        <is>
          <t>电气</t>
        </is>
      </c>
      <c r="O192" s="2" t="inlineStr">
        <is>
          <t>大专</t>
        </is>
      </c>
      <c r="P192" s="2" t="inlineStr">
        <is>
          <t>信息化中心</t>
        </is>
      </c>
      <c r="Q192" s="2" t="inlineStr">
        <is>
          <t>薛斌</t>
        </is>
      </c>
      <c r="R192" s="2" t="inlineStr">
        <is>
          <t>男</t>
        </is>
      </c>
      <c r="S192" s="2" t="inlineStr">
        <is>
          <t>2019-08-01</t>
        </is>
      </c>
      <c r="T192" s="2" t="inlineStr">
        <is>
          <t>业务主管</t>
        </is>
      </c>
      <c r="U192" s="2" t="inlineStr">
        <is>
          <t>南京理工大学泰州科技学院</t>
        </is>
      </c>
      <c r="V192" s="2" t="inlineStr">
        <is>
          <t>其他</t>
        </is>
      </c>
      <c r="W192" s="2" t="inlineStr">
        <is>
          <t>本科</t>
        </is>
      </c>
      <c r="X192" s="2" t="inlineStr">
        <is>
          <t>C.拖沓被动：需要主管反复催促，才能勉强按时交差。</t>
        </is>
      </c>
      <c r="Y192" s="2" t="inlineStr">
        <is>
          <t>B.基本稳定：偶有小瑕疵，但不影响整体使用。</t>
        </is>
      </c>
      <c r="Z192" s="2" t="inlineStr">
        <is>
          <t>B.比较省心：只需定期同步一下进度，不需要主管盯着细节，能独立把事情办成。</t>
        </is>
      </c>
      <c r="AA192" s="2" t="inlineStr">
        <is>
          <t>B.清楚岗位：对自己岗位的活儿很门清，略知上下游。</t>
        </is>
      </c>
      <c r="AB192" s="2" t="inlineStr">
        <is>
          <t>B.尽力而为：能解决大部分问题，解决不了的会及时求助。</t>
        </is>
      </c>
      <c r="AC192" s="2" t="inlineStr">
        <is>
          <t>A.模范标兵：严于律己，从未在琐事上让主管费心。</t>
        </is>
      </c>
      <c r="AD192" s="2" t="inlineStr">
        <is>
          <t>B.偶尔思考：在主管启发下，能提出一些优化想法</t>
        </is>
      </c>
      <c r="AE192" s="2" t="inlineStr">
        <is>
          <t>B.正常沟通：能清晰表达需求，维持基本的协作。</t>
        </is>
      </c>
      <c r="AF192" s="2" t="inlineStr">
        <is>
          <t>B.有问有答：问到时能说清楚进度，基本能做到及时反馈。</t>
        </is>
      </c>
      <c r="AG192" s="2" t="inlineStr">
        <is>
          <t>B.稳定器：做好自己，不给团队添乱，是可靠的一员。</t>
        </is>
      </c>
      <c r="AH192" s="2" t="inlineStr">
        <is>
          <t>B.懂得求助：在尝试后会及时向主管或同事反馈，寻求资源支持。</t>
        </is>
      </c>
      <c r="AI192" s="2" t="inlineStr">
        <is>
          <t>C. 守好地盘：只管自己那一块，多一点都不想碰。</t>
        </is>
      </c>
      <c r="AJ192" s="2" t="inlineStr">
        <is>
          <t>B.配合度高：虽然有压力，但能服从大局，咬牙顶上去，且质量尚可。</t>
        </is>
      </c>
      <c r="AK192" s="2" t="inlineStr">
        <is>
          <t>B.照单全收：态度很好，虽然不一定完全理解，但会按要求改。</t>
        </is>
      </c>
      <c r="AL192" s="2" t="inlineStr">
        <is>
          <t>B.正常上手：经过简单培训或指导，能很快投入应用。</t>
        </is>
      </c>
      <c r="AM192" s="2" t="inlineStr">
        <is>
          <t>C.技能私有：自己干得好也愿意分享，但是不会总结或讲不出来。</t>
        </is>
      </c>
      <c r="AN192" s="2" t="inlineStr">
        <is>
          <t>C.中规中矩：刚好达标，替代性较强。</t>
        </is>
      </c>
      <c r="AO192" s="2" t="inlineStr">
        <is>
          <t>C.熟练工：能胜任重复性工作，但很难承担更高阶的挑战。</t>
        </is>
      </c>
      <c r="AP192" s="2" t="inlineStr">
        <is>
          <t>B.有点可惜：是个好手，需要费心再找一个相同水准的。</t>
        </is>
      </c>
      <c r="AQ192" s="2" t="inlineStr">
        <is>
          <t>B</t>
        </is>
      </c>
      <c r="AR192" s="2" t="inlineStr">
        <is>
          <t>B</t>
        </is>
      </c>
      <c r="AS192" s="2" t="inlineStr">
        <is>
          <t>一致</t>
        </is>
      </c>
      <c r="AT192" s="2" t="inlineStr">
        <is>
          <t>B</t>
        </is>
      </c>
      <c r="AU192" s="2"/>
      <c r="AV192" s="3"/>
      <c r="AW192" s="3"/>
      <c r="AX192" s="3"/>
      <c r="AY192" s="2" t="inlineStr">
        <is>
          <t>C</t>
        </is>
      </c>
      <c r="AZ192" s="2" t="inlineStr">
        <is>
          <t>工作积极主动，遇到问题会主动想办法解决。但个人主动学习的意愿不强。</t>
        </is>
      </c>
      <c r="BA192" s="7" t="n">
        <v>2</v>
      </c>
      <c r="BB192" s="7" t="n">
        <v>4</v>
      </c>
      <c r="BC192" s="7" t="n">
        <v>4</v>
      </c>
      <c r="BD192" s="7" t="n">
        <v>4</v>
      </c>
      <c r="BE192" s="7" t="n">
        <v>4</v>
      </c>
      <c r="BF192" s="7" t="n">
        <v>5</v>
      </c>
      <c r="BG192" s="7" t="n">
        <v>4</v>
      </c>
      <c r="BH192" s="7" t="n">
        <v>3.5</v>
      </c>
      <c r="BI192" s="7" t="n">
        <v>4</v>
      </c>
      <c r="BJ192" s="7" t="n">
        <v>4</v>
      </c>
      <c r="BK192" s="7" t="n">
        <v>3</v>
      </c>
      <c r="BL192" s="7" t="n">
        <v>3</v>
      </c>
      <c r="BM192" s="7" t="n">
        <v>3</v>
      </c>
      <c r="BN192" s="7" t="n">
        <v>4</v>
      </c>
      <c r="BO192" s="7" t="n">
        <v>3</v>
      </c>
      <c r="BP192" s="7" t="n">
        <v>4</v>
      </c>
      <c r="BQ192" s="7" t="n">
        <v>2</v>
      </c>
      <c r="BR192" s="7" t="n">
        <v>3</v>
      </c>
      <c r="BS192" s="7" t="n">
        <v>3</v>
      </c>
      <c r="BT192" s="7" t="n">
        <v>4</v>
      </c>
      <c r="BU192" s="7" t="n">
        <v>70.5</v>
      </c>
      <c r="BV192" s="2" t="inlineStr">
        <is>
          <t>A.需要存在，不可去除</t>
        </is>
      </c>
      <c r="BW192" s="2"/>
      <c r="BX192" s="2"/>
      <c r="BY192" s="6">
        <f>HYPERLINK("https://www.h3yun.com/Form/Attachments/?schemacode=D148357733993cc00c048ad9898e53f5f82cbb9&amp;bizObjectId=d75bc35c-d14e-4890-8336-ef808a13c701&amp;name=F0000016","点击查看")</f>
        <v>0</v>
      </c>
      <c r="BZ192" s="2" t="inlineStr">
        <is>
          <t>2026-05-07 10:42:42</t>
        </is>
      </c>
      <c r="CA192" s="2" t="inlineStr">
        <is>
          <t>B</t>
        </is>
      </c>
      <c r="CB192" s="2" t="inlineStr">
        <is>
          <t>已提交</t>
        </is>
      </c>
      <c r="CC192" s="2" t="inlineStr">
        <is>
          <t>无</t>
        </is>
      </c>
      <c r="CD192" s="2" t="inlineStr">
        <is>
          <t>无</t>
        </is>
      </c>
      <c r="CE192" s="2" t="inlineStr">
        <is>
          <t>无</t>
        </is>
      </c>
      <c r="CF192" s="2"/>
      <c r="CG192" s="2" t="inlineStr">
        <is>
          <t>320111199611023616</t>
        </is>
      </c>
      <c r="CH192" s="2" t="inlineStr">
        <is>
          <t>已生效</t>
        </is>
      </c>
      <c r="CI192" s="2" t="inlineStr">
        <is>
          <t>e6be010b-44d8-4be3-bc94-dd6ed200f389</t>
        </is>
      </c>
      <c r="CJ192" s="3" t="n">
        <v>1</v>
      </c>
      <c r="CK192" s="2" t="inlineStr">
        <is>
          <t>近三年至少担任过一个合同额1000万元以上项目相应岗位的主管</t>
        </is>
      </c>
      <c r="CL192" s="2" t="inlineStr">
        <is>
          <t>近三年至少担任过一个合同额1000万元以上项目相应岗位的主管</t>
        </is>
      </c>
      <c r="CM192" s="2" t="inlineStr">
        <is>
          <t>南化建司劳2017-1号文-南京南化建设有限公司施工一线专业序列人员分级管理规定</t>
        </is>
      </c>
      <c r="CN192" s="2" t="inlineStr">
        <is>
          <t>第三章第3条C类</t>
        </is>
      </c>
      <c r="CO192" s="2"/>
      <c r="CP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t="inlineStr">
        <is>
          <t>0450c7be-f6ab-4ec3-9953-06cf63547020</t>
        </is>
      </c>
      <c r="CJ193" s="3" t="n">
        <v>2</v>
      </c>
      <c r="CK193" s="2" t="inlineStr">
        <is>
          <t>公司二级单位或公司职能部门推荐</t>
        </is>
      </c>
      <c r="CL193" s="2" t="inlineStr">
        <is>
          <t>公司二级单位或公司职能部门推荐</t>
        </is>
      </c>
      <c r="CM193" s="2" t="inlineStr">
        <is>
          <t>南化建司劳2017-1号文-南京南化建设有限公司施工一线专业序列人员分级管理规定</t>
        </is>
      </c>
      <c r="CN193" s="2" t="inlineStr">
        <is>
          <t>第三章第3条C类</t>
        </is>
      </c>
      <c r="CO193" s="2"/>
      <c r="CP193" s="2"/>
    </row>
    <row r="194">
      <c r="A194" s="2" t="inlineStr">
        <is>
          <t>3721aedb-defc-4288-a722-5556462ac5ab</t>
        </is>
      </c>
      <c r="B194" s="2" t="inlineStr">
        <is>
          <t>B.满负荷，平时工作就很忙，偶尔因为非突发时间也要加班</t>
        </is>
      </c>
      <c r="C194" s="2" t="inlineStr">
        <is>
          <t>技术中心    伍冰艳    女    张威</t>
        </is>
      </c>
      <c r="D194" s="2" t="inlineStr">
        <is>
          <t>Anonymous</t>
        </is>
      </c>
      <c r="E194" s="2" t="inlineStr">
        <is>
          <t>Anonymous</t>
        </is>
      </c>
      <c r="F194" s="2"/>
      <c r="G194" s="2" t="inlineStr">
        <is>
          <t>2026-05-25 10:56:15</t>
        </is>
      </c>
      <c r="H194" s="2" t="inlineStr">
        <is>
          <t>张威</t>
        </is>
      </c>
      <c r="I194" s="2" t="inlineStr">
        <is>
          <t>321027198912083075</t>
        </is>
      </c>
      <c r="J194" s="2" t="inlineStr">
        <is>
          <t>男</t>
        </is>
      </c>
      <c r="K194" s="2" t="inlineStr">
        <is>
          <t>技术中心</t>
        </is>
      </c>
      <c r="L194" s="2" t="inlineStr">
        <is>
          <t>2012-07-01</t>
        </is>
      </c>
      <c r="M194" s="2" t="inlineStr">
        <is>
          <t>常州大学</t>
        </is>
      </c>
      <c r="N194" s="2" t="inlineStr">
        <is>
          <t>过控</t>
        </is>
      </c>
      <c r="O194" s="2" t="inlineStr">
        <is>
          <t>本科</t>
        </is>
      </c>
      <c r="P194" s="2" t="inlineStr">
        <is>
          <t>技术中心</t>
        </is>
      </c>
      <c r="Q194" s="2" t="inlineStr">
        <is>
          <t>伍冰艳</t>
        </is>
      </c>
      <c r="R194" s="2" t="inlineStr">
        <is>
          <t>女</t>
        </is>
      </c>
      <c r="S194" s="2" t="inlineStr">
        <is>
          <t>2022-08-01</t>
        </is>
      </c>
      <c r="T194" s="2" t="inlineStr">
        <is>
          <t>技术助理(二)</t>
        </is>
      </c>
      <c r="U194" s="2" t="inlineStr">
        <is>
          <t>北部湾大学</t>
        </is>
      </c>
      <c r="V194" s="2" t="inlineStr">
        <is>
          <t>土建</t>
        </is>
      </c>
      <c r="W194" s="2" t="inlineStr">
        <is>
          <t>本科</t>
        </is>
      </c>
      <c r="X194" s="2" t="inlineStr">
        <is>
          <t>A.积极高效：经常提前完成，且质量超出预期。</t>
        </is>
      </c>
      <c r="Y194" s="2" t="inlineStr">
        <is>
          <t>B.基本稳定：偶有小瑕疵，但不影响整体使用。</t>
        </is>
      </c>
      <c r="Z194" s="2" t="inlineStr">
        <is>
          <t>A.极其省心：只需交代目标，剩下的一律不用管，最后不仅能准时交付，甚至能超出预期。</t>
        </is>
      </c>
      <c r="AA194" s="2" t="inlineStr">
        <is>
          <t>A.全局视野：了解上下游，能站在全业务链条考虑问题。</t>
        </is>
      </c>
      <c r="AB194" s="2" t="inlineStr">
        <is>
          <t>B.尽力而为：能解决大部分问题，解决不了的会及时求助。</t>
        </is>
      </c>
      <c r="AC194" s="2" t="inlineStr">
        <is>
          <t>B.基本合规：偶尔迟到或忘打卡，提醒后能迅速改正。</t>
        </is>
      </c>
      <c r="AD194" s="2" t="inlineStr">
        <is>
          <t>B.偶尔思考：在主管启发下，能提出一些优化想法</t>
        </is>
      </c>
      <c r="AE194" s="2" t="inlineStr">
        <is>
          <t>A.推进力极强：能搞定不同性格的人，让对方配合。</t>
        </is>
      </c>
      <c r="AF194" s="2" t="inlineStr">
        <is>
          <t>A.完美闭环：进展、难点、结果都会主动汇报，无需催促。</t>
        </is>
      </c>
      <c r="AG194" s="2" t="inlineStr">
        <is>
          <t>A.动力源：像小太阳，主动分享、帮人解惑，带活团队。</t>
        </is>
      </c>
      <c r="AH194" s="2" t="inlineStr">
        <is>
          <t>A.整合高手：能迅速找到能帮上忙的人和资源，借力打力解决问题。</t>
        </is>
      </c>
      <c r="AI194" s="2" t="inlineStr">
        <is>
          <t>B. 配合接受：主管安排了就干，不推辞。</t>
        </is>
      </c>
      <c r="AJ194" s="2" t="inlineStr">
        <is>
          <t>A.越战越勇：能扛住压力，保持冷静，高效处理紧急事务。</t>
        </is>
      </c>
      <c r="AK194" s="2" t="inlineStr">
        <is>
          <t>B.照单全收：态度很好，虽然不一定完全理解，但会按要求改。</t>
        </is>
      </c>
      <c r="AL194" s="2" t="inlineStr">
        <is>
          <t>A.极速掌握：自学能力极强，很快就能成为该领域的“百晓生”。</t>
        </is>
      </c>
      <c r="AM194" s="2" t="inlineStr">
        <is>
          <t>B.愿意传帮带：平时爱分享避坑指南，能带徒弟。</t>
        </is>
      </c>
      <c r="AN194" s="2" t="inlineStr">
        <is>
          <t>B.中上水平：高于平均线，是团队的中流砥柱。</t>
        </is>
      </c>
      <c r="AO194" s="2" t="inlineStr">
        <is>
          <t>B.业务骨干：是团队不可或缺的腰部力量。</t>
        </is>
      </c>
      <c r="AP194" s="2" t="inlineStr">
        <is>
          <t>A.晴天霹雳：极其遗憾，会不惜代价挽留，他是部门的支柱。</t>
        </is>
      </c>
      <c r="AQ194" s="2" t="inlineStr">
        <is>
          <t>A</t>
        </is>
      </c>
      <c r="AR194" s="2" t="inlineStr">
        <is>
          <t>A</t>
        </is>
      </c>
      <c r="AS194" s="2" t="inlineStr">
        <is>
          <t>一致</t>
        </is>
      </c>
      <c r="AT194" s="2" t="inlineStr">
        <is>
          <t>A</t>
        </is>
      </c>
      <c r="AU194" s="2"/>
      <c r="AV194" s="3"/>
      <c r="AW194" s="3"/>
      <c r="AX194" s="3"/>
      <c r="AY194" s="2" t="inlineStr">
        <is>
          <t>B</t>
        </is>
      </c>
      <c r="AZ194" s="2" t="inlineStr">
        <is>
          <t>1.学习、抗压能力强
2.工作态度积极</t>
        </is>
      </c>
      <c r="BA194" s="7" t="n">
        <v>5</v>
      </c>
      <c r="BB194" s="7" t="n">
        <v>4</v>
      </c>
      <c r="BC194" s="7" t="n">
        <v>5</v>
      </c>
      <c r="BD194" s="7" t="n">
        <v>5</v>
      </c>
      <c r="BE194" s="7" t="n">
        <v>4</v>
      </c>
      <c r="BF194" s="7" t="n">
        <v>3.5</v>
      </c>
      <c r="BG194" s="7" t="n">
        <v>4</v>
      </c>
      <c r="BH194" s="7" t="n">
        <v>5</v>
      </c>
      <c r="BI194" s="7" t="n">
        <v>5</v>
      </c>
      <c r="BJ194" s="7" t="n">
        <v>5</v>
      </c>
      <c r="BK194" s="7" t="n">
        <v>5</v>
      </c>
      <c r="BL194" s="7" t="n">
        <v>4</v>
      </c>
      <c r="BM194" s="7" t="n">
        <v>4</v>
      </c>
      <c r="BN194" s="7" t="n">
        <v>5</v>
      </c>
      <c r="BO194" s="7" t="n">
        <v>3</v>
      </c>
      <c r="BP194" s="7" t="n">
        <v>5</v>
      </c>
      <c r="BQ194" s="7" t="n">
        <v>4</v>
      </c>
      <c r="BR194" s="7" t="n">
        <v>4</v>
      </c>
      <c r="BS194" s="7" t="n">
        <v>4</v>
      </c>
      <c r="BT194" s="7" t="n">
        <v>5</v>
      </c>
      <c r="BU194" s="7" t="n">
        <v>88.5</v>
      </c>
      <c r="BV194" s="2" t="inlineStr">
        <is>
          <t>A.需要存在，不可去除</t>
        </is>
      </c>
      <c r="BW194" s="2"/>
      <c r="BX194" s="2"/>
      <c r="BY194" s="6">
        <f>HYPERLINK("https://www.h3yun.com/Form/Attachments/?schemacode=D148357733993cc00c048ad9898e53f5f82cbb9&amp;bizObjectId=3721aedb-defc-4288-a722-5556462ac5ab&amp;name=F0000016","点击查看")</f>
        <v>0</v>
      </c>
      <c r="BZ194" s="2" t="inlineStr">
        <is>
          <t>2026-05-07 10:38:38</t>
        </is>
      </c>
      <c r="CA194" s="2" t="inlineStr">
        <is>
          <t>A</t>
        </is>
      </c>
      <c r="CB194" s="2" t="inlineStr">
        <is>
          <t>已提交</t>
        </is>
      </c>
      <c r="CC194" s="2" t="inlineStr">
        <is>
          <t>助理工程师</t>
        </is>
      </c>
      <c r="CD194" s="2" t="inlineStr">
        <is>
          <t>无</t>
        </is>
      </c>
      <c r="CE194" s="2" t="inlineStr">
        <is>
          <t>无</t>
        </is>
      </c>
      <c r="CF194" s="2"/>
      <c r="CG194" s="2" t="inlineStr">
        <is>
          <t>45032419990120314X</t>
        </is>
      </c>
      <c r="CH194" s="2" t="inlineStr">
        <is>
          <t>已生效</t>
        </is>
      </c>
      <c r="CI194" s="2" t="inlineStr">
        <is>
          <t>a675a645-bf98-4e06-a8ba-56a423aa27c5</t>
        </is>
      </c>
      <c r="CJ194" s="3" t="n">
        <v>1</v>
      </c>
      <c r="CK194" s="2" t="inlineStr">
        <is>
          <t>近三年至少担任过一个合同额1500万元以上项目相应岗位的主管</t>
        </is>
      </c>
      <c r="CL194" s="2" t="inlineStr">
        <is>
          <t>近三年至少担任过一个合同额1500万元以上项目相应岗位的主管</t>
        </is>
      </c>
      <c r="CM194" s="2" t="inlineStr">
        <is>
          <t>南化建司劳2017-1号文-南京南化建设有限公司施工一线专业序列人员分级管理规定</t>
        </is>
      </c>
      <c r="CN194" s="2" t="inlineStr">
        <is>
          <t>第三章第2条B类</t>
        </is>
      </c>
      <c r="CO194" s="2"/>
      <c r="CP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t="inlineStr">
        <is>
          <t>5644ac58-afb1-4fbd-8873-33102eef7aa5</t>
        </is>
      </c>
      <c r="CJ195" s="3" t="n">
        <v>2</v>
      </c>
      <c r="CK195" s="2" t="inlineStr">
        <is>
          <t>公司二级单位或公司职能部门推荐</t>
        </is>
      </c>
      <c r="CL195" s="2" t="inlineStr">
        <is>
          <t>公司二级单位或公司职能部门推荐</t>
        </is>
      </c>
      <c r="CM195" s="2" t="inlineStr">
        <is>
          <t>南化建司劳2017-1号文-南京南化建设有限公司施工一线专业序列人员分级管理规定</t>
        </is>
      </c>
      <c r="CN195" s="2" t="inlineStr">
        <is>
          <t>第三章第2条B类</t>
        </is>
      </c>
      <c r="CO195" s="2"/>
      <c r="CP195" s="2"/>
    </row>
    <row r="196">
      <c r="A196" s="2" t="inlineStr">
        <is>
          <t>71e9fbdd-b3da-4a48-af92-dfbf8fe892cd</t>
        </is>
      </c>
      <c r="B196" s="2" t="inlineStr">
        <is>
          <t>A.超负荷，平时工作就很忙，经常还要加班</t>
        </is>
      </c>
      <c r="C196" s="2" t="inlineStr">
        <is>
          <t>安装一分公司    王玮    男    赵尊须</t>
        </is>
      </c>
      <c r="D196" s="2" t="inlineStr">
        <is>
          <t>Anonymous</t>
        </is>
      </c>
      <c r="E196" s="2" t="inlineStr">
        <is>
          <t>Anonymous</t>
        </is>
      </c>
      <c r="F196" s="2"/>
      <c r="G196" s="2" t="inlineStr">
        <is>
          <t>2026-05-25 10:56:15</t>
        </is>
      </c>
      <c r="H196" s="2" t="inlineStr">
        <is>
          <t>赵尊须</t>
        </is>
      </c>
      <c r="I196" s="2" t="inlineStr">
        <is>
          <t>320321199409114614</t>
        </is>
      </c>
      <c r="J196" s="2" t="inlineStr">
        <is>
          <t>男</t>
        </is>
      </c>
      <c r="K196" s="2" t="inlineStr">
        <is>
          <t>安装一分公司</t>
        </is>
      </c>
      <c r="L196" s="2" t="inlineStr">
        <is>
          <t>2017-08-01</t>
        </is>
      </c>
      <c r="M196" s="2" t="inlineStr">
        <is>
          <t>淮海工学院</t>
        </is>
      </c>
      <c r="N196" s="2" t="inlineStr">
        <is>
          <t>过控</t>
        </is>
      </c>
      <c r="O196" s="2" t="inlineStr">
        <is>
          <t>本科</t>
        </is>
      </c>
      <c r="P196" s="2" t="inlineStr">
        <is>
          <t>安装一分公司</t>
        </is>
      </c>
      <c r="Q196" s="2" t="inlineStr">
        <is>
          <t>王玮</t>
        </is>
      </c>
      <c r="R196" s="2" t="inlineStr">
        <is>
          <t>男</t>
        </is>
      </c>
      <c r="S196" s="2" t="inlineStr">
        <is>
          <t>1995-08-01</t>
        </is>
      </c>
      <c r="T196" s="2" t="inlineStr">
        <is>
          <t>业务主办B</t>
        </is>
      </c>
      <c r="U196" s="2" t="inlineStr">
        <is>
          <t>南化技工技术学校</t>
        </is>
      </c>
      <c r="V196" s="2" t="inlineStr">
        <is>
          <t>安全员</t>
        </is>
      </c>
      <c r="W196" s="2" t="inlineStr">
        <is>
          <t>技校</t>
        </is>
      </c>
      <c r="X196" s="2" t="inlineStr">
        <is>
          <t>B.按时推进：基本能卡着时间点完成，不掉链子。</t>
        </is>
      </c>
      <c r="Y196" s="2" t="inlineStr">
        <is>
          <t>A.始终如一：无论任务大小，交付件标准都很高。</t>
        </is>
      </c>
      <c r="Z196" s="2" t="inlineStr">
        <is>
          <t>A.极其省心：只需交代目标，剩下的一律不用管，最后不仅能准时交付，甚至能超出预期。</t>
        </is>
      </c>
      <c r="AA196" s="2" t="inlineStr">
        <is>
          <t>A.全局视野：了解上下游，能站在全业务链条考虑问题。</t>
        </is>
      </c>
      <c r="AB196" s="2" t="inlineStr">
        <is>
          <t>A.攻坚克难：会想尽一切办法钻研，直至彻底解决。</t>
        </is>
      </c>
      <c r="AC196" s="2" t="inlineStr">
        <is>
          <t>A.模范标兵：严于律己，从未在琐事上让主管费心。</t>
        </is>
      </c>
      <c r="AD196" s="2" t="inlineStr">
        <is>
          <t>B.偶尔思考：在主管启发下，能提出一些优化想法</t>
        </is>
      </c>
      <c r="AE196" s="2" t="inlineStr">
        <is>
          <t>A.推进力极强：能搞定不同性格的人，让对方配合。</t>
        </is>
      </c>
      <c r="AF196" s="2" t="inlineStr">
        <is>
          <t>A.完美闭环：进展、难点、结果都会主动汇报，无需催促。</t>
        </is>
      </c>
      <c r="AG196" s="2" t="inlineStr">
        <is>
          <t>A.动力源：像小太阳，主动分享、帮人解惑，带活团队。</t>
        </is>
      </c>
      <c r="AH196" s="2" t="inlineStr">
        <is>
          <t>A.整合高手：能迅速找到能帮上忙的人和资源，借力打力解决问题。</t>
        </is>
      </c>
      <c r="AI196" s="2" t="inlineStr">
        <is>
          <t>B. 配合接受：主管安排了就干，不推辞。</t>
        </is>
      </c>
      <c r="AJ196" s="2" t="inlineStr">
        <is>
          <t>A.越战越勇：能扛住压力，保持冷静，高效处理紧急事务。</t>
        </is>
      </c>
      <c r="AK196" s="2" t="inlineStr">
        <is>
          <t>B.照单全收：态度很好，虽然不一定完全理解，但会按要求改。</t>
        </is>
      </c>
      <c r="AL196" s="2" t="inlineStr">
        <is>
          <t>A.极速掌握：自学能力极强，很快就能成为该领域的“百晓生”。</t>
        </is>
      </c>
      <c r="AM196" s="2" t="inlineStr">
        <is>
          <t>B.愿意传帮带：平时爱分享避坑指南，能带徒弟。</t>
        </is>
      </c>
      <c r="AN196" s="2" t="inlineStr">
        <is>
          <t>B.中上水平：高于平均线，是团队的中流砥柱。</t>
        </is>
      </c>
      <c r="AO196" s="2" t="inlineStr">
        <is>
          <t>B.业务骨干：是团队不可或缺的腰部力量。</t>
        </is>
      </c>
      <c r="AP196" s="2" t="inlineStr">
        <is>
          <t>A.晴天霹雳：极其遗憾，会不惜代价挽留，他是部门的支柱。</t>
        </is>
      </c>
      <c r="AQ196" s="2" t="inlineStr">
        <is>
          <t>A</t>
        </is>
      </c>
      <c r="AR196" s="2" t="inlineStr">
        <is>
          <t>A</t>
        </is>
      </c>
      <c r="AS196" s="2" t="inlineStr">
        <is>
          <t>一致</t>
        </is>
      </c>
      <c r="AT196" s="2" t="inlineStr">
        <is>
          <t>A</t>
        </is>
      </c>
      <c r="AU196" s="2" t="inlineStr">
        <is>
          <t>5档</t>
        </is>
      </c>
      <c r="AV196" s="3" t="n">
        <v>9400</v>
      </c>
      <c r="AW196" s="3" t="n">
        <v>7520</v>
      </c>
      <c r="AX196" s="3" t="n">
        <v>11280</v>
      </c>
      <c r="AY196" s="2" t="inlineStr">
        <is>
          <t>B</t>
        </is>
      </c>
      <c r="AZ196" s="2" t="inlineStr">
        <is>
          <t>非常优秀</t>
        </is>
      </c>
      <c r="BA196" s="7" t="n">
        <v>3</v>
      </c>
      <c r="BB196" s="7" t="n">
        <v>5</v>
      </c>
      <c r="BC196" s="7" t="n">
        <v>5</v>
      </c>
      <c r="BD196" s="7" t="n">
        <v>5</v>
      </c>
      <c r="BE196" s="7" t="n">
        <v>5</v>
      </c>
      <c r="BF196" s="7" t="n">
        <v>5</v>
      </c>
      <c r="BG196" s="7" t="n">
        <v>4</v>
      </c>
      <c r="BH196" s="7" t="n">
        <v>5</v>
      </c>
      <c r="BI196" s="7" t="n">
        <v>5</v>
      </c>
      <c r="BJ196" s="7" t="n">
        <v>5</v>
      </c>
      <c r="BK196" s="7" t="n">
        <v>5</v>
      </c>
      <c r="BL196" s="7" t="n">
        <v>4</v>
      </c>
      <c r="BM196" s="7" t="n">
        <v>5</v>
      </c>
      <c r="BN196" s="7" t="n">
        <v>5</v>
      </c>
      <c r="BO196" s="7" t="n">
        <v>3</v>
      </c>
      <c r="BP196" s="7" t="n">
        <v>5</v>
      </c>
      <c r="BQ196" s="7" t="n">
        <v>4</v>
      </c>
      <c r="BR196" s="7" t="n">
        <v>4</v>
      </c>
      <c r="BS196" s="7" t="n">
        <v>4</v>
      </c>
      <c r="BT196" s="7" t="n">
        <v>5</v>
      </c>
      <c r="BU196" s="7" t="n">
        <v>91</v>
      </c>
      <c r="BV196" s="2" t="inlineStr">
        <is>
          <t>A.需要存在，不可去除</t>
        </is>
      </c>
      <c r="BW196" s="2"/>
      <c r="BX196" s="2"/>
      <c r="BY196" s="6">
        <f>HYPERLINK("https://www.h3yun.com/Form/Attachments/?schemacode=D148357733993cc00c048ad9898e53f5f82cbb9&amp;bizObjectId=71e9fbdd-b3da-4a48-af92-dfbf8fe892cd&amp;name=F0000016","点击查看")</f>
        <v>0</v>
      </c>
      <c r="BZ196" s="2" t="inlineStr">
        <is>
          <t>2026-05-07 10:34:29</t>
        </is>
      </c>
      <c r="CA196" s="2" t="inlineStr">
        <is>
          <t>A</t>
        </is>
      </c>
      <c r="CB196" s="2" t="inlineStr">
        <is>
          <t>已提交</t>
        </is>
      </c>
      <c r="CC196" s="2" t="inlineStr">
        <is>
          <t>无</t>
        </is>
      </c>
      <c r="CD196" s="2" t="inlineStr">
        <is>
          <t>安全证</t>
        </is>
      </c>
      <c r="CE196" s="2" t="inlineStr">
        <is>
          <t>无</t>
        </is>
      </c>
      <c r="CF196" s="2"/>
      <c r="CG196" s="2" t="inlineStr">
        <is>
          <t>320112197610250451</t>
        </is>
      </c>
      <c r="CH196" s="2" t="inlineStr">
        <is>
          <t>已生效</t>
        </is>
      </c>
      <c r="CI196" s="2" t="inlineStr">
        <is>
          <t>11ca2293-a87b-4087-9a18-8d967119e65d</t>
        </is>
      </c>
      <c r="CJ196" s="3" t="n">
        <v>1</v>
      </c>
      <c r="CK196" s="2" t="inlineStr">
        <is>
          <t>近三年至少担任过一个合同额1500万元以上项目相应岗位的主管</t>
        </is>
      </c>
      <c r="CL196" s="2" t="inlineStr">
        <is>
          <t>近三年至少担任过一个合同额1500万元以上项目相应岗位的主管</t>
        </is>
      </c>
      <c r="CM196" s="2" t="inlineStr">
        <is>
          <t>南化建司劳2017-1号文-南京南化建设有限公司施工一线专业序列人员分级管理规定</t>
        </is>
      </c>
      <c r="CN196" s="2" t="inlineStr">
        <is>
          <t>第三章第2条B类</t>
        </is>
      </c>
      <c r="CO196" s="2"/>
      <c r="CP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t="inlineStr">
        <is>
          <t>7fbd3617-9804-498f-9f55-fb24109a182d</t>
        </is>
      </c>
      <c r="CJ197" s="3" t="n">
        <v>2</v>
      </c>
      <c r="CK197" s="2" t="inlineStr">
        <is>
          <t>公司二级单位或公司职能部门推荐</t>
        </is>
      </c>
      <c r="CL197" s="2" t="inlineStr">
        <is>
          <t>公司二级单位或公司职能部门推荐</t>
        </is>
      </c>
      <c r="CM197" s="2" t="inlineStr">
        <is>
          <t>南化建司劳2017-1号文-南京南化建设有限公司施工一线专业序列人员分级管理规定</t>
        </is>
      </c>
      <c r="CN197" s="2" t="inlineStr">
        <is>
          <t>第三章第2条B类</t>
        </is>
      </c>
      <c r="CO197" s="2"/>
      <c r="CP197" s="2"/>
    </row>
    <row r="198">
      <c r="A198" s="2" t="inlineStr">
        <is>
          <t>7c918951-41d2-42c5-ae60-fce9e7a71f68</t>
        </is>
      </c>
      <c r="B198" s="2" t="inlineStr">
        <is>
          <t>B.满负荷，平时工作就很忙，偶尔因为非突发时间也要加班</t>
        </is>
      </c>
      <c r="C198" s="2" t="inlineStr">
        <is>
          <t>信息化中心    王顺清    男    蔡雷萌</t>
        </is>
      </c>
      <c r="D198" s="2" t="inlineStr">
        <is>
          <t>Anonymous</t>
        </is>
      </c>
      <c r="E198" s="2" t="inlineStr">
        <is>
          <t>Anonymous</t>
        </is>
      </c>
      <c r="F198" s="2"/>
      <c r="G198" s="2" t="inlineStr">
        <is>
          <t>2026-05-25 10:56:15</t>
        </is>
      </c>
      <c r="H198" s="2" t="inlineStr">
        <is>
          <t>蔡雷萌</t>
        </is>
      </c>
      <c r="I198" s="2" t="inlineStr">
        <is>
          <t>320705197403302019</t>
        </is>
      </c>
      <c r="J198" s="2" t="inlineStr">
        <is>
          <t>男</t>
        </is>
      </c>
      <c r="K198" s="2" t="inlineStr">
        <is>
          <t>信息化中心</t>
        </is>
      </c>
      <c r="L198" s="2" t="inlineStr">
        <is>
          <t>1995-08-01</t>
        </is>
      </c>
      <c r="M198" s="2" t="inlineStr">
        <is>
          <t>连云港化工高等专业学校</t>
        </is>
      </c>
      <c r="N198" s="2" t="inlineStr">
        <is>
          <t>电气</t>
        </is>
      </c>
      <c r="O198" s="2" t="inlineStr">
        <is>
          <t>大专</t>
        </is>
      </c>
      <c r="P198" s="2" t="inlineStr">
        <is>
          <t>信息化中心</t>
        </is>
      </c>
      <c r="Q198" s="2" t="inlineStr">
        <is>
          <t>王顺清</t>
        </is>
      </c>
      <c r="R198" s="2" t="inlineStr">
        <is>
          <t>男</t>
        </is>
      </c>
      <c r="S198" s="2" t="inlineStr">
        <is>
          <t>2021-06-01</t>
        </is>
      </c>
      <c r="T198" s="2" t="inlineStr">
        <is>
          <t>主管工程师</t>
        </is>
      </c>
      <c r="U198" s="2" t="inlineStr">
        <is>
          <t>南京邮电大学</t>
        </is>
      </c>
      <c r="V198" s="2" t="inlineStr">
        <is>
          <t>其他</t>
        </is>
      </c>
      <c r="W198" s="2" t="inlineStr">
        <is>
          <t>本科</t>
        </is>
      </c>
      <c r="X198" s="2" t="inlineStr">
        <is>
          <t>B.按时推进：基本能卡着时间点完成，不掉链子。</t>
        </is>
      </c>
      <c r="Y198" s="2" t="inlineStr">
        <is>
          <t>A.始终如一：无论任务大小，交付件标准都很高。</t>
        </is>
      </c>
      <c r="Z198" s="2" t="inlineStr">
        <is>
          <t>B.比较省心：只需定期同步一下进度，不需要主管盯着细节，能独立把事情办成。</t>
        </is>
      </c>
      <c r="AA198" s="2" t="inlineStr">
        <is>
          <t>A.全局视野：了解上下游，能站在全业务链条考虑问题。</t>
        </is>
      </c>
      <c r="AB198" s="2" t="inlineStr">
        <is>
          <t>A.攻坚克难：会想尽一切办法钻研，直至彻底解决。</t>
        </is>
      </c>
      <c r="AC198" s="2" t="inlineStr">
        <is>
          <t>A.模范标兵：严于律己，从未在琐事上让主管费心。</t>
        </is>
      </c>
      <c r="AD198" s="2" t="inlineStr">
        <is>
          <t>B.偶尔思考：在主管启发下，能提出一些优化想法</t>
        </is>
      </c>
      <c r="AE198" s="2" t="inlineStr">
        <is>
          <t>A.推进力极强：能搞定不同性格的人，让对方配合。</t>
        </is>
      </c>
      <c r="AF198" s="2" t="inlineStr">
        <is>
          <t>B.有问有答：问到时能说清楚进度，基本能做到及时反馈。</t>
        </is>
      </c>
      <c r="AG198" s="2" t="inlineStr">
        <is>
          <t>B.稳定器：做好自己，不给团队添乱，是可靠的一员。</t>
        </is>
      </c>
      <c r="AH198" s="2" t="inlineStr">
        <is>
          <t>B.懂得求助：在尝试后会及时向主管或同事反馈，寻求资源支持。</t>
        </is>
      </c>
      <c r="AI198" s="2" t="inlineStr">
        <is>
          <t>B. 配合接受：主管安排了就干，不推辞。</t>
        </is>
      </c>
      <c r="AJ198" s="2" t="inlineStr">
        <is>
          <t>A.越战越勇：能扛住压力，保持冷静，高效处理紧急事务。</t>
        </is>
      </c>
      <c r="AK198" s="2" t="inlineStr">
        <is>
          <t>B.照单全收：态度很好，虽然不一定完全理解，但会按要求改。</t>
        </is>
      </c>
      <c r="AL198" s="2" t="inlineStr">
        <is>
          <t>A.极速掌握：自学能力极强，很快就能成为该领域的“百晓生”。</t>
        </is>
      </c>
      <c r="AM198" s="2" t="inlineStr">
        <is>
          <t>B.愿意传帮带：平时爱分享避坑指南，能带徒弟。</t>
        </is>
      </c>
      <c r="AN198" s="2" t="inlineStr">
        <is>
          <t>B.中上水平：高于平均线，是团队的中流砥柱。</t>
        </is>
      </c>
      <c r="AO198" s="2" t="inlineStr">
        <is>
          <t>B.业务骨干：是团队不可或缺的腰部力量。</t>
        </is>
      </c>
      <c r="AP198" s="2" t="inlineStr">
        <is>
          <t>A.晴天霹雳：极其遗憾，会不惜代价挽留，他是部门的支柱。</t>
        </is>
      </c>
      <c r="AQ198" s="2" t="inlineStr">
        <is>
          <t>A</t>
        </is>
      </c>
      <c r="AR198" s="2" t="inlineStr">
        <is>
          <t>A</t>
        </is>
      </c>
      <c r="AS198" s="2" t="inlineStr">
        <is>
          <t>一致</t>
        </is>
      </c>
      <c r="AT198" s="2" t="inlineStr">
        <is>
          <t>A</t>
        </is>
      </c>
      <c r="AU198" s="2"/>
      <c r="AV198" s="3"/>
      <c r="AW198" s="3"/>
      <c r="AX198" s="3"/>
      <c r="AY198" s="2" t="inlineStr">
        <is>
          <t>B</t>
        </is>
      </c>
      <c r="AZ198" s="2" t="inlineStr">
        <is>
          <t>工作积极主动，遇到问题不推诿，技术能力强，也愿意分享技术心得。今后需要主动投入更多时间在AI研究、系统架构等方面。</t>
        </is>
      </c>
      <c r="BA198" s="7" t="n">
        <v>3</v>
      </c>
      <c r="BB198" s="7" t="n">
        <v>5</v>
      </c>
      <c r="BC198" s="7" t="n">
        <v>4</v>
      </c>
      <c r="BD198" s="7" t="n">
        <v>5</v>
      </c>
      <c r="BE198" s="7" t="n">
        <v>5</v>
      </c>
      <c r="BF198" s="7" t="n">
        <v>5</v>
      </c>
      <c r="BG198" s="7" t="n">
        <v>4</v>
      </c>
      <c r="BH198" s="7" t="n">
        <v>5</v>
      </c>
      <c r="BI198" s="7" t="n">
        <v>4</v>
      </c>
      <c r="BJ198" s="7" t="n">
        <v>4</v>
      </c>
      <c r="BK198" s="7" t="n">
        <v>3</v>
      </c>
      <c r="BL198" s="7" t="n">
        <v>4</v>
      </c>
      <c r="BM198" s="7" t="n">
        <v>4</v>
      </c>
      <c r="BN198" s="7" t="n">
        <v>5</v>
      </c>
      <c r="BO198" s="7" t="n">
        <v>3</v>
      </c>
      <c r="BP198" s="7" t="n">
        <v>5</v>
      </c>
      <c r="BQ198" s="7" t="n">
        <v>4</v>
      </c>
      <c r="BR198" s="7" t="n">
        <v>4</v>
      </c>
      <c r="BS198" s="7" t="n">
        <v>4</v>
      </c>
      <c r="BT198" s="7" t="n">
        <v>5</v>
      </c>
      <c r="BU198" s="7" t="n">
        <v>85</v>
      </c>
      <c r="BV198" s="2" t="inlineStr">
        <is>
          <t>A.需要存在，不可去除</t>
        </is>
      </c>
      <c r="BW198" s="2"/>
      <c r="BX198" s="2"/>
      <c r="BY198" s="6">
        <f>HYPERLINK("https://www.h3yun.com/Form/Attachments/?schemacode=D148357733993cc00c048ad9898e53f5f82cbb9&amp;bizObjectId=7c918951-41d2-42c5-ae60-fce9e7a71f68&amp;name=F0000016","点击查看")</f>
        <v>0</v>
      </c>
      <c r="BZ198" s="2" t="inlineStr">
        <is>
          <t>2026-05-07 10:31:58</t>
        </is>
      </c>
      <c r="CA198" s="2" t="inlineStr">
        <is>
          <t>A</t>
        </is>
      </c>
      <c r="CB198" s="2" t="inlineStr">
        <is>
          <t>已提交</t>
        </is>
      </c>
      <c r="CC198" s="2" t="inlineStr">
        <is>
          <t>高级工程师</t>
        </is>
      </c>
      <c r="CD198" s="2" t="inlineStr">
        <is>
          <t>1. PMP
2. 软考系统集成</t>
        </is>
      </c>
      <c r="CE198" s="2" t="inlineStr">
        <is>
          <t>个人总结附件</t>
        </is>
      </c>
      <c r="CF198" s="2"/>
      <c r="CG198" s="2" t="inlineStr">
        <is>
          <t>320123198806075230</t>
        </is>
      </c>
      <c r="CH198" s="2" t="inlineStr">
        <is>
          <t>已生效</t>
        </is>
      </c>
      <c r="CI198" s="2" t="inlineStr">
        <is>
          <t>11b0a608-3f29-453d-a96e-d0af12da7477</t>
        </is>
      </c>
      <c r="CJ198" s="3" t="n">
        <v>1</v>
      </c>
      <c r="CK198" s="2" t="inlineStr">
        <is>
          <t>近三年至少担任过一个合同额1500万元以上项目相应岗位的主管</t>
        </is>
      </c>
      <c r="CL198" s="2" t="inlineStr">
        <is>
          <t>近三年至少担任过一个合同额1500万元以上项目相应岗位的主管</t>
        </is>
      </c>
      <c r="CM198" s="2" t="inlineStr">
        <is>
          <t>南化建司劳2017-1号文-南京南化建设有限公司施工一线专业序列人员分级管理规定</t>
        </is>
      </c>
      <c r="CN198" s="2" t="inlineStr">
        <is>
          <t>第三章第2条B类</t>
        </is>
      </c>
      <c r="CO198" s="2"/>
      <c r="CP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t="inlineStr">
        <is>
          <t>8f3cfa93-38a7-472a-ad85-2bb80c3cfed0</t>
        </is>
      </c>
      <c r="CJ199" s="3" t="n">
        <v>2</v>
      </c>
      <c r="CK199" s="2" t="inlineStr">
        <is>
          <t>公司二级单位或公司职能部门推荐</t>
        </is>
      </c>
      <c r="CL199" s="2" t="inlineStr">
        <is>
          <t>公司二级单位或公司职能部门推荐</t>
        </is>
      </c>
      <c r="CM199" s="2" t="inlineStr">
        <is>
          <t>南化建司劳2017-1号文-南京南化建设有限公司施工一线专业序列人员分级管理规定</t>
        </is>
      </c>
      <c r="CN199" s="2" t="inlineStr">
        <is>
          <t>第三章第2条B类</t>
        </is>
      </c>
      <c r="CO199" s="2"/>
      <c r="CP199" s="2"/>
    </row>
    <row r="200">
      <c r="A200" s="2" t="inlineStr">
        <is>
          <t>56efa20c-f017-41de-b2ca-b6c51f05164f</t>
        </is>
      </c>
      <c r="B200" s="2" t="inlineStr">
        <is>
          <t>C.均衡，工作负荷一般，按部就班完成工作，除了突发时间几乎不用加班</t>
        </is>
      </c>
      <c r="C200" s="2" t="inlineStr">
        <is>
          <t>南京永利重工制造有限公司    王磊    男    张威</t>
        </is>
      </c>
      <c r="D200" s="2" t="inlineStr">
        <is>
          <t>Anonymous</t>
        </is>
      </c>
      <c r="E200" s="2" t="inlineStr">
        <is>
          <t>Anonymous</t>
        </is>
      </c>
      <c r="F200" s="2"/>
      <c r="G200" s="2" t="inlineStr">
        <is>
          <t>2026-05-25 10:56:15</t>
        </is>
      </c>
      <c r="H200" s="2" t="inlineStr">
        <is>
          <t>张威</t>
        </is>
      </c>
      <c r="I200" s="2" t="inlineStr">
        <is>
          <t>321027198912083075</t>
        </is>
      </c>
      <c r="J200" s="2" t="inlineStr">
        <is>
          <t>男</t>
        </is>
      </c>
      <c r="K200" s="2" t="inlineStr">
        <is>
          <t>技术中心</t>
        </is>
      </c>
      <c r="L200" s="2" t="inlineStr">
        <is>
          <t>2012-07-01</t>
        </is>
      </c>
      <c r="M200" s="2" t="inlineStr">
        <is>
          <t>常州大学</t>
        </is>
      </c>
      <c r="N200" s="2" t="inlineStr">
        <is>
          <t>过控</t>
        </is>
      </c>
      <c r="O200" s="2" t="inlineStr">
        <is>
          <t>本科</t>
        </is>
      </c>
      <c r="P200" s="2" t="inlineStr">
        <is>
          <t>南京永利重工制造有限公司</t>
        </is>
      </c>
      <c r="Q200" s="2" t="inlineStr">
        <is>
          <t>王磊</t>
        </is>
      </c>
      <c r="R200" s="2" t="inlineStr">
        <is>
          <t>男</t>
        </is>
      </c>
      <c r="S200" s="2" t="inlineStr">
        <is>
          <t>2023-08-01</t>
        </is>
      </c>
      <c r="T200" s="2" t="inlineStr">
        <is>
          <t>技术助理(二)</t>
        </is>
      </c>
      <c r="U200" s="2" t="inlineStr">
        <is>
          <t>金陵科技学院</t>
        </is>
      </c>
      <c r="V200" s="2" t="inlineStr">
        <is>
          <t>化机</t>
        </is>
      </c>
      <c r="W200" s="2" t="inlineStr">
        <is>
          <t>本科</t>
        </is>
      </c>
      <c r="X200" s="2" t="inlineStr">
        <is>
          <t>B.按时推进：基本能卡着时间点完成，不掉链子。</t>
        </is>
      </c>
      <c r="Y200" s="2" t="inlineStr">
        <is>
          <t>B.基本稳定：偶有小瑕疵，但不影响整体使用。</t>
        </is>
      </c>
      <c r="Z200" s="2" t="inlineStr">
        <is>
          <t>B.比较省心：只需定期同步一下进度，不需要主管盯着细节，能独立把事情办成。</t>
        </is>
      </c>
      <c r="AA200" s="2" t="inlineStr">
        <is>
          <t>B.清楚岗位：对自己岗位的活儿很门清，略知上下游。</t>
        </is>
      </c>
      <c r="AB200" s="2" t="inlineStr">
        <is>
          <t>B.尽力而为：能解决大部分问题，解决不了的会及时求助。</t>
        </is>
      </c>
      <c r="AC200" s="2" t="inlineStr">
        <is>
          <t>A.模范标兵：严于律己，从未在琐事上让主管费心。</t>
        </is>
      </c>
      <c r="AD200" s="2" t="inlineStr">
        <is>
          <t>B.偶尔思考：在主管启发下，能提出一些优化想法</t>
        </is>
      </c>
      <c r="AE200" s="2" t="inlineStr">
        <is>
          <t>B.正常沟通：能清晰表达需求，维持基本的协作。</t>
        </is>
      </c>
      <c r="AF200" s="2" t="inlineStr">
        <is>
          <t>A.完美闭环：进展、难点、结果都会主动汇报，无需催促。</t>
        </is>
      </c>
      <c r="AG200" s="2" t="inlineStr">
        <is>
          <t>B.稳定器：做好自己，不给团队添乱，是可靠的一员。</t>
        </is>
      </c>
      <c r="AH200" s="2" t="inlineStr">
        <is>
          <t>B.懂得求助：在尝试后会及时向主管或同事反馈，寻求资源支持。</t>
        </is>
      </c>
      <c r="AI200" s="2" t="inlineStr">
        <is>
          <t>B. 配合接受：主管安排了就干，不推辞。</t>
        </is>
      </c>
      <c r="AJ200" s="2" t="inlineStr">
        <is>
          <t>B.配合度高：虽然有压力，但能服从大局，咬牙顶上去，且质量尚可。</t>
        </is>
      </c>
      <c r="AK200" s="2" t="inlineStr">
        <is>
          <t>B.照单全收：态度很好，虽然不一定完全理解，但会按要求改。</t>
        </is>
      </c>
      <c r="AL200" s="2" t="inlineStr">
        <is>
          <t>A.极速掌握：自学能力极强，很快就能成为该领域的“百晓生”。</t>
        </is>
      </c>
      <c r="AM200" s="2" t="inlineStr">
        <is>
          <t>C.技能私有：自己干得好也愿意分享，但是不会总结或讲不出来。</t>
        </is>
      </c>
      <c r="AN200" s="2" t="inlineStr">
        <is>
          <t>C.中规中矩：刚好达标，替代性较强。</t>
        </is>
      </c>
      <c r="AO200" s="2" t="inlineStr">
        <is>
          <t>C.熟练工：能胜任重复性工作，但很难承担更高阶的挑战。</t>
        </is>
      </c>
      <c r="AP200" s="2" t="inlineStr">
        <is>
          <t>B.有点可惜：是个好手，需要费心再找一个相同水准的。</t>
        </is>
      </c>
      <c r="AQ200" s="2" t="inlineStr">
        <is>
          <t>B</t>
        </is>
      </c>
      <c r="AR200" s="2" t="inlineStr">
        <is>
          <t>B</t>
        </is>
      </c>
      <c r="AS200" s="2" t="inlineStr">
        <is>
          <t>一致</t>
        </is>
      </c>
      <c r="AT200" s="2" t="inlineStr">
        <is>
          <t>B</t>
        </is>
      </c>
      <c r="AU200" s="2"/>
      <c r="AV200" s="3"/>
      <c r="AW200" s="3"/>
      <c r="AX200" s="3"/>
      <c r="AY200" s="2" t="inlineStr">
        <is>
          <t>C</t>
        </is>
      </c>
      <c r="AZ200" s="2" t="inlineStr">
        <is>
          <t>1.学习能力强，服从主管的任务安排
2.工作效率高，愿意跨部门沟通</t>
        </is>
      </c>
      <c r="BA200" s="7" t="n">
        <v>3</v>
      </c>
      <c r="BB200" s="7" t="n">
        <v>4</v>
      </c>
      <c r="BC200" s="7" t="n">
        <v>4</v>
      </c>
      <c r="BD200" s="7" t="n">
        <v>4</v>
      </c>
      <c r="BE200" s="7" t="n">
        <v>4</v>
      </c>
      <c r="BF200" s="7" t="n">
        <v>5</v>
      </c>
      <c r="BG200" s="7" t="n">
        <v>4</v>
      </c>
      <c r="BH200" s="7" t="n">
        <v>3.5</v>
      </c>
      <c r="BI200" s="7" t="n">
        <v>5</v>
      </c>
      <c r="BJ200" s="7" t="n">
        <v>4</v>
      </c>
      <c r="BK200" s="7" t="n">
        <v>3</v>
      </c>
      <c r="BL200" s="7" t="n">
        <v>4</v>
      </c>
      <c r="BM200" s="7" t="n">
        <v>3</v>
      </c>
      <c r="BN200" s="7" t="n">
        <v>4</v>
      </c>
      <c r="BO200" s="7" t="n">
        <v>3</v>
      </c>
      <c r="BP200" s="7" t="n">
        <v>5</v>
      </c>
      <c r="BQ200" s="7" t="n">
        <v>2</v>
      </c>
      <c r="BR200" s="7" t="n">
        <v>3</v>
      </c>
      <c r="BS200" s="7" t="n">
        <v>3</v>
      </c>
      <c r="BT200" s="7" t="n">
        <v>4</v>
      </c>
      <c r="BU200" s="7" t="n">
        <v>74.5</v>
      </c>
      <c r="BV200" s="2" t="inlineStr">
        <is>
          <t>A.需要存在，不可去除</t>
        </is>
      </c>
      <c r="BW200" s="2"/>
      <c r="BX200" s="2"/>
      <c r="BY200" s="6">
        <f>HYPERLINK("https://www.h3yun.com/Form/Attachments/?schemacode=D148357733993cc00c048ad9898e53f5f82cbb9&amp;bizObjectId=56efa20c-f017-41de-b2ca-b6c51f05164f&amp;name=F0000016","点击查看")</f>
        <v>0</v>
      </c>
      <c r="BZ200" s="2" t="inlineStr">
        <is>
          <t>2026-05-07 10:31:37</t>
        </is>
      </c>
      <c r="CA200" s="2" t="inlineStr">
        <is>
          <t>B</t>
        </is>
      </c>
      <c r="CB200" s="2" t="inlineStr">
        <is>
          <t>已提交</t>
        </is>
      </c>
      <c r="CC200" s="2" t="inlineStr">
        <is>
          <t>助理工程师</t>
        </is>
      </c>
      <c r="CD200" s="2" t="inlineStr">
        <is>
          <t>建筑施工企业机械类专职安全生产管理人员（C1类）（证书还没下来，目前只有成绩单）</t>
        </is>
      </c>
      <c r="CE200" s="2" t="inlineStr">
        <is>
          <t>无</t>
        </is>
      </c>
      <c r="CF200" s="2"/>
      <c r="CG200" s="2" t="inlineStr">
        <is>
          <t>520122200012130032</t>
        </is>
      </c>
      <c r="CH200" s="2" t="inlineStr">
        <is>
          <t>已生效</t>
        </is>
      </c>
      <c r="CI200" s="2" t="inlineStr">
        <is>
          <t>cc0553a1-cf6e-4d3c-8ce4-a6212c92e8fd</t>
        </is>
      </c>
      <c r="CJ200" s="3" t="n">
        <v>1</v>
      </c>
      <c r="CK200" s="2" t="inlineStr">
        <is>
          <t>近三年至少担任过一个合同额1000万元以上项目相应岗位的主管</t>
        </is>
      </c>
      <c r="CL200" s="2" t="inlineStr">
        <is>
          <t>近三年至少担任过一个合同额1000万元以上项目相应岗位的主管</t>
        </is>
      </c>
      <c r="CM200" s="2" t="inlineStr">
        <is>
          <t>南化建司劳2017-1号文-南京南化建设有限公司施工一线专业序列人员分级管理规定</t>
        </is>
      </c>
      <c r="CN200" s="2" t="inlineStr">
        <is>
          <t>第三章第3条C类</t>
        </is>
      </c>
      <c r="CO200" s="2"/>
      <c r="CP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t="inlineStr">
        <is>
          <t>97373d96-cd7e-4637-aced-51be30ed2525</t>
        </is>
      </c>
      <c r="CJ201" s="3" t="n">
        <v>2</v>
      </c>
      <c r="CK201" s="2" t="inlineStr">
        <is>
          <t>公司二级单位或公司职能部门推荐</t>
        </is>
      </c>
      <c r="CL201" s="2" t="inlineStr">
        <is>
          <t>公司二级单位或公司职能部门推荐</t>
        </is>
      </c>
      <c r="CM201" s="2" t="inlineStr">
        <is>
          <t>南化建司劳2017-1号文-南京南化建设有限公司施工一线专业序列人员分级管理规定</t>
        </is>
      </c>
      <c r="CN201" s="2" t="inlineStr">
        <is>
          <t>第三章第3条C类</t>
        </is>
      </c>
      <c r="CO201" s="2"/>
      <c r="CP201" s="2"/>
    </row>
    <row r="202">
      <c r="A202" s="2" t="inlineStr">
        <is>
          <t>7d9512a0-1090-4fef-a388-04cdff2c76e5</t>
        </is>
      </c>
      <c r="B202" s="2" t="inlineStr">
        <is>
          <t>C.均衡，工作负荷一般，按部就班完成工作，除了突发时间几乎不用加班</t>
        </is>
      </c>
      <c r="C202" s="2" t="inlineStr">
        <is>
          <t>技术中心    朱家亮    男    张威</t>
        </is>
      </c>
      <c r="D202" s="2" t="inlineStr">
        <is>
          <t>Anonymous</t>
        </is>
      </c>
      <c r="E202" s="2" t="inlineStr">
        <is>
          <t>Anonymous</t>
        </is>
      </c>
      <c r="F202" s="2"/>
      <c r="G202" s="2" t="inlineStr">
        <is>
          <t>2026-05-25 10:56:15</t>
        </is>
      </c>
      <c r="H202" s="2" t="inlineStr">
        <is>
          <t>张威</t>
        </is>
      </c>
      <c r="I202" s="2" t="inlineStr">
        <is>
          <t>321027198912083075</t>
        </is>
      </c>
      <c r="J202" s="2" t="inlineStr">
        <is>
          <t>男</t>
        </is>
      </c>
      <c r="K202" s="2" t="inlineStr">
        <is>
          <t>技术中心</t>
        </is>
      </c>
      <c r="L202" s="2" t="inlineStr">
        <is>
          <t>2012-07-01</t>
        </is>
      </c>
      <c r="M202" s="2" t="inlineStr">
        <is>
          <t>常州大学</t>
        </is>
      </c>
      <c r="N202" s="2" t="inlineStr">
        <is>
          <t>过控</t>
        </is>
      </c>
      <c r="O202" s="2" t="inlineStr">
        <is>
          <t>本科</t>
        </is>
      </c>
      <c r="P202" s="2" t="inlineStr">
        <is>
          <t>技术中心</t>
        </is>
      </c>
      <c r="Q202" s="2" t="inlineStr">
        <is>
          <t>朱家亮</t>
        </is>
      </c>
      <c r="R202" s="2" t="inlineStr">
        <is>
          <t>男</t>
        </is>
      </c>
      <c r="S202" s="2" t="inlineStr">
        <is>
          <t>2019-08-01</t>
        </is>
      </c>
      <c r="T202" s="2" t="inlineStr">
        <is>
          <t>技术助理(一)</t>
        </is>
      </c>
      <c r="U202" s="2" t="inlineStr">
        <is>
          <t>盐城工学院</t>
        </is>
      </c>
      <c r="V202" s="2" t="inlineStr">
        <is>
          <t>材料员</t>
        </is>
      </c>
      <c r="W202" s="2" t="inlineStr">
        <is>
          <t>本科</t>
        </is>
      </c>
      <c r="X202" s="2" t="inlineStr">
        <is>
          <t>B.按时推进：基本能卡着时间点完成，不掉链子。</t>
        </is>
      </c>
      <c r="Y202" s="2" t="inlineStr">
        <is>
          <t>B.基本稳定：偶有小瑕疵，但不影响整体使用。</t>
        </is>
      </c>
      <c r="Z202" s="2" t="inlineStr">
        <is>
          <t>B.比较省心：只需定期同步一下进度，不需要主管盯着细节，能独立把事情办成。</t>
        </is>
      </c>
      <c r="AA202" s="2" t="inlineStr">
        <is>
          <t>B.清楚岗位：对自己岗位的活儿很门清，略知上下游。</t>
        </is>
      </c>
      <c r="AB202" s="2" t="inlineStr">
        <is>
          <t>B.尽力而为：能解决大部分问题，解决不了的会及时求助。</t>
        </is>
      </c>
      <c r="AC202" s="2" t="inlineStr">
        <is>
          <t>A.模范标兵：严于律己，从未在琐事上让主管费心。</t>
        </is>
      </c>
      <c r="AD202" s="2" t="inlineStr">
        <is>
          <t>B.偶尔思考：在主管启发下，能提出一些优化想法</t>
        </is>
      </c>
      <c r="AE202" s="2" t="inlineStr">
        <is>
          <t>B.正常沟通：能清晰表达需求，维持基本的协作。</t>
        </is>
      </c>
      <c r="AF202" s="2" t="inlineStr">
        <is>
          <t>C.偶尔断片：答应得好好的，但中间不反馈，非得主管去追。</t>
        </is>
      </c>
      <c r="AG202" s="2" t="inlineStr">
        <is>
          <t>B.稳定器：做好自己，不给团队添乱，是可靠的一员。</t>
        </is>
      </c>
      <c r="AH202" s="2" t="inlineStr">
        <is>
          <t>B.懂得求助：在尝试后会及时向主管或同事反馈，寻求资源支持。</t>
        </is>
      </c>
      <c r="AI202" s="2" t="inlineStr">
        <is>
          <t>B. 配合接受：主管安排了就干，不推辞。</t>
        </is>
      </c>
      <c r="AJ202" s="2" t="inlineStr">
        <is>
          <t>B.配合度高：虽然有压力，但能服从大局，咬牙顶上去，且质量尚可。</t>
        </is>
      </c>
      <c r="AK202" s="2" t="inlineStr">
        <is>
          <t>B.照单全收：态度很好，虽然不一定完全理解，但会按要求改。</t>
        </is>
      </c>
      <c r="AL202" s="2" t="inlineStr">
        <is>
          <t>B.正常上手：经过简单培训或指导，能很快投入应用。</t>
        </is>
      </c>
      <c r="AM202" s="2" t="inlineStr">
        <is>
          <t>C.技能私有：自己干得好也愿意分享，但是不会总结或讲不出来。</t>
        </is>
      </c>
      <c r="AN202" s="2" t="inlineStr">
        <is>
          <t>C.中规中矩：刚好达标，替代性较强。</t>
        </is>
      </c>
      <c r="AO202" s="2" t="inlineStr">
        <is>
          <t>C.熟练工：能胜任重复性工作，但很难承担更高阶的挑战。</t>
        </is>
      </c>
      <c r="AP202" s="2" t="inlineStr">
        <is>
          <t>B.有点可惜：是个好手，需要费心再找一个相同水准的。</t>
        </is>
      </c>
      <c r="AQ202" s="2" t="inlineStr">
        <is>
          <t>B</t>
        </is>
      </c>
      <c r="AR202" s="2" t="inlineStr">
        <is>
          <t>B</t>
        </is>
      </c>
      <c r="AS202" s="2" t="inlineStr">
        <is>
          <t>一致</t>
        </is>
      </c>
      <c r="AT202" s="2" t="inlineStr">
        <is>
          <t>B</t>
        </is>
      </c>
      <c r="AU202" s="2"/>
      <c r="AV202" s="3"/>
      <c r="AW202" s="3"/>
      <c r="AX202" s="3"/>
      <c r="AY202" s="2" t="inlineStr">
        <is>
          <t>C</t>
        </is>
      </c>
      <c r="AZ202" s="2" t="inlineStr">
        <is>
          <t>自主学习能力较强，需加强沟通能力</t>
        </is>
      </c>
      <c r="BA202" s="7" t="n">
        <v>3</v>
      </c>
      <c r="BB202" s="7" t="n">
        <v>4</v>
      </c>
      <c r="BC202" s="7" t="n">
        <v>4</v>
      </c>
      <c r="BD202" s="7" t="n">
        <v>4</v>
      </c>
      <c r="BE202" s="7" t="n">
        <v>4</v>
      </c>
      <c r="BF202" s="7" t="n">
        <v>5</v>
      </c>
      <c r="BG202" s="7" t="n">
        <v>4</v>
      </c>
      <c r="BH202" s="7" t="n">
        <v>3.5</v>
      </c>
      <c r="BI202" s="7" t="n">
        <v>2</v>
      </c>
      <c r="BJ202" s="7" t="n">
        <v>4</v>
      </c>
      <c r="BK202" s="7" t="n">
        <v>3</v>
      </c>
      <c r="BL202" s="7" t="n">
        <v>4</v>
      </c>
      <c r="BM202" s="7" t="n">
        <v>3</v>
      </c>
      <c r="BN202" s="7" t="n">
        <v>4</v>
      </c>
      <c r="BO202" s="7" t="n">
        <v>3</v>
      </c>
      <c r="BP202" s="7" t="n">
        <v>4</v>
      </c>
      <c r="BQ202" s="7" t="n">
        <v>2</v>
      </c>
      <c r="BR202" s="7" t="n">
        <v>3</v>
      </c>
      <c r="BS202" s="7" t="n">
        <v>3</v>
      </c>
      <c r="BT202" s="7" t="n">
        <v>4</v>
      </c>
      <c r="BU202" s="7" t="n">
        <v>70.5</v>
      </c>
      <c r="BV202" s="2" t="inlineStr">
        <is>
          <t>A.需要存在，不可去除</t>
        </is>
      </c>
      <c r="BW202" s="2"/>
      <c r="BX202" s="2"/>
      <c r="BY202" s="6">
        <f>HYPERLINK("https://www.h3yun.com/Form/Attachments/?schemacode=D148357733993cc00c048ad9898e53f5f82cbb9&amp;bizObjectId=7d9512a0-1090-4fef-a388-04cdff2c76e5&amp;name=F0000016","点击查看")</f>
        <v>0</v>
      </c>
      <c r="BZ202" s="2" t="inlineStr">
        <is>
          <t>2026-05-07 10:25:54</t>
        </is>
      </c>
      <c r="CA202" s="2" t="inlineStr">
        <is>
          <t>B</t>
        </is>
      </c>
      <c r="CB202" s="2" t="inlineStr">
        <is>
          <t>已提交</t>
        </is>
      </c>
      <c r="CC202" s="2" t="inlineStr">
        <is>
          <t>中级工程师</t>
        </is>
      </c>
      <c r="CD202" s="2" t="inlineStr">
        <is>
          <t>无</t>
        </is>
      </c>
      <c r="CE202" s="2" t="inlineStr">
        <is>
          <t>无</t>
        </is>
      </c>
      <c r="CF202" s="2"/>
      <c r="CG202" s="2" t="inlineStr">
        <is>
          <t>320125199703273610</t>
        </is>
      </c>
      <c r="CH202" s="2" t="inlineStr">
        <is>
          <t>已生效</t>
        </is>
      </c>
      <c r="CI202" s="2" t="inlineStr">
        <is>
          <t>138ac75c-4301-4672-afda-ab25f39b779c</t>
        </is>
      </c>
      <c r="CJ202" s="3" t="n">
        <v>1</v>
      </c>
      <c r="CK202" s="2" t="inlineStr">
        <is>
          <t>近三年至少担任过一个合同额1000万元以上项目相应岗位的主管</t>
        </is>
      </c>
      <c r="CL202" s="2" t="inlineStr">
        <is>
          <t>近三年至少担任过一个合同额1000万元以上项目相应岗位的主管</t>
        </is>
      </c>
      <c r="CM202" s="2" t="inlineStr">
        <is>
          <t>南化建司劳2017-1号文-南京南化建设有限公司施工一线专业序列人员分级管理规定</t>
        </is>
      </c>
      <c r="CN202" s="2" t="inlineStr">
        <is>
          <t>第三章第3条C类</t>
        </is>
      </c>
      <c r="CO202" s="2"/>
      <c r="CP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t="inlineStr">
        <is>
          <t>8629ce23-40ba-4a44-832c-5105a1dbb547</t>
        </is>
      </c>
      <c r="CJ203" s="3" t="n">
        <v>2</v>
      </c>
      <c r="CK203" s="2" t="inlineStr">
        <is>
          <t>公司二级单位或公司职能部门推荐</t>
        </is>
      </c>
      <c r="CL203" s="2" t="inlineStr">
        <is>
          <t>公司二级单位或公司职能部门推荐</t>
        </is>
      </c>
      <c r="CM203" s="2" t="inlineStr">
        <is>
          <t>南化建司劳2017-1号文-南京南化建设有限公司施工一线专业序列人员分级管理规定</t>
        </is>
      </c>
      <c r="CN203" s="2" t="inlineStr">
        <is>
          <t>第三章第3条C类</t>
        </is>
      </c>
      <c r="CO203" s="2"/>
      <c r="CP203" s="2"/>
    </row>
    <row r="204">
      <c r="A204" s="2" t="inlineStr">
        <is>
          <t>917416da-6f3d-4b42-9cac-4b324cdfda38</t>
        </is>
      </c>
      <c r="B204" s="2" t="inlineStr">
        <is>
          <t>C.均衡，工作负荷一般，按部就班完成工作，除了突发时间几乎不用加班</t>
        </is>
      </c>
      <c r="C204" s="2" t="inlineStr">
        <is>
          <t>信息化中心    汪艳玲    女    蔡雷萌</t>
        </is>
      </c>
      <c r="D204" s="2" t="inlineStr">
        <is>
          <t>Anonymous</t>
        </is>
      </c>
      <c r="E204" s="2" t="inlineStr">
        <is>
          <t>Anonymous</t>
        </is>
      </c>
      <c r="F204" s="2"/>
      <c r="G204" s="2" t="inlineStr">
        <is>
          <t>2026-05-25 10:56:15</t>
        </is>
      </c>
      <c r="H204" s="2" t="inlineStr">
        <is>
          <t>蔡雷萌</t>
        </is>
      </c>
      <c r="I204" s="2" t="inlineStr">
        <is>
          <t>320705197403302019</t>
        </is>
      </c>
      <c r="J204" s="2" t="inlineStr">
        <is>
          <t>男</t>
        </is>
      </c>
      <c r="K204" s="2" t="inlineStr">
        <is>
          <t>信息化中心</t>
        </is>
      </c>
      <c r="L204" s="2" t="inlineStr">
        <is>
          <t>1995-08-01</t>
        </is>
      </c>
      <c r="M204" s="2" t="inlineStr">
        <is>
          <t>连云港化工高等专业学校</t>
        </is>
      </c>
      <c r="N204" s="2" t="inlineStr">
        <is>
          <t>电气</t>
        </is>
      </c>
      <c r="O204" s="2" t="inlineStr">
        <is>
          <t>大专</t>
        </is>
      </c>
      <c r="P204" s="2" t="inlineStr">
        <is>
          <t>信息化中心</t>
        </is>
      </c>
      <c r="Q204" s="2" t="inlineStr">
        <is>
          <t>汪艳玲</t>
        </is>
      </c>
      <c r="R204" s="2" t="inlineStr">
        <is>
          <t>女</t>
        </is>
      </c>
      <c r="S204" s="2" t="inlineStr">
        <is>
          <t>2009-08-04</t>
        </is>
      </c>
      <c r="T204" s="2" t="inlineStr">
        <is>
          <t>专业工程师</t>
        </is>
      </c>
      <c r="U204" s="2" t="inlineStr">
        <is>
          <t>安徽理工大学</t>
        </is>
      </c>
      <c r="V204" s="2" t="inlineStr">
        <is>
          <t>化机</t>
        </is>
      </c>
      <c r="W204" s="2" t="inlineStr">
        <is>
          <t>本科</t>
        </is>
      </c>
      <c r="X204" s="2" t="inlineStr">
        <is>
          <t>B.按时推进：基本能卡着时间点完成，不掉链子。</t>
        </is>
      </c>
      <c r="Y204" s="2" t="inlineStr">
        <is>
          <t>B.基本稳定：偶有小瑕疵，但不影响整体使用。</t>
        </is>
      </c>
      <c r="Z204" s="2" t="inlineStr">
        <is>
          <t>C.正常跟进：需要主管盯着节点、偶尔提醒进度，或者在跑偏时帮着拽回来。</t>
        </is>
      </c>
      <c r="AA204" s="2" t="inlineStr">
        <is>
          <t>A.全局视野：了解上下游，能站在全业务链条考虑问题。</t>
        </is>
      </c>
      <c r="AB204" s="2" t="inlineStr">
        <is>
          <t>B.尽力而为：能解决大部分问题，解决不了的会及时求助。</t>
        </is>
      </c>
      <c r="AC204" s="2" t="inlineStr">
        <is>
          <t>B.基本合规：偶尔迟到或忘打卡，提醒后能迅速改正。</t>
        </is>
      </c>
      <c r="AD204" s="2" t="inlineStr">
        <is>
          <t>B.偶尔思考：在主管启发下，能提出一些优化想法</t>
        </is>
      </c>
      <c r="AE204" s="2" t="inlineStr">
        <is>
          <t>B.正常沟通：能清晰表达需求，维持基本的协作。</t>
        </is>
      </c>
      <c r="AF204" s="2" t="inlineStr">
        <is>
          <t>B.有问有答：问到时能说清楚进度，基本能做到及时反馈。</t>
        </is>
      </c>
      <c r="AG204" s="2" t="inlineStr">
        <is>
          <t>B.稳定器：做好自己，不给团队添乱，是可靠的一员。</t>
        </is>
      </c>
      <c r="AH204" s="2" t="inlineStr">
        <is>
          <t>A.整合高手：能迅速找到能帮上忙的人和资源，借力打力解决问题。</t>
        </is>
      </c>
      <c r="AI204" s="2" t="inlineStr">
        <is>
          <t>B. 配合接受：主管安排了就干，不推辞。</t>
        </is>
      </c>
      <c r="AJ204" s="2" t="inlineStr">
        <is>
          <t>C.较为配合：不抱怨，但压力较大时，工作质量会随之下滑。</t>
        </is>
      </c>
      <c r="AK204" s="2" t="inlineStr">
        <is>
          <t>B.照单全收：态度很好，虽然不一定完全理解，但会按要求改。</t>
        </is>
      </c>
      <c r="AL204" s="2" t="inlineStr">
        <is>
          <t>A.极速掌握：自学能力极强，很快就能成为该领域的“百晓生”。</t>
        </is>
      </c>
      <c r="AM204" s="2" t="inlineStr">
        <is>
          <t>B.愿意传帮带：平时爱分享避坑指南，能带徒弟。</t>
        </is>
      </c>
      <c r="AN204" s="2" t="inlineStr">
        <is>
          <t>C.中规中矩：刚好达标，替代性较强。</t>
        </is>
      </c>
      <c r="AO204" s="2" t="inlineStr">
        <is>
          <t>B.业务骨干：是团队不可或缺的腰部力量。</t>
        </is>
      </c>
      <c r="AP204" s="2" t="inlineStr">
        <is>
          <t>B.有点可惜：是个好手，需要费心再找一个相同水准的。</t>
        </is>
      </c>
      <c r="AQ204" s="2" t="inlineStr">
        <is>
          <t>B</t>
        </is>
      </c>
      <c r="AR204" s="2" t="inlineStr">
        <is>
          <t>B</t>
        </is>
      </c>
      <c r="AS204" s="2" t="inlineStr">
        <is>
          <t>一致</t>
        </is>
      </c>
      <c r="AT204" s="2" t="inlineStr">
        <is>
          <t>B</t>
        </is>
      </c>
      <c r="AU204" s="2"/>
      <c r="AV204" s="3"/>
      <c r="AW204" s="3"/>
      <c r="AX204" s="3"/>
      <c r="AY204" s="2" t="inlineStr">
        <is>
          <t>C</t>
        </is>
      </c>
      <c r="AZ204" s="2" t="inlineStr">
        <is>
          <t>汪艳玲工作积极认真，当前框架内的问题基本能独立解决。但未来成长空间不足。</t>
        </is>
      </c>
      <c r="BA204" s="7" t="n">
        <v>3</v>
      </c>
      <c r="BB204" s="7" t="n">
        <v>4</v>
      </c>
      <c r="BC204" s="7" t="n">
        <v>3</v>
      </c>
      <c r="BD204" s="7" t="n">
        <v>5</v>
      </c>
      <c r="BE204" s="7" t="n">
        <v>4</v>
      </c>
      <c r="BF204" s="7" t="n">
        <v>3.5</v>
      </c>
      <c r="BG204" s="7" t="n">
        <v>4</v>
      </c>
      <c r="BH204" s="7" t="n">
        <v>3.5</v>
      </c>
      <c r="BI204" s="7" t="n">
        <v>4</v>
      </c>
      <c r="BJ204" s="7" t="n">
        <v>4</v>
      </c>
      <c r="BK204" s="7" t="n">
        <v>5</v>
      </c>
      <c r="BL204" s="7" t="n">
        <v>4</v>
      </c>
      <c r="BM204" s="7" t="n">
        <v>3</v>
      </c>
      <c r="BN204" s="7" t="n">
        <v>3</v>
      </c>
      <c r="BO204" s="7" t="n">
        <v>3</v>
      </c>
      <c r="BP204" s="7" t="n">
        <v>5</v>
      </c>
      <c r="BQ204" s="7" t="n">
        <v>4</v>
      </c>
      <c r="BR204" s="7" t="n">
        <v>3</v>
      </c>
      <c r="BS204" s="7" t="n">
        <v>4</v>
      </c>
      <c r="BT204" s="7" t="n">
        <v>4</v>
      </c>
      <c r="BU204" s="7" t="n">
        <v>76</v>
      </c>
      <c r="BV204" s="2" t="inlineStr">
        <is>
          <t>A.需要存在，不可去除</t>
        </is>
      </c>
      <c r="BW204" s="2"/>
      <c r="BX204" s="2"/>
      <c r="BY204" s="6">
        <f>HYPERLINK("https://www.h3yun.com/Form/Attachments/?schemacode=D148357733993cc00c048ad9898e53f5f82cbb9&amp;bizObjectId=917416da-6f3d-4b42-9cac-4b324cdfda38&amp;name=F0000016","点击查看")</f>
        <v>0</v>
      </c>
      <c r="BZ204" s="2" t="inlineStr">
        <is>
          <t>2026-05-07 10:23:33</t>
        </is>
      </c>
      <c r="CA204" s="2" t="inlineStr">
        <is>
          <t>B</t>
        </is>
      </c>
      <c r="CB204" s="2" t="inlineStr">
        <is>
          <t>已提交</t>
        </is>
      </c>
      <c r="CC204" s="2" t="inlineStr">
        <is>
          <t>工程师</t>
        </is>
      </c>
      <c r="CD204" s="2" t="inlineStr">
        <is>
          <t>一建</t>
        </is>
      </c>
      <c r="CE204" s="2" t="inlineStr">
        <is>
          <t>PMP</t>
        </is>
      </c>
      <c r="CF204" s="2"/>
      <c r="CG204" s="2" t="inlineStr">
        <is>
          <t>34081119870822514X</t>
        </is>
      </c>
      <c r="CH204" s="2" t="inlineStr">
        <is>
          <t>已生效</t>
        </is>
      </c>
      <c r="CI204" s="2" t="inlineStr">
        <is>
          <t>976dffa7-75f5-4a5c-ac08-f3a7d94dc60e</t>
        </is>
      </c>
      <c r="CJ204" s="3" t="n">
        <v>1</v>
      </c>
      <c r="CK204" s="2" t="inlineStr">
        <is>
          <t>近三年至少担任过一个合同额1000万元以上项目相应岗位的主管</t>
        </is>
      </c>
      <c r="CL204" s="2" t="inlineStr">
        <is>
          <t>近三年至少担任过一个合同额1000万元以上项目相应岗位的主管</t>
        </is>
      </c>
      <c r="CM204" s="2" t="inlineStr">
        <is>
          <t>南化建司劳2017-1号文-南京南化建设有限公司施工一线专业序列人员分级管理规定</t>
        </is>
      </c>
      <c r="CN204" s="2" t="inlineStr">
        <is>
          <t>第三章第3条C类</t>
        </is>
      </c>
      <c r="CO204" s="2"/>
      <c r="CP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t="inlineStr">
        <is>
          <t>c66b9827-e05b-4d1a-bc6b-ac3d5304d98b</t>
        </is>
      </c>
      <c r="CJ205" s="3" t="n">
        <v>2</v>
      </c>
      <c r="CK205" s="2" t="inlineStr">
        <is>
          <t>公司二级单位或公司职能部门推荐</t>
        </is>
      </c>
      <c r="CL205" s="2" t="inlineStr">
        <is>
          <t>公司二级单位或公司职能部门推荐</t>
        </is>
      </c>
      <c r="CM205" s="2" t="inlineStr">
        <is>
          <t>南化建司劳2017-1号文-南京南化建设有限公司施工一线专业序列人员分级管理规定</t>
        </is>
      </c>
      <c r="CN205" s="2" t="inlineStr">
        <is>
          <t>第三章第3条C类</t>
        </is>
      </c>
      <c r="CO205" s="2"/>
      <c r="CP205" s="2"/>
    </row>
    <row r="206">
      <c r="A206" s="2" t="inlineStr">
        <is>
          <t>f1c59396-a967-4361-b73e-e94c75920619</t>
        </is>
      </c>
      <c r="B206" s="2" t="inlineStr">
        <is>
          <t>A.超负荷，平时工作就很忙，经常还要加班</t>
        </is>
      </c>
      <c r="C206" s="2" t="inlineStr">
        <is>
          <t>南京永利重工制造有限公司    蔡正荣    男    张威</t>
        </is>
      </c>
      <c r="D206" s="2" t="inlineStr">
        <is>
          <t>Anonymous</t>
        </is>
      </c>
      <c r="E206" s="2" t="inlineStr">
        <is>
          <t>Anonymous</t>
        </is>
      </c>
      <c r="F206" s="2"/>
      <c r="G206" s="2" t="inlineStr">
        <is>
          <t>2026-05-25 10:56:15</t>
        </is>
      </c>
      <c r="H206" s="2" t="inlineStr">
        <is>
          <t>张威</t>
        </is>
      </c>
      <c r="I206" s="2" t="inlineStr">
        <is>
          <t>321027198912083075</t>
        </is>
      </c>
      <c r="J206" s="2" t="inlineStr">
        <is>
          <t>男</t>
        </is>
      </c>
      <c r="K206" s="2" t="inlineStr">
        <is>
          <t>技术中心</t>
        </is>
      </c>
      <c r="L206" s="2" t="inlineStr">
        <is>
          <t>2012-07-01</t>
        </is>
      </c>
      <c r="M206" s="2" t="inlineStr">
        <is>
          <t>常州大学</t>
        </is>
      </c>
      <c r="N206" s="2" t="inlineStr">
        <is>
          <t>过控</t>
        </is>
      </c>
      <c r="O206" s="2" t="inlineStr">
        <is>
          <t>本科</t>
        </is>
      </c>
      <c r="P206" s="2" t="inlineStr">
        <is>
          <t>南京永利重工制造有限公司</t>
        </is>
      </c>
      <c r="Q206" s="2" t="inlineStr">
        <is>
          <t>蔡正荣</t>
        </is>
      </c>
      <c r="R206" s="2" t="inlineStr">
        <is>
          <t>男</t>
        </is>
      </c>
      <c r="S206" s="2" t="inlineStr">
        <is>
          <t>2021-08-01</t>
        </is>
      </c>
      <c r="T206" s="2" t="inlineStr">
        <is>
          <t>专业工程师</t>
        </is>
      </c>
      <c r="U206" s="2" t="inlineStr">
        <is>
          <t>南京林业大学</t>
        </is>
      </c>
      <c r="V206" s="2" t="inlineStr">
        <is>
          <t>测绘</t>
        </is>
      </c>
      <c r="W206" s="2" t="inlineStr">
        <is>
          <t>本科</t>
        </is>
      </c>
      <c r="X206" s="2" t="inlineStr">
        <is>
          <t>A.积极高效：经常提前完成，且质量超出预期。</t>
        </is>
      </c>
      <c r="Y206" s="2" t="inlineStr">
        <is>
          <t>A.始终如一：无论任务大小，交付件标准都很高。</t>
        </is>
      </c>
      <c r="Z206" s="2" t="inlineStr">
        <is>
          <t>A.极其省心：只需交代目标，剩下的一律不用管，最后不仅能准时交付，甚至能超出预期。</t>
        </is>
      </c>
      <c r="AA206" s="2" t="inlineStr">
        <is>
          <t>A.全局视野：了解上下游，能站在全业务链条考虑问题。</t>
        </is>
      </c>
      <c r="AB206" s="2" t="inlineStr">
        <is>
          <t>A.攻坚克难：会想尽一切办法钻研，直至彻底解决。</t>
        </is>
      </c>
      <c r="AC206" s="2" t="inlineStr">
        <is>
          <t>A.模范标兵：严于律己，从未在琐事上让主管费心。</t>
        </is>
      </c>
      <c r="AD206" s="2" t="inlineStr">
        <is>
          <t>B.偶尔思考：在主管启发下，能提出一些优化想法</t>
        </is>
      </c>
      <c r="AE206" s="2" t="inlineStr">
        <is>
          <t>A.推进力极强：能搞定不同性格的人，让对方配合。</t>
        </is>
      </c>
      <c r="AF206" s="2" t="inlineStr">
        <is>
          <t>B.有问有答：问到时能说清楚进度，基本能做到及时反馈。</t>
        </is>
      </c>
      <c r="AG206" s="2" t="inlineStr">
        <is>
          <t>A.动力源：像小太阳，主动分享、帮人解惑，带活团队。</t>
        </is>
      </c>
      <c r="AH206" s="2" t="inlineStr">
        <is>
          <t>A.整合高手：能迅速找到能帮上忙的人和资源，借力打力解决问题。</t>
        </is>
      </c>
      <c r="AI206" s="2" t="inlineStr">
        <is>
          <t>A. 主动揽活：只要对团队有利，先接过来干了再说。</t>
        </is>
      </c>
      <c r="AJ206" s="2" t="inlineStr">
        <is>
          <t>A.越战越勇：能扛住压力，保持冷静，高效处理紧急事务。</t>
        </is>
      </c>
      <c r="AK206" s="2" t="inlineStr">
        <is>
          <t>B.照单全收：态度很好，虽然不一定完全理解，但会按要求改。</t>
        </is>
      </c>
      <c r="AL206" s="2" t="inlineStr">
        <is>
          <t>A.极速掌握：自学能力极强，很快就能成为该领域的“百晓生”。</t>
        </is>
      </c>
      <c r="AM206" s="2" t="inlineStr">
        <is>
          <t>B.愿意传帮带：平时爱分享避坑指南，能带徒弟。</t>
        </is>
      </c>
      <c r="AN206" s="2" t="inlineStr">
        <is>
          <t>A.第一梯队（Top 10%）：部门的标杆。</t>
        </is>
      </c>
      <c r="AO206" s="2" t="inlineStr">
        <is>
          <t>A.核心管理/专家：具备成为部门负责人或顶尖专家的潜质。</t>
        </is>
      </c>
      <c r="AP206" s="2" t="inlineStr">
        <is>
          <t>A.晴天霹雳：极其遗憾，会不惜代价挽留，他是部门的支柱。</t>
        </is>
      </c>
      <c r="AQ206" s="2" t="inlineStr">
        <is>
          <t>S</t>
        </is>
      </c>
      <c r="AR206" s="2" t="inlineStr">
        <is>
          <t>S</t>
        </is>
      </c>
      <c r="AS206" s="2" t="inlineStr">
        <is>
          <t>一致</t>
        </is>
      </c>
      <c r="AT206" s="2" t="inlineStr">
        <is>
          <t>S</t>
        </is>
      </c>
      <c r="AU206" s="2"/>
      <c r="AV206" s="3"/>
      <c r="AW206" s="3"/>
      <c r="AX206" s="3"/>
      <c r="AY206" s="2" t="inlineStr">
        <is>
          <t>A</t>
        </is>
      </c>
      <c r="AZ206" s="2" t="inlineStr">
        <is>
          <t>能主动思考并且解决问题的能力突出，抗压能力较强</t>
        </is>
      </c>
      <c r="BA206" s="7" t="n">
        <v>5</v>
      </c>
      <c r="BB206" s="7" t="n">
        <v>5</v>
      </c>
      <c r="BC206" s="7" t="n">
        <v>5</v>
      </c>
      <c r="BD206" s="7" t="n">
        <v>5</v>
      </c>
      <c r="BE206" s="7" t="n">
        <v>5</v>
      </c>
      <c r="BF206" s="7" t="n">
        <v>5</v>
      </c>
      <c r="BG206" s="7" t="n">
        <v>4</v>
      </c>
      <c r="BH206" s="7" t="n">
        <v>5</v>
      </c>
      <c r="BI206" s="7" t="n">
        <v>4</v>
      </c>
      <c r="BJ206" s="7" t="n">
        <v>5</v>
      </c>
      <c r="BK206" s="7" t="n">
        <v>5</v>
      </c>
      <c r="BL206" s="7" t="n">
        <v>5</v>
      </c>
      <c r="BM206" s="7" t="n">
        <v>5</v>
      </c>
      <c r="BN206" s="7" t="n">
        <v>5</v>
      </c>
      <c r="BO206" s="7" t="n">
        <v>3</v>
      </c>
      <c r="BP206" s="7" t="n">
        <v>5</v>
      </c>
      <c r="BQ206" s="7" t="n">
        <v>4</v>
      </c>
      <c r="BR206" s="7" t="n">
        <v>5</v>
      </c>
      <c r="BS206" s="7" t="n">
        <v>5</v>
      </c>
      <c r="BT206" s="7" t="n">
        <v>5</v>
      </c>
      <c r="BU206" s="7" t="n">
        <v>95</v>
      </c>
      <c r="BV206" s="2" t="inlineStr">
        <is>
          <t>A.需要存在，不可去除</t>
        </is>
      </c>
      <c r="BW206" s="2"/>
      <c r="BX206" s="2"/>
      <c r="BY206" s="6">
        <f>HYPERLINK("https://www.h3yun.com/Form/Attachments/?schemacode=D148357733993cc00c048ad9898e53f5f82cbb9&amp;bizObjectId=f1c59396-a967-4361-b73e-e94c75920619&amp;name=F0000016","点击查看")</f>
        <v>0</v>
      </c>
      <c r="BZ206" s="2" t="inlineStr">
        <is>
          <t>2026-05-07 10:13:53</t>
        </is>
      </c>
      <c r="CA206" s="2" t="inlineStr">
        <is>
          <t>S</t>
        </is>
      </c>
      <c r="CB206" s="2" t="inlineStr">
        <is>
          <t>已提交</t>
        </is>
      </c>
      <c r="CC206" s="2" t="inlineStr">
        <is>
          <t>工程师</t>
        </is>
      </c>
      <c r="CD206" s="2" t="inlineStr">
        <is>
          <t>安全A证</t>
        </is>
      </c>
      <c r="CE206" s="2" t="inlineStr">
        <is>
          <t>公司2021、2022、2023年度优秀员工</t>
        </is>
      </c>
      <c r="CF206" s="2"/>
      <c r="CG206" s="2" t="inlineStr">
        <is>
          <t>320923198910191577</t>
        </is>
      </c>
      <c r="CH206" s="2" t="inlineStr">
        <is>
          <t>已生效</t>
        </is>
      </c>
      <c r="CI206" s="2" t="inlineStr">
        <is>
          <t>64f91645-a03c-48f6-8f05-53b23b53d0c2</t>
        </is>
      </c>
      <c r="CJ206" s="3" t="n">
        <v>1</v>
      </c>
      <c r="CK206" s="2" t="inlineStr">
        <is>
          <t>近三年至少担任过一个合同额 2000万元以上项目的项目经理、施工经理、技术负责人(项目总工程师)、安全经理、质量经理、采购经理、合同控制经理、设计经理等关键岗位中的一个</t>
        </is>
      </c>
      <c r="CL206" s="2" t="inlineStr">
        <is>
          <t>近三年至少担任过一个合同额 2000万元以上项目的项目经理、施工经理、技术负责人(项目总工程师)、安全经理、质量经理、采购经理、合同控制经理、设计经理等关键岗位中的一个</t>
        </is>
      </c>
      <c r="CM206" s="2" t="inlineStr">
        <is>
          <t>南化建司劳2017-1号文-南京南化建设有限公司施工一线专业序列人员分级管理规定</t>
        </is>
      </c>
      <c r="CN206" s="2" t="inlineStr">
        <is>
          <t>第三章第1条A类</t>
        </is>
      </c>
      <c r="CO206" s="2"/>
      <c r="CP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t="inlineStr">
        <is>
          <t>c51f9cce-daa3-403c-93d2-eddc2fad2fec</t>
        </is>
      </c>
      <c r="CJ207" s="3" t="n">
        <v>2</v>
      </c>
      <c r="CK207" s="2" t="inlineStr">
        <is>
          <t>公司二级单位或公司职能部门推荐</t>
        </is>
      </c>
      <c r="CL207" s="2" t="inlineStr">
        <is>
          <t>公司二级单位或公司职能部门推荐</t>
        </is>
      </c>
      <c r="CM207" s="2" t="inlineStr">
        <is>
          <t>南化建司劳2017-1号文-南京南化建设有限公司施工一线专业序列人员分级管理规定</t>
        </is>
      </c>
      <c r="CN207" s="2" t="inlineStr">
        <is>
          <t>第三章第1条A类</t>
        </is>
      </c>
      <c r="CO207" s="2"/>
      <c r="CP207" s="2"/>
    </row>
    <row r="208">
      <c r="A208" s="2" t="inlineStr">
        <is>
          <t>3e9ea6d5-f1ba-4a77-bc41-f472aa76b990</t>
        </is>
      </c>
      <c r="B208" s="2" t="inlineStr">
        <is>
          <t>C.均衡，工作负荷一般，按部就班完成工作，除了突发时间几乎不用加班</t>
        </is>
      </c>
      <c r="C208" s="2" t="inlineStr">
        <is>
          <t>技术中心    徐成威    男    徐正玲</t>
        </is>
      </c>
      <c r="D208" s="2" t="inlineStr">
        <is>
          <t>徐正玲</t>
        </is>
      </c>
      <c r="E208" s="2" t="inlineStr">
        <is>
          <t>徐正玲</t>
        </is>
      </c>
      <c r="F208" s="2" t="inlineStr">
        <is>
          <t>石化信息化</t>
        </is>
      </c>
      <c r="G208" s="2" t="inlineStr">
        <is>
          <t>2026-05-25 10:56:15</t>
        </is>
      </c>
      <c r="H208" s="2" t="inlineStr">
        <is>
          <t>徐正玲</t>
        </is>
      </c>
      <c r="I208" s="2" t="inlineStr">
        <is>
          <t>32092519900123758X</t>
        </is>
      </c>
      <c r="J208" s="2" t="inlineStr">
        <is>
          <t>女</t>
        </is>
      </c>
      <c r="K208" s="2" t="inlineStr">
        <is>
          <t>技术中心</t>
        </is>
      </c>
      <c r="L208" s="2" t="inlineStr">
        <is>
          <t>2013-08-01</t>
        </is>
      </c>
      <c r="M208" s="2" t="inlineStr">
        <is>
          <t>常州大学</t>
        </is>
      </c>
      <c r="N208" s="2" t="inlineStr">
        <is>
          <t>化机</t>
        </is>
      </c>
      <c r="O208" s="2" t="inlineStr">
        <is>
          <t>本科</t>
        </is>
      </c>
      <c r="P208" s="2" t="inlineStr">
        <is>
          <t>技术中心</t>
        </is>
      </c>
      <c r="Q208" s="2" t="inlineStr">
        <is>
          <t>徐成威</t>
        </is>
      </c>
      <c r="R208" s="2" t="inlineStr">
        <is>
          <t>男</t>
        </is>
      </c>
      <c r="S208" s="2" t="inlineStr">
        <is>
          <t>2025-08-01</t>
        </is>
      </c>
      <c r="T208" s="2" t="inlineStr">
        <is>
          <t>技术助理(三)</t>
        </is>
      </c>
      <c r="U208" s="2" t="inlineStr">
        <is>
          <t>江苏海洋大学</t>
        </is>
      </c>
      <c r="V208" s="2" t="inlineStr">
        <is>
          <t>化机</t>
        </is>
      </c>
      <c r="W208" s="2" t="inlineStr">
        <is>
          <t>本科</t>
        </is>
      </c>
      <c r="X208" s="2" t="inlineStr">
        <is>
          <t>C.拖沓被动：需要主管反复催促，才能勉强按时交差。</t>
        </is>
      </c>
      <c r="Y208" s="2" t="inlineStr">
        <is>
          <t>C.看心情/状态：状态好时不错，状态差时漏洞百出。</t>
        </is>
      </c>
      <c r="Z208" s="2" t="inlineStr">
        <is>
          <t>D.费心费力：必须主管手把手教、盯着改，占用了主管大量的精力和时间。</t>
        </is>
      </c>
      <c r="AA208" s="2" t="inlineStr">
        <is>
          <t>C.只知其一：只知道自己怎么操作，不知道为什么要这么做。</t>
        </is>
      </c>
      <c r="AB208" s="2" t="inlineStr">
        <is>
          <t>B.尽力而为：能解决大部分问题，解决不了的会及时求助。</t>
        </is>
      </c>
      <c r="AC208" s="2" t="inlineStr">
        <is>
          <t>A.模范标兵：严于律己，从未在琐事上让主管费心。</t>
        </is>
      </c>
      <c r="AD208" s="2" t="inlineStr">
        <is>
          <t>C.照章办事：给多少干多少，完全按老规矩来，从不思考变革</t>
        </is>
      </c>
      <c r="AE208" s="2" t="inlineStr">
        <is>
          <t>C.沟通被动：你不催他不去，去了也带不回明确结果。</t>
        </is>
      </c>
      <c r="AF208" s="2" t="inlineStr">
        <is>
          <t>C.偶尔断片：答应得好好的，但中间不反馈，非得主管去追。</t>
        </is>
      </c>
      <c r="AG208" s="2" t="inlineStr">
        <is>
          <t>C.旁观者：不关心团队，只关心自己的工作。</t>
        </is>
      </c>
      <c r="AH208" s="2" t="inlineStr">
        <is>
          <t>C.闷头苦干：效率极低也不求助，最后事情耽误在手里。</t>
        </is>
      </c>
      <c r="AI208" s="2" t="inlineStr">
        <is>
          <t>C. 守好地盘：只管自己那一块，多一点都不想碰。</t>
        </is>
      </c>
      <c r="AJ208" s="2" t="inlineStr">
        <is>
          <t>C.较为配合：不抱怨，但压力较大时，工作质量会随之下滑。</t>
        </is>
      </c>
      <c r="AK208" s="2" t="inlineStr">
        <is>
          <t>B.照单全收：态度很好，虽然不一定完全理解，但会按要求改。</t>
        </is>
      </c>
      <c r="AL208" s="2" t="inlineStr">
        <is>
          <t>C.慢工细活：需要反复教，掌握过程比较吃力。</t>
        </is>
      </c>
      <c r="AM208" s="2" t="inlineStr">
        <is>
          <t>C.技能私有：自己干得好也愿意分享，但是不会总结或讲不出来。</t>
        </is>
      </c>
      <c r="AN208" s="2" t="inlineStr">
        <is>
          <t>C.中规中矩：刚好达标，替代性较强。</t>
        </is>
      </c>
      <c r="AO208" s="2" t="inlineStr">
        <is>
          <t>C.熟练工：能胜任重复性工作，但很难承担更高阶的挑战。</t>
        </is>
      </c>
      <c r="AP208" s="2" t="inlineStr">
        <is>
          <t>C.正常更替：走就走吧，招个新人培养一下也没什么区别。</t>
        </is>
      </c>
      <c r="AQ208" s="2" t="inlineStr">
        <is>
          <t>D</t>
        </is>
      </c>
      <c r="AR208" s="2" t="inlineStr">
        <is>
          <t>D</t>
        </is>
      </c>
      <c r="AS208" s="2" t="inlineStr">
        <is>
          <t>一致</t>
        </is>
      </c>
      <c r="AT208" s="2" t="inlineStr">
        <is>
          <t>D</t>
        </is>
      </c>
      <c r="AU208" s="2"/>
      <c r="AV208" s="3"/>
      <c r="AW208" s="3"/>
      <c r="AX208" s="3"/>
      <c r="AY208" s="2" t="inlineStr">
        <is>
          <t>无对照</t>
        </is>
      </c>
      <c r="AZ208" s="2" t="inlineStr">
        <is>
          <t>徐成威，该成员为2025年度应届生，入职后在直属主管成哲辉的带领下，参与石化信息化研发团队相关工作，主要工作由直属主管拆解后，带领和对接处理。该成员工作过程中需要直属主管详细研究并逐步拆解后，由其进行实操处理，过程中需要主管进行较大精力的跟进和答复处理。后续部门将做进一步的引导和培训，提高其个人的整体能力，望在后续逐步增强个人探索和作战能力，逐步降低主管分解任务的精细度，进一步提高团队整体的工作效率。</t>
        </is>
      </c>
      <c r="BA208" s="7" t="n">
        <v>2</v>
      </c>
      <c r="BB208" s="7" t="n">
        <v>2</v>
      </c>
      <c r="BC208" s="7" t="n">
        <v>1</v>
      </c>
      <c r="BD208" s="7" t="n">
        <v>2</v>
      </c>
      <c r="BE208" s="7" t="n">
        <v>4</v>
      </c>
      <c r="BF208" s="7" t="n">
        <v>5</v>
      </c>
      <c r="BG208" s="7" t="n">
        <v>3</v>
      </c>
      <c r="BH208" s="7" t="n">
        <v>1</v>
      </c>
      <c r="BI208" s="7" t="n">
        <v>2</v>
      </c>
      <c r="BJ208" s="7" t="n">
        <v>2</v>
      </c>
      <c r="BK208" s="7" t="n">
        <v>1</v>
      </c>
      <c r="BL208" s="7" t="n">
        <v>3</v>
      </c>
      <c r="BM208" s="7" t="n">
        <v>3</v>
      </c>
      <c r="BN208" s="7" t="n">
        <v>3</v>
      </c>
      <c r="BO208" s="7" t="n">
        <v>3</v>
      </c>
      <c r="BP208" s="7" t="n">
        <v>2</v>
      </c>
      <c r="BQ208" s="7" t="n">
        <v>2</v>
      </c>
      <c r="BR208" s="7" t="n">
        <v>3</v>
      </c>
      <c r="BS208" s="7" t="n">
        <v>3</v>
      </c>
      <c r="BT208" s="7" t="n">
        <v>3</v>
      </c>
      <c r="BU208" s="7" t="n">
        <v>50</v>
      </c>
      <c r="BV208" s="2" t="inlineStr">
        <is>
          <t>A.需要存在，不可去除</t>
        </is>
      </c>
      <c r="BW208" s="2" t="inlineStr">
        <is>
          <t>暂无</t>
        </is>
      </c>
      <c r="BX208" s="2" t="inlineStr">
        <is>
          <t>暂无</t>
        </is>
      </c>
      <c r="BY208" s="6">
        <f>HYPERLINK("https://www.h3yun.com/Form/Attachments/?schemacode=D148357733993cc00c048ad9898e53f5f82cbb9&amp;bizObjectId=3e9ea6d5-f1ba-4a77-bc41-f472aa76b990&amp;name=F0000016","点击查看")</f>
        <v>0</v>
      </c>
      <c r="BZ208" s="2" t="inlineStr">
        <is>
          <t>2026-04-30 17:06:57</t>
        </is>
      </c>
      <c r="CA208" s="2" t="inlineStr">
        <is>
          <t>D</t>
        </is>
      </c>
      <c r="CB208" s="2" t="inlineStr">
        <is>
          <t>已提交</t>
        </is>
      </c>
      <c r="CC208" s="2" t="inlineStr">
        <is>
          <t>无</t>
        </is>
      </c>
      <c r="CD208" s="2" t="inlineStr">
        <is>
          <t>无</t>
        </is>
      </c>
      <c r="CE208" s="2" t="inlineStr">
        <is>
          <t>无</t>
        </is>
      </c>
      <c r="CF208" s="2"/>
      <c r="CG208" s="2" t="inlineStr">
        <is>
          <t>320123200309304813</t>
        </is>
      </c>
      <c r="CH208" s="2" t="inlineStr">
        <is>
          <t>已生效</t>
        </is>
      </c>
      <c r="CI208" s="2"/>
      <c r="CJ208" s="2"/>
      <c r="CK208" s="2"/>
      <c r="CL208" s="2"/>
      <c r="CM208" s="2"/>
      <c r="CN208" s="2"/>
      <c r="CO208" s="2"/>
      <c r="CP208" s="2"/>
    </row>
    <row r="209">
      <c r="A209" s="2" t="inlineStr">
        <is>
          <t>189d866a-acb1-40ad-9577-7aa061447dc6</t>
        </is>
      </c>
      <c r="B209" s="2" t="inlineStr">
        <is>
          <t>B.满负荷，平时工作就很忙，偶尔因为非突发时间也要加班</t>
        </is>
      </c>
      <c r="C209" s="2" t="inlineStr">
        <is>
          <t>技术中心    吴俣    男    夏斐</t>
        </is>
      </c>
      <c r="D209" s="2" t="inlineStr">
        <is>
          <t>Anonymous</t>
        </is>
      </c>
      <c r="E209" s="2" t="inlineStr">
        <is>
          <t>Anonymous</t>
        </is>
      </c>
      <c r="F209" s="2"/>
      <c r="G209" s="2" t="inlineStr">
        <is>
          <t>2026-05-25 10:56:15</t>
        </is>
      </c>
      <c r="H209" s="2" t="inlineStr">
        <is>
          <t>夏斐</t>
        </is>
      </c>
      <c r="I209" s="2" t="inlineStr">
        <is>
          <t>352202198807250011</t>
        </is>
      </c>
      <c r="J209" s="2" t="inlineStr">
        <is>
          <t>男</t>
        </is>
      </c>
      <c r="K209" s="2" t="inlineStr">
        <is>
          <t>公司领导</t>
        </is>
      </c>
      <c r="L209" s="2" t="inlineStr">
        <is>
          <t>2010-08-13</t>
        </is>
      </c>
      <c r="M209" s="2" t="inlineStr">
        <is>
          <t>合肥工业大学</t>
        </is>
      </c>
      <c r="N209" s="2" t="inlineStr">
        <is>
          <t>土建</t>
        </is>
      </c>
      <c r="O209" s="2" t="inlineStr">
        <is>
          <t>本科</t>
        </is>
      </c>
      <c r="P209" s="2" t="inlineStr">
        <is>
          <t>技术中心</t>
        </is>
      </c>
      <c r="Q209" s="2" t="inlineStr">
        <is>
          <t>吴俣</t>
        </is>
      </c>
      <c r="R209" s="2" t="inlineStr">
        <is>
          <t>男</t>
        </is>
      </c>
      <c r="S209" s="2" t="inlineStr">
        <is>
          <t>2021-12-01</t>
        </is>
      </c>
      <c r="T209" s="2" t="inlineStr">
        <is>
          <t>技术助理(一)</t>
        </is>
      </c>
      <c r="U209" s="2" t="inlineStr">
        <is>
          <t>盐城师范学院</t>
        </is>
      </c>
      <c r="V209" s="2" t="inlineStr">
        <is>
          <t>其他</t>
        </is>
      </c>
      <c r="W209" s="2" t="inlineStr">
        <is>
          <t>本科</t>
        </is>
      </c>
      <c r="X209" s="2" t="inlineStr">
        <is>
          <t>A.积极高效：经常提前完成，且质量超出预期。</t>
        </is>
      </c>
      <c r="Y209" s="2" t="inlineStr">
        <is>
          <t>A.始终如一：无论任务大小，交付件标准都很高。</t>
        </is>
      </c>
      <c r="Z209" s="2" t="inlineStr">
        <is>
          <t>A.极其省心：只需交代目标，剩下的一律不用管，最后不仅能准时交付，甚至能超出预期。</t>
        </is>
      </c>
      <c r="AA209" s="2" t="inlineStr">
        <is>
          <t>A.全局视野：了解上下游，能站在全业务链条考虑问题。</t>
        </is>
      </c>
      <c r="AB209" s="2" t="inlineStr">
        <is>
          <t>A.攻坚克难：会想尽一切办法钻研，直至彻底解决。</t>
        </is>
      </c>
      <c r="AC209" s="2" t="inlineStr">
        <is>
          <t>A.模范标兵：严于律己，从未在琐事上让主管费心。</t>
        </is>
      </c>
      <c r="AD209" s="2" t="inlineStr">
        <is>
          <t>A.持续优化：经常提出改进流程、提升效率的实用建议</t>
        </is>
      </c>
      <c r="AE209" s="2" t="inlineStr">
        <is>
          <t>A.推进力极强：能搞定不同性格的人，让对方配合。</t>
        </is>
      </c>
      <c r="AF209" s="2" t="inlineStr">
        <is>
          <t>A.完美闭环：进展、难点、结果都会主动汇报，无需催促。</t>
        </is>
      </c>
      <c r="AG209" s="2" t="inlineStr">
        <is>
          <t>A.动力源：像小太阳，主动分享、帮人解惑，带活团队。</t>
        </is>
      </c>
      <c r="AH209" s="2" t="inlineStr">
        <is>
          <t>A.整合高手：能迅速找到能帮上忙的人和资源，借力打力解决问题。</t>
        </is>
      </c>
      <c r="AI209" s="2" t="inlineStr">
        <is>
          <t>A. 主动揽活：只要对团队有利，先接过来干了再说。</t>
        </is>
      </c>
      <c r="AJ209" s="2" t="inlineStr">
        <is>
          <t>A.越战越勇：能扛住压力，保持冷静，高效处理紧急事务。</t>
        </is>
      </c>
      <c r="AK209" s="2" t="inlineStr">
        <is>
          <t>A.虚心求教：能听进去，并积极探讨更科学的方法。</t>
        </is>
      </c>
      <c r="AL209" s="2" t="inlineStr">
        <is>
          <t>A.极速掌握：自学能力极强，很快就能成为该领域的“百晓生”。</t>
        </is>
      </c>
      <c r="AM209" s="2" t="inlineStr">
        <is>
          <t>A.总结达人：能把复杂工作写成标准 SOP，让新手直接用。</t>
        </is>
      </c>
      <c r="AN209" s="2" t="inlineStr">
        <is>
          <t>A.第一梯队（Top 10%）：部门的标杆。</t>
        </is>
      </c>
      <c r="AO209" s="2" t="inlineStr">
        <is>
          <t>A.核心管理/专家：具备成为部门负责人或顶尖专家的潜质。</t>
        </is>
      </c>
      <c r="AP209" s="2" t="inlineStr">
        <is>
          <t>A.晴天霹雳：极其遗憾，会不惜代价挽留，他是部门的支柱。</t>
        </is>
      </c>
      <c r="AQ209" s="2" t="inlineStr">
        <is>
          <t>S</t>
        </is>
      </c>
      <c r="AR209" s="2" t="inlineStr">
        <is>
          <t>S</t>
        </is>
      </c>
      <c r="AS209" s="2" t="inlineStr">
        <is>
          <t>一致</t>
        </is>
      </c>
      <c r="AT209" s="2" t="inlineStr">
        <is>
          <t>S</t>
        </is>
      </c>
      <c r="AU209" s="2"/>
      <c r="AV209" s="3"/>
      <c r="AW209" s="3"/>
      <c r="AX209" s="3"/>
      <c r="AY209" s="2" t="inlineStr">
        <is>
          <t>A</t>
        </is>
      </c>
      <c r="AZ209" s="2" t="inlineStr">
        <is>
          <t>优秀</t>
        </is>
      </c>
      <c r="BA209" s="7" t="n">
        <v>5</v>
      </c>
      <c r="BB209" s="7" t="n">
        <v>5</v>
      </c>
      <c r="BC209" s="7" t="n">
        <v>5</v>
      </c>
      <c r="BD209" s="7" t="n">
        <v>5</v>
      </c>
      <c r="BE209" s="7" t="n">
        <v>5</v>
      </c>
      <c r="BF209" s="7" t="n">
        <v>5</v>
      </c>
      <c r="BG209" s="7" t="n">
        <v>5</v>
      </c>
      <c r="BH209" s="7" t="n">
        <v>5</v>
      </c>
      <c r="BI209" s="7" t="n">
        <v>5</v>
      </c>
      <c r="BJ209" s="7" t="n">
        <v>5</v>
      </c>
      <c r="BK209" s="7" t="n">
        <v>5</v>
      </c>
      <c r="BL209" s="7" t="n">
        <v>5</v>
      </c>
      <c r="BM209" s="7" t="n">
        <v>4</v>
      </c>
      <c r="BN209" s="7" t="n">
        <v>5</v>
      </c>
      <c r="BO209" s="7" t="n">
        <v>5</v>
      </c>
      <c r="BP209" s="7" t="n">
        <v>5</v>
      </c>
      <c r="BQ209" s="7" t="n">
        <v>5</v>
      </c>
      <c r="BR209" s="7" t="n">
        <v>5</v>
      </c>
      <c r="BS209" s="7" t="n">
        <v>5</v>
      </c>
      <c r="BT209" s="7" t="n">
        <v>5</v>
      </c>
      <c r="BU209" s="7" t="n">
        <v>99</v>
      </c>
      <c r="BV209" s="2" t="inlineStr">
        <is>
          <t>A.需要存在，不可去除</t>
        </is>
      </c>
      <c r="BW209" s="2" t="inlineStr">
        <is>
          <t>20题.该成员的管理成本与自主闭环情况如何？ 这些问题和答案可能很多人看不懂</t>
        </is>
      </c>
      <c r="BX209" s="2"/>
      <c r="BY209" s="6">
        <f>HYPERLINK("https://www.h3yun.com/Form/Attachments/?schemacode=D148357733993cc00c048ad9898e53f5f82cbb9&amp;bizObjectId=189d866a-acb1-40ad-9577-7aa061447dc6&amp;name=F0000016","点击查看")</f>
        <v>0</v>
      </c>
      <c r="BZ209" s="2" t="inlineStr">
        <is>
          <t>2026-04-30 17:05:19</t>
        </is>
      </c>
      <c r="CA209" s="2" t="inlineStr">
        <is>
          <t>S</t>
        </is>
      </c>
      <c r="CB209" s="2" t="inlineStr">
        <is>
          <t>已提交</t>
        </is>
      </c>
      <c r="CC209" s="2" t="inlineStr">
        <is>
          <t>助理工程师</t>
        </is>
      </c>
      <c r="CD209" s="2" t="inlineStr">
        <is>
          <t>全国BIM技能等级考试一级证书</t>
        </is>
      </c>
      <c r="CE209" s="2" t="inlineStr">
        <is>
          <t>无</t>
        </is>
      </c>
      <c r="CF209" s="2"/>
      <c r="CG209" s="2" t="inlineStr">
        <is>
          <t>320112198909160412</t>
        </is>
      </c>
      <c r="CH209" s="2" t="inlineStr">
        <is>
          <t>已生效</t>
        </is>
      </c>
      <c r="CI209" s="2" t="inlineStr">
        <is>
          <t>6005fbb4-c1cc-4703-bef5-9b3686469b5d</t>
        </is>
      </c>
      <c r="CJ209" s="3" t="n">
        <v>1</v>
      </c>
      <c r="CK209" s="2" t="inlineStr">
        <is>
          <t>近三年至少担任过一个合同额 2000万元以上项目的项目经理、施工经理、技术负责人(项目总工程师)、安全经理、质量经理、采购经理、合同控制经理、设计经理等关键岗位中的一个</t>
        </is>
      </c>
      <c r="CL209" s="2" t="inlineStr">
        <is>
          <t>近三年至少担任过一个合同额 2000万元以上项目的项目经理、施工经理、技术负责人(项目总工程师)、安全经理、质量经理、采购经理、合同控制经理、设计经理等关键岗位中的一个</t>
        </is>
      </c>
      <c r="CM209" s="2" t="inlineStr">
        <is>
          <t>南化建司劳2017-1号文-南京南化建设有限公司施工一线专业序列人员分级管理规定</t>
        </is>
      </c>
      <c r="CN209" s="2" t="inlineStr">
        <is>
          <t>第三章第1条A类</t>
        </is>
      </c>
      <c r="CO209" s="2"/>
      <c r="CP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t="inlineStr">
        <is>
          <t>e8da8404-fdac-4449-97d5-f661dc9381b5</t>
        </is>
      </c>
      <c r="CJ210" s="3" t="n">
        <v>2</v>
      </c>
      <c r="CK210" s="2" t="inlineStr">
        <is>
          <t>公司二级单位或公司职能部门推荐</t>
        </is>
      </c>
      <c r="CL210" s="2" t="inlineStr">
        <is>
          <t>公司二级单位或公司职能部门推荐</t>
        </is>
      </c>
      <c r="CM210" s="2" t="inlineStr">
        <is>
          <t>南化建司劳2017-1号文-南京南化建设有限公司施工一线专业序列人员分级管理规定</t>
        </is>
      </c>
      <c r="CN210" s="2" t="inlineStr">
        <is>
          <t>第三章第1条A类</t>
        </is>
      </c>
      <c r="CO210" s="2"/>
      <c r="CP210" s="2"/>
    </row>
    <row r="211">
      <c r="A211" s="2" t="inlineStr">
        <is>
          <t>e4b1c47f-9727-4124-9733-ca0d4067367f</t>
        </is>
      </c>
      <c r="B211" s="2" t="inlineStr">
        <is>
          <t>C.均衡，工作负荷一般，按部就班完成工作，除了突发时间几乎不用加班</t>
        </is>
      </c>
      <c r="C211" s="2" t="inlineStr">
        <is>
          <t>技术中心    韩佳诺    女    徐正玲</t>
        </is>
      </c>
      <c r="D211" s="2" t="inlineStr">
        <is>
          <t>徐正玲</t>
        </is>
      </c>
      <c r="E211" s="2" t="inlineStr">
        <is>
          <t>徐正玲</t>
        </is>
      </c>
      <c r="F211" s="2" t="inlineStr">
        <is>
          <t>石化信息化</t>
        </is>
      </c>
      <c r="G211" s="2" t="inlineStr">
        <is>
          <t>2026-05-25 10:56:15</t>
        </is>
      </c>
      <c r="H211" s="2" t="inlineStr">
        <is>
          <t>徐正玲</t>
        </is>
      </c>
      <c r="I211" s="2" t="inlineStr">
        <is>
          <t>32092519900123758X</t>
        </is>
      </c>
      <c r="J211" s="2" t="inlineStr">
        <is>
          <t>女</t>
        </is>
      </c>
      <c r="K211" s="2" t="inlineStr">
        <is>
          <t>技术中心</t>
        </is>
      </c>
      <c r="L211" s="2" t="inlineStr">
        <is>
          <t>2013-08-01</t>
        </is>
      </c>
      <c r="M211" s="2" t="inlineStr">
        <is>
          <t>常州大学</t>
        </is>
      </c>
      <c r="N211" s="2" t="inlineStr">
        <is>
          <t>化机</t>
        </is>
      </c>
      <c r="O211" s="2" t="inlineStr">
        <is>
          <t>本科</t>
        </is>
      </c>
      <c r="P211" s="2" t="inlineStr">
        <is>
          <t>技术中心</t>
        </is>
      </c>
      <c r="Q211" s="2" t="inlineStr">
        <is>
          <t>韩佳诺</t>
        </is>
      </c>
      <c r="R211" s="2" t="inlineStr">
        <is>
          <t>女</t>
        </is>
      </c>
      <c r="S211" s="2" t="inlineStr">
        <is>
          <t>2020-08-01</t>
        </is>
      </c>
      <c r="T211" s="2" t="inlineStr">
        <is>
          <t>业务主管</t>
        </is>
      </c>
      <c r="U211" s="2" t="inlineStr">
        <is>
          <t>台湾大学</t>
        </is>
      </c>
      <c r="V211" s="2" t="inlineStr">
        <is>
          <t>土建</t>
        </is>
      </c>
      <c r="W211" s="2" t="inlineStr">
        <is>
          <t>硕士</t>
        </is>
      </c>
      <c r="X211" s="2" t="inlineStr">
        <is>
          <t>C.拖沓被动：需要主管反复催促，才能勉强按时交差。</t>
        </is>
      </c>
      <c r="Y211" s="2" t="inlineStr">
        <is>
          <t>C.看心情/状态：状态好时不错，状态差时漏洞百出。</t>
        </is>
      </c>
      <c r="Z211" s="2" t="inlineStr">
        <is>
          <t>D.费心费力：必须主管手把手教、盯着改，占用了主管大量的精力和时间。</t>
        </is>
      </c>
      <c r="AA211" s="2" t="inlineStr">
        <is>
          <t>C.只知其一：只知道自己怎么操作，不知道为什么要这么做。</t>
        </is>
      </c>
      <c r="AB211" s="2" t="inlineStr">
        <is>
          <t>C.容易放弃：尝试一下发现不行，就停在那等着主管给方案。</t>
        </is>
      </c>
      <c r="AC211" s="2" t="inlineStr">
        <is>
          <t>A.模范标兵：严于律己，从未在琐事上让主管费心。</t>
        </is>
      </c>
      <c r="AD211" s="2" t="inlineStr">
        <is>
          <t>C.照章办事：给多少干多少，完全按老规矩来，从不思考变革</t>
        </is>
      </c>
      <c r="AE211" s="2" t="inlineStr">
        <is>
          <t>B.正常沟通：能清晰表达需求，维持基本的协作。</t>
        </is>
      </c>
      <c r="AF211" s="2" t="inlineStr">
        <is>
          <t>C.偶尔断片：答应得好好的，但中间不反馈，非得主管去追。</t>
        </is>
      </c>
      <c r="AG211" s="2" t="inlineStr">
        <is>
          <t>C.旁观者：不关心团队，只关心自己的工作。</t>
        </is>
      </c>
      <c r="AH211" s="2" t="inlineStr">
        <is>
          <t>B.懂得求助：在尝试后会及时向主管或同事反馈，寻求资源支持。</t>
        </is>
      </c>
      <c r="AI211" s="2" t="inlineStr">
        <is>
          <t>C. 守好一亩三分地：只关注自己岗位范围内的事，对额外任务比较被动。</t>
        </is>
      </c>
      <c r="AJ211" s="2" t="inlineStr">
        <is>
          <t>C.较为配合：不抱怨，但压力较大时，工作质量会随之下滑。</t>
        </is>
      </c>
      <c r="AK211" s="2" t="inlineStr">
        <is>
          <t>B.照单全收：态度很好，虽然不一定完全理解，但会按要求改。</t>
        </is>
      </c>
      <c r="AL211" s="2" t="inlineStr">
        <is>
          <t>C.慢工细活：需要反复教，掌握过程比较吃力。</t>
        </is>
      </c>
      <c r="AM211" s="2" t="inlineStr">
        <is>
          <t>B.愿意传帮带：平时爱分享避坑指南，能带徒弟。</t>
        </is>
      </c>
      <c r="AN211" s="2" t="inlineStr">
        <is>
          <t>C.中规中矩：刚好达标，替代性较强。</t>
        </is>
      </c>
      <c r="AO211" s="2" t="inlineStr">
        <is>
          <t>C.熟练工：能胜任重复性工作，但很难承担更高阶的挑战。</t>
        </is>
      </c>
      <c r="AP211" s="2" t="inlineStr">
        <is>
          <t>C.正常更替：走就走吧，招个新人培养一下也没什么区别。</t>
        </is>
      </c>
      <c r="AQ211" s="2" t="inlineStr">
        <is>
          <t>D</t>
        </is>
      </c>
      <c r="AR211" s="2" t="inlineStr">
        <is>
          <t>D</t>
        </is>
      </c>
      <c r="AS211" s="2" t="inlineStr">
        <is>
          <t>一致</t>
        </is>
      </c>
      <c r="AT211" s="2" t="inlineStr">
        <is>
          <t>D</t>
        </is>
      </c>
      <c r="AU211" s="2"/>
      <c r="AV211" s="3"/>
      <c r="AW211" s="3"/>
      <c r="AX211" s="3"/>
      <c r="AY211" s="2" t="inlineStr">
        <is>
          <t>无对照</t>
        </is>
      </c>
      <c r="AZ211" s="2" t="inlineStr">
        <is>
          <t>韩佳诺，该成员入职以来，先后经历BIM组、研发组、管理创新工作室相关工作。当前从事的管理创新工作为部门管理层沟通后，认为较适合其学历对应的文字撰写能力、表达沟通能力，为其进行了转岗工作。在本组别工作至今参与了各项申报准备相关工作，撰写内容存在反复驳回修改、沟通存在理解不畅的情况，不考虑其他因素，综合其管理创新的表现，暂定为当前等级。</t>
        </is>
      </c>
      <c r="BA211" s="7" t="n">
        <v>2</v>
      </c>
      <c r="BB211" s="7" t="n">
        <v>2</v>
      </c>
      <c r="BC211" s="7" t="n">
        <v>1</v>
      </c>
      <c r="BD211" s="7" t="n">
        <v>2</v>
      </c>
      <c r="BE211" s="7" t="n">
        <v>2</v>
      </c>
      <c r="BF211" s="7" t="n">
        <v>5</v>
      </c>
      <c r="BG211" s="7" t="n">
        <v>3</v>
      </c>
      <c r="BH211" s="7" t="n">
        <v>3.5</v>
      </c>
      <c r="BI211" s="7" t="n">
        <v>2</v>
      </c>
      <c r="BJ211" s="7" t="n">
        <v>2</v>
      </c>
      <c r="BK211" s="7" t="n">
        <v>3</v>
      </c>
      <c r="BL211" s="7" t="n">
        <v>3</v>
      </c>
      <c r="BM211" s="7" t="n">
        <v>3</v>
      </c>
      <c r="BN211" s="7" t="n">
        <v>3</v>
      </c>
      <c r="BO211" s="7" t="n">
        <v>3</v>
      </c>
      <c r="BP211" s="7" t="n">
        <v>2</v>
      </c>
      <c r="BQ211" s="7" t="n">
        <v>4</v>
      </c>
      <c r="BR211" s="7" t="n">
        <v>3</v>
      </c>
      <c r="BS211" s="7" t="n">
        <v>3</v>
      </c>
      <c r="BT211" s="7" t="n">
        <v>3</v>
      </c>
      <c r="BU211" s="7" t="n">
        <v>54.5</v>
      </c>
      <c r="BV211" s="2" t="inlineStr">
        <is>
          <t>C.建议与其他岗位合并</t>
        </is>
      </c>
      <c r="BW211" s="2" t="inlineStr">
        <is>
          <t>暂无</t>
        </is>
      </c>
      <c r="BX211" s="2" t="inlineStr">
        <is>
          <t>暂无</t>
        </is>
      </c>
      <c r="BY211" s="6">
        <f>HYPERLINK("https://www.h3yun.com/Form/Attachments/?schemacode=D148357733993cc00c048ad9898e53f5f82cbb9&amp;bizObjectId=e4b1c47f-9727-4124-9733-ca0d4067367f&amp;name=F0000016","点击查看")</f>
        <v>0</v>
      </c>
      <c r="BZ211" s="2" t="inlineStr">
        <is>
          <t>2026-04-30 17:04:28</t>
        </is>
      </c>
      <c r="CA211" s="2" t="inlineStr">
        <is>
          <t>D</t>
        </is>
      </c>
      <c r="CB211" s="2" t="inlineStr">
        <is>
          <t>已提交</t>
        </is>
      </c>
      <c r="CC211" s="2" t="inlineStr">
        <is>
          <t>工程师</t>
        </is>
      </c>
      <c r="CD211" s="2" t="inlineStr">
        <is>
          <t>建筑施工企业主要负责人A证</t>
        </is>
      </c>
      <c r="CE211" s="2" t="inlineStr">
        <is>
          <t>BIMFILM最强“智”造大师全国施工设计大赛“优秀奖”
中国勘探设计第十三届“创新杯”建筑信息模型应用大赛三类成果
江苏省建设工程BIM应用大赛二类成果奖</t>
        </is>
      </c>
      <c r="CF211" s="2"/>
      <c r="CG211" s="2" t="inlineStr">
        <is>
          <t>32011219950805164X</t>
        </is>
      </c>
      <c r="CH211" s="2" t="inlineStr">
        <is>
          <t>已生效</t>
        </is>
      </c>
      <c r="CI211" s="2"/>
      <c r="CJ211" s="2"/>
      <c r="CK211" s="2"/>
      <c r="CL211" s="2"/>
      <c r="CM211" s="2"/>
      <c r="CN211" s="2"/>
      <c r="CO211" s="2"/>
      <c r="CP211" s="2"/>
    </row>
    <row r="212">
      <c r="A212" s="2" t="inlineStr">
        <is>
          <t>d6c8eb69-7254-4347-aa74-1199241a64e9</t>
        </is>
      </c>
      <c r="B212" s="2" t="inlineStr">
        <is>
          <t>C.均衡，工作负荷一般，按部就班完成工作，除了突发时间几乎不用加班</t>
        </is>
      </c>
      <c r="C212" s="2" t="inlineStr">
        <is>
          <t>技术中心    杨悦    女    徐正玲</t>
        </is>
      </c>
      <c r="D212" s="2" t="inlineStr">
        <is>
          <t>徐正玲</t>
        </is>
      </c>
      <c r="E212" s="2" t="inlineStr">
        <is>
          <t>徐正玲</t>
        </is>
      </c>
      <c r="F212" s="2" t="inlineStr">
        <is>
          <t>石化信息化</t>
        </is>
      </c>
      <c r="G212" s="2" t="inlineStr">
        <is>
          <t>2026-05-25 10:56:15</t>
        </is>
      </c>
      <c r="H212" s="2" t="inlineStr">
        <is>
          <t>徐正玲</t>
        </is>
      </c>
      <c r="I212" s="2" t="inlineStr">
        <is>
          <t>32092519900123758X</t>
        </is>
      </c>
      <c r="J212" s="2" t="inlineStr">
        <is>
          <t>女</t>
        </is>
      </c>
      <c r="K212" s="2" t="inlineStr">
        <is>
          <t>技术中心</t>
        </is>
      </c>
      <c r="L212" s="2" t="inlineStr">
        <is>
          <t>2013-08-01</t>
        </is>
      </c>
      <c r="M212" s="2" t="inlineStr">
        <is>
          <t>常州大学</t>
        </is>
      </c>
      <c r="N212" s="2" t="inlineStr">
        <is>
          <t>化机</t>
        </is>
      </c>
      <c r="O212" s="2" t="inlineStr">
        <is>
          <t>本科</t>
        </is>
      </c>
      <c r="P212" s="2" t="inlineStr">
        <is>
          <t>技术中心</t>
        </is>
      </c>
      <c r="Q212" s="2" t="inlineStr">
        <is>
          <t>杨悦</t>
        </is>
      </c>
      <c r="R212" s="2" t="inlineStr">
        <is>
          <t>女</t>
        </is>
      </c>
      <c r="S212" s="2" t="inlineStr">
        <is>
          <t>2025-08-01</t>
        </is>
      </c>
      <c r="T212" s="2" t="inlineStr">
        <is>
          <t>技术助理(三)</t>
        </is>
      </c>
      <c r="U212" s="2" t="inlineStr">
        <is>
          <t>南京中医药大学</t>
        </is>
      </c>
      <c r="V212" s="2" t="inlineStr">
        <is>
          <t>其他</t>
        </is>
      </c>
      <c r="W212" s="2" t="inlineStr">
        <is>
          <t>本科</t>
        </is>
      </c>
      <c r="X212" s="2" t="inlineStr">
        <is>
          <t>C.拖沓被动：需要主管反复催促，才能勉强按时交差。</t>
        </is>
      </c>
      <c r="Y212" s="2" t="inlineStr">
        <is>
          <t>C.看心情/状态：状态好时不错，状态差时漏洞百出。</t>
        </is>
      </c>
      <c r="Z212" s="2" t="inlineStr">
        <is>
          <t>C.正常跟进：需要主管盯着节点、偶尔提醒进度，或者在跑偏时帮着拽回来。</t>
        </is>
      </c>
      <c r="AA212" s="2" t="inlineStr">
        <is>
          <t>C.只知其一：只知道自己怎么操作，不知道为什么要这么做。</t>
        </is>
      </c>
      <c r="AB212" s="2" t="inlineStr">
        <is>
          <t>C.容易放弃：尝试一下发现不行，就停在那等着主管给方案。</t>
        </is>
      </c>
      <c r="AC212" s="2" t="inlineStr">
        <is>
          <t>A.模范标兵：严于律己，从未在琐事上让主管费心。</t>
        </is>
      </c>
      <c r="AD212" s="2" t="inlineStr">
        <is>
          <t>C.照章办事：给多少干多少，完全按老规矩来，从不思考变革</t>
        </is>
      </c>
      <c r="AE212" s="2" t="inlineStr">
        <is>
          <t>C.沟通被动：你不催他不去，去了也带不回明确结果。</t>
        </is>
      </c>
      <c r="AF212" s="2" t="inlineStr">
        <is>
          <t>C.偶尔断片：答应得好好的，但中间不反馈，非得主管去追。</t>
        </is>
      </c>
      <c r="AG212" s="2" t="inlineStr">
        <is>
          <t>B.稳定器：做好自己，不给团队添乱，是可靠的一员。</t>
        </is>
      </c>
      <c r="AH212" s="2" t="inlineStr">
        <is>
          <t>C.闷头苦干：效率极低也不求助，最后事情耽误在手里。</t>
        </is>
      </c>
      <c r="AI212" s="2" t="inlineStr">
        <is>
          <t>C. 守好地盘：只管自己那一块，多一点都不想碰。</t>
        </is>
      </c>
      <c r="AJ212" s="2" t="inlineStr">
        <is>
          <t>B.配合度高：虽然有压力，但能服从大局，咬牙顶上去，且质量尚可。</t>
        </is>
      </c>
      <c r="AK212" s="2" t="inlineStr">
        <is>
          <t>B.照单全收：态度很好，虽然不一定完全理解，但会按要求改。</t>
        </is>
      </c>
      <c r="AL212" s="2" t="inlineStr">
        <is>
          <t>C.慢工细活：需要反复教，掌握过程比较吃力。</t>
        </is>
      </c>
      <c r="AM212" s="2" t="inlineStr">
        <is>
          <t>C.技能私有：自己干得好也愿意分享，但是不会总结或讲不出来。</t>
        </is>
      </c>
      <c r="AN212" s="2" t="inlineStr">
        <is>
          <t>C.中规中矩：刚好达标，替代性较强。</t>
        </is>
      </c>
      <c r="AO212" s="2" t="inlineStr">
        <is>
          <t>C.熟练工：能胜任重复性工作，但很难承担更高阶的挑战。</t>
        </is>
      </c>
      <c r="AP212" s="2" t="inlineStr">
        <is>
          <t>C.正常更替：走就走吧，招个新人培养一下也没什么区别。</t>
        </is>
      </c>
      <c r="AQ212" s="2" t="inlineStr">
        <is>
          <t>D</t>
        </is>
      </c>
      <c r="AR212" s="2" t="inlineStr">
        <is>
          <t>D</t>
        </is>
      </c>
      <c r="AS212" s="2" t="inlineStr">
        <is>
          <t>一致</t>
        </is>
      </c>
      <c r="AT212" s="2" t="inlineStr">
        <is>
          <t>D</t>
        </is>
      </c>
      <c r="AU212" s="2"/>
      <c r="AV212" s="3"/>
      <c r="AW212" s="3"/>
      <c r="AX212" s="3"/>
      <c r="AY212" s="2" t="inlineStr">
        <is>
          <t>无对照</t>
        </is>
      </c>
      <c r="AZ212" s="2" t="inlineStr">
        <is>
          <t>杨悦，该成员入职后，先后参与项目材料数据核对、材料代码编制校核、AI多维表流程贯通、数据集编制和完善等相关工作，基本完成了下发的各项任务。在工作过程中工作态度较为踏实，但工作过程中存在不爱提问闷头干的情况，导致较高程度上的返工和产出有限的情况，生成的数据多次发现不可用，重复性指导的情况多发。后续将围绕其专业和部门规划，从事数据分析和研发相关工作。</t>
        </is>
      </c>
      <c r="BA212" s="7" t="n">
        <v>2</v>
      </c>
      <c r="BB212" s="7" t="n">
        <v>2</v>
      </c>
      <c r="BC212" s="7" t="n">
        <v>3</v>
      </c>
      <c r="BD212" s="7" t="n">
        <v>2</v>
      </c>
      <c r="BE212" s="7" t="n">
        <v>2</v>
      </c>
      <c r="BF212" s="7" t="n">
        <v>5</v>
      </c>
      <c r="BG212" s="7" t="n">
        <v>3</v>
      </c>
      <c r="BH212" s="7" t="n">
        <v>1</v>
      </c>
      <c r="BI212" s="7" t="n">
        <v>2</v>
      </c>
      <c r="BJ212" s="7" t="n">
        <v>4</v>
      </c>
      <c r="BK212" s="7" t="n">
        <v>1</v>
      </c>
      <c r="BL212" s="7" t="n">
        <v>3</v>
      </c>
      <c r="BM212" s="7" t="n">
        <v>3</v>
      </c>
      <c r="BN212" s="7" t="n">
        <v>4</v>
      </c>
      <c r="BO212" s="7" t="n">
        <v>3</v>
      </c>
      <c r="BP212" s="7" t="n">
        <v>2</v>
      </c>
      <c r="BQ212" s="7" t="n">
        <v>2</v>
      </c>
      <c r="BR212" s="7" t="n">
        <v>3</v>
      </c>
      <c r="BS212" s="7" t="n">
        <v>3</v>
      </c>
      <c r="BT212" s="7" t="n">
        <v>3</v>
      </c>
      <c r="BU212" s="7" t="n">
        <v>53</v>
      </c>
      <c r="BV212" s="2" t="inlineStr">
        <is>
          <t>A.需要存在，不可去除</t>
        </is>
      </c>
      <c r="BW212" s="2" t="inlineStr">
        <is>
          <t>暂无</t>
        </is>
      </c>
      <c r="BX212" s="2" t="inlineStr">
        <is>
          <t>暂无</t>
        </is>
      </c>
      <c r="BY212" s="6">
        <f>HYPERLINK("https://www.h3yun.com/Form/Attachments/?schemacode=D148357733993cc00c048ad9898e53f5f82cbb9&amp;bizObjectId=d6c8eb69-7254-4347-aa74-1199241a64e9&amp;name=F0000016","点击查看")</f>
        <v>0</v>
      </c>
      <c r="BZ212" s="2" t="inlineStr">
        <is>
          <t>2026-04-30 16:58:19</t>
        </is>
      </c>
      <c r="CA212" s="2" t="inlineStr">
        <is>
          <t>D</t>
        </is>
      </c>
      <c r="CB212" s="2" t="inlineStr">
        <is>
          <t>已提交</t>
        </is>
      </c>
      <c r="CC212" s="2" t="inlineStr">
        <is>
          <t>无</t>
        </is>
      </c>
      <c r="CD212" s="2" t="inlineStr">
        <is>
          <t>无</t>
        </is>
      </c>
      <c r="CE212" s="2" t="inlineStr">
        <is>
          <t>无</t>
        </is>
      </c>
      <c r="CF212" s="2"/>
      <c r="CG212" s="2" t="inlineStr">
        <is>
          <t>511725200412068566</t>
        </is>
      </c>
      <c r="CH212" s="2" t="inlineStr">
        <is>
          <t>已生效</t>
        </is>
      </c>
      <c r="CI212" s="2"/>
      <c r="CJ212" s="2"/>
      <c r="CK212" s="2"/>
      <c r="CL212" s="2"/>
      <c r="CM212" s="2"/>
      <c r="CN212" s="2"/>
      <c r="CO212" s="2"/>
      <c r="CP212" s="2"/>
    </row>
    <row r="213">
      <c r="A213" s="2" t="inlineStr">
        <is>
          <t>256d57a4-40b5-41b5-873b-f045d7b533c9</t>
        </is>
      </c>
      <c r="B213" s="2" t="inlineStr">
        <is>
          <t>C.均衡，工作负荷一般，按部就班完成工作，除了突发时间几乎不用加班</t>
        </is>
      </c>
      <c r="C213" s="2" t="inlineStr">
        <is>
          <t>技术中心    林威    男    徐正玲</t>
        </is>
      </c>
      <c r="D213" s="2" t="inlineStr">
        <is>
          <t>徐正玲</t>
        </is>
      </c>
      <c r="E213" s="2" t="inlineStr">
        <is>
          <t>徐正玲</t>
        </is>
      </c>
      <c r="F213" s="2" t="inlineStr">
        <is>
          <t>石化信息化</t>
        </is>
      </c>
      <c r="G213" s="2" t="inlineStr">
        <is>
          <t>2026-05-25 10:56:15</t>
        </is>
      </c>
      <c r="H213" s="2" t="inlineStr">
        <is>
          <t>徐正玲</t>
        </is>
      </c>
      <c r="I213" s="2" t="inlineStr">
        <is>
          <t>32092519900123758X</t>
        </is>
      </c>
      <c r="J213" s="2" t="inlineStr">
        <is>
          <t>女</t>
        </is>
      </c>
      <c r="K213" s="2" t="inlineStr">
        <is>
          <t>技术中心</t>
        </is>
      </c>
      <c r="L213" s="2" t="inlineStr">
        <is>
          <t>2013-08-01</t>
        </is>
      </c>
      <c r="M213" s="2" t="inlineStr">
        <is>
          <t>常州大学</t>
        </is>
      </c>
      <c r="N213" s="2" t="inlineStr">
        <is>
          <t>化机</t>
        </is>
      </c>
      <c r="O213" s="2" t="inlineStr">
        <is>
          <t>本科</t>
        </is>
      </c>
      <c r="P213" s="2" t="inlineStr">
        <is>
          <t>技术中心</t>
        </is>
      </c>
      <c r="Q213" s="2" t="inlineStr">
        <is>
          <t>林威</t>
        </is>
      </c>
      <c r="R213" s="2" t="inlineStr">
        <is>
          <t>男</t>
        </is>
      </c>
      <c r="S213" s="2" t="inlineStr">
        <is>
          <t>2025-08-01</t>
        </is>
      </c>
      <c r="T213" s="2" t="inlineStr">
        <is>
          <t>技术助理(三)</t>
        </is>
      </c>
      <c r="U213" s="2" t="inlineStr">
        <is>
          <t>南京林业大学</t>
        </is>
      </c>
      <c r="V213" s="2" t="inlineStr">
        <is>
          <t>自动化</t>
        </is>
      </c>
      <c r="W213" s="2" t="inlineStr">
        <is>
          <t>本科</t>
        </is>
      </c>
      <c r="X213" s="2" t="inlineStr">
        <is>
          <t>C.拖沓被动：需要主管反复催促，才能勉强按时交差。</t>
        </is>
      </c>
      <c r="Y213" s="2" t="inlineStr">
        <is>
          <t>B.基本稳定：偶有小瑕疵，但不影响整体使用。</t>
        </is>
      </c>
      <c r="Z213" s="2" t="inlineStr">
        <is>
          <t>C.正常跟进：需要主管盯着节点、偶尔提醒进度，或者在跑偏时帮着拽回来。</t>
        </is>
      </c>
      <c r="AA213" s="2" t="inlineStr">
        <is>
          <t>C.只知其一：只知道自己怎么操作，不知道为什么要这么做。</t>
        </is>
      </c>
      <c r="AB213" s="2" t="inlineStr">
        <is>
          <t>B.尽力而为：能解决大部分问题，解决不了的会及时求助。</t>
        </is>
      </c>
      <c r="AC213" s="2" t="inlineStr">
        <is>
          <t>A.模范标兵：严于律己，从未在琐事上让主管费心。</t>
        </is>
      </c>
      <c r="AD213" s="2" t="inlineStr">
        <is>
          <t>C.照章办事：给多少干多少，完全按老规矩来，从不思考变革</t>
        </is>
      </c>
      <c r="AE213" s="2" t="inlineStr">
        <is>
          <t>C.沟通被动：你不催他不去，去了也带不回明确结果。</t>
        </is>
      </c>
      <c r="AF213" s="2" t="inlineStr">
        <is>
          <t>C.偶尔断片：答应得好好的，但中间不反馈，非得主管去追。</t>
        </is>
      </c>
      <c r="AG213" s="2" t="inlineStr">
        <is>
          <t>B.稳定器：做好自己，不给团队添乱，是可靠的一员。</t>
        </is>
      </c>
      <c r="AH213" s="2" t="inlineStr">
        <is>
          <t>B.懂得求助：在尝试后会及时向主管或同事反馈，寻求资源支持。</t>
        </is>
      </c>
      <c r="AI213" s="2" t="inlineStr">
        <is>
          <t>C. 守好地盘：只管自己那一块，多一点都不想碰。</t>
        </is>
      </c>
      <c r="AJ213" s="2" t="inlineStr">
        <is>
          <t>B.配合度高：虽然有压力，但能服从大局，咬牙顶上去，且质量尚可。</t>
        </is>
      </c>
      <c r="AK213" s="2" t="inlineStr">
        <is>
          <t>B.照单全收：态度很好，虽然不一定完全理解，但会按要求改。</t>
        </is>
      </c>
      <c r="AL213" s="2" t="inlineStr">
        <is>
          <t>B.正常上手：经过简单培训或指导，能很快投入应用。</t>
        </is>
      </c>
      <c r="AM213" s="2" t="inlineStr">
        <is>
          <t>C.技能私有：自己干得好也愿意分享，但是不会总结或讲不出来。</t>
        </is>
      </c>
      <c r="AN213" s="2" t="inlineStr">
        <is>
          <t>C.中规中矩：刚好达标，替代性较强。</t>
        </is>
      </c>
      <c r="AO213" s="2" t="inlineStr">
        <is>
          <t>C.熟练工：能胜任重复性工作，但很难承担更高阶的挑战。</t>
        </is>
      </c>
      <c r="AP213" s="2" t="inlineStr">
        <is>
          <t>C.正常更替：走就走吧，招个新人培养一下也没什么区别。</t>
        </is>
      </c>
      <c r="AQ213" s="2" t="inlineStr">
        <is>
          <t>C</t>
        </is>
      </c>
      <c r="AR213" s="2" t="inlineStr">
        <is>
          <t>C</t>
        </is>
      </c>
      <c r="AS213" s="2" t="inlineStr">
        <is>
          <t>一致</t>
        </is>
      </c>
      <c r="AT213" s="2" t="inlineStr">
        <is>
          <t>C</t>
        </is>
      </c>
      <c r="AU213" s="2"/>
      <c r="AV213" s="3"/>
      <c r="AW213" s="3"/>
      <c r="AX213" s="3"/>
      <c r="AY213" s="2" t="inlineStr">
        <is>
          <t>D</t>
        </is>
      </c>
      <c r="AZ213" s="2" t="inlineStr">
        <is>
          <t>林威，该成员为2025年度应届生，入职后先后参与成本价值和石化信息化研发团队相关工作。入职后前两月，部门安排其参与成本价值组的相关工作，后经过部门管理层沟通，为充分发挥林威的学习和探索能力，于9月下旬将其调转岗位至研发团队，共同参与研发课题的学习、研究和探索。该成员在工作过程中善于思考和沟通，与直属主管共同推进课题进度，在参与研发会议的过程中发现，语言组织和叙述能力可以进一步提高。整体来看，该成员还需要继续打磨工作能力，提高沟通能力，避免无效工作量的产生，影响项目进展。</t>
        </is>
      </c>
      <c r="BA213" s="7" t="n">
        <v>2</v>
      </c>
      <c r="BB213" s="7" t="n">
        <v>4</v>
      </c>
      <c r="BC213" s="7" t="n">
        <v>3</v>
      </c>
      <c r="BD213" s="7" t="n">
        <v>2</v>
      </c>
      <c r="BE213" s="7" t="n">
        <v>4</v>
      </c>
      <c r="BF213" s="7" t="n">
        <v>5</v>
      </c>
      <c r="BG213" s="7" t="n">
        <v>3</v>
      </c>
      <c r="BH213" s="7" t="n">
        <v>1</v>
      </c>
      <c r="BI213" s="7" t="n">
        <v>2</v>
      </c>
      <c r="BJ213" s="7" t="n">
        <v>4</v>
      </c>
      <c r="BK213" s="7" t="n">
        <v>3</v>
      </c>
      <c r="BL213" s="7" t="n">
        <v>3</v>
      </c>
      <c r="BM213" s="7" t="n">
        <v>3</v>
      </c>
      <c r="BN213" s="7" t="n">
        <v>4</v>
      </c>
      <c r="BO213" s="7" t="n">
        <v>3</v>
      </c>
      <c r="BP213" s="7" t="n">
        <v>4</v>
      </c>
      <c r="BQ213" s="7" t="n">
        <v>2</v>
      </c>
      <c r="BR213" s="7" t="n">
        <v>3</v>
      </c>
      <c r="BS213" s="7" t="n">
        <v>3</v>
      </c>
      <c r="BT213" s="7" t="n">
        <v>3</v>
      </c>
      <c r="BU213" s="7" t="n">
        <v>61</v>
      </c>
      <c r="BV213" s="2" t="inlineStr">
        <is>
          <t>A.需要存在，不可去除</t>
        </is>
      </c>
      <c r="BW213" s="2" t="inlineStr">
        <is>
          <t>暂无</t>
        </is>
      </c>
      <c r="BX213" s="2" t="inlineStr">
        <is>
          <t>暂无</t>
        </is>
      </c>
      <c r="BY213" s="6">
        <f>HYPERLINK("https://www.h3yun.com/Form/Attachments/?schemacode=D148357733993cc00c048ad9898e53f5f82cbb9&amp;bizObjectId=256d57a4-40b5-41b5-873b-f045d7b533c9&amp;name=F0000016","点击查看")</f>
        <v>0</v>
      </c>
      <c r="BZ213" s="2" t="inlineStr">
        <is>
          <t>2026-04-30 16:55:34</t>
        </is>
      </c>
      <c r="CA213" s="2" t="inlineStr">
        <is>
          <t>C</t>
        </is>
      </c>
      <c r="CB213" s="2" t="inlineStr">
        <is>
          <t>已提交</t>
        </is>
      </c>
      <c r="CC213" s="2" t="inlineStr">
        <is>
          <t>无</t>
        </is>
      </c>
      <c r="CD213" s="2" t="inlineStr">
        <is>
          <t>无</t>
        </is>
      </c>
      <c r="CE213" s="2" t="inlineStr">
        <is>
          <t>无</t>
        </is>
      </c>
      <c r="CF213" s="2"/>
      <c r="CG213" s="2" t="inlineStr">
        <is>
          <t>350922200302060177</t>
        </is>
      </c>
      <c r="CH213" s="2" t="inlineStr">
        <is>
          <t>已生效</t>
        </is>
      </c>
      <c r="CI213" s="2" t="inlineStr">
        <is>
          <t>a230e7b7-9528-4b2c-a325-64d9d181956d</t>
        </is>
      </c>
      <c r="CJ213" s="3" t="n">
        <v>1</v>
      </c>
      <c r="CK213" s="2" t="inlineStr">
        <is>
          <t>该成员存在一线工作履历</t>
        </is>
      </c>
      <c r="CL213" s="2" t="inlineStr">
        <is>
          <t>该成员存在一线工作履历</t>
        </is>
      </c>
      <c r="CM213" s="2" t="inlineStr">
        <is>
          <t>南化建司劳2017-1号文-南京南化建设有限公司施工一线专业序列人员分级管理规定</t>
        </is>
      </c>
      <c r="CN213" s="2" t="inlineStr">
        <is>
          <t>第三章第6条D类</t>
        </is>
      </c>
      <c r="CO213" s="2"/>
      <c r="CP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t="inlineStr">
        <is>
          <t>c275a866-d58e-495a-8558-dbc46c0e7a02</t>
        </is>
      </c>
      <c r="CJ214" s="3" t="n">
        <v>2</v>
      </c>
      <c r="CK214" s="2" t="inlineStr">
        <is>
          <t>近五年内该成员存在一线工作履历</t>
        </is>
      </c>
      <c r="CL214" s="2" t="inlineStr">
        <is>
          <t>近五年内该成员存在一线工作履历</t>
        </is>
      </c>
      <c r="CM214" s="2" t="inlineStr">
        <is>
          <t>南化建司劳2017-1号文-南京南化建设有限公司施工一线专业序列人员分级管理规定</t>
        </is>
      </c>
      <c r="CN214" s="2" t="inlineStr">
        <is>
          <t>第三章第6条D类</t>
        </is>
      </c>
      <c r="CO214" s="2"/>
      <c r="CP214" s="2"/>
    </row>
    <row r="215">
      <c r="A215" s="2" t="inlineStr">
        <is>
          <t>952c53a2-63ee-4d78-a27b-7799c37183e7</t>
        </is>
      </c>
      <c r="B215" s="2" t="inlineStr">
        <is>
          <t>C.均衡，工作负荷一般，按部就班完成工作，除了突发时间几乎不用加班</t>
        </is>
      </c>
      <c r="C215" s="2" t="inlineStr">
        <is>
          <t>技术中心    蔡芙蓉    女    徐正玲</t>
        </is>
      </c>
      <c r="D215" s="2" t="inlineStr">
        <is>
          <t>徐正玲</t>
        </is>
      </c>
      <c r="E215" s="2" t="inlineStr">
        <is>
          <t>徐正玲</t>
        </is>
      </c>
      <c r="F215" s="2" t="inlineStr">
        <is>
          <t>石化信息化</t>
        </is>
      </c>
      <c r="G215" s="2" t="inlineStr">
        <is>
          <t>2026-05-25 10:56:15</t>
        </is>
      </c>
      <c r="H215" s="2" t="inlineStr">
        <is>
          <t>徐正玲</t>
        </is>
      </c>
      <c r="I215" s="2" t="inlineStr">
        <is>
          <t>32092519900123758X</t>
        </is>
      </c>
      <c r="J215" s="2" t="inlineStr">
        <is>
          <t>女</t>
        </is>
      </c>
      <c r="K215" s="2" t="inlineStr">
        <is>
          <t>技术中心</t>
        </is>
      </c>
      <c r="L215" s="2" t="inlineStr">
        <is>
          <t>2013-08-01</t>
        </is>
      </c>
      <c r="M215" s="2" t="inlineStr">
        <is>
          <t>常州大学</t>
        </is>
      </c>
      <c r="N215" s="2" t="inlineStr">
        <is>
          <t>化机</t>
        </is>
      </c>
      <c r="O215" s="2" t="inlineStr">
        <is>
          <t>本科</t>
        </is>
      </c>
      <c r="P215" s="2" t="inlineStr">
        <is>
          <t>技术中心</t>
        </is>
      </c>
      <c r="Q215" s="2" t="inlineStr">
        <is>
          <t>蔡芙蓉</t>
        </is>
      </c>
      <c r="R215" s="2" t="inlineStr">
        <is>
          <t>女</t>
        </is>
      </c>
      <c r="S215" s="2" t="inlineStr">
        <is>
          <t>2022-03-01</t>
        </is>
      </c>
      <c r="T215" s="2" t="inlineStr">
        <is>
          <t>技术助理(一)</t>
        </is>
      </c>
      <c r="U215" s="2" t="inlineStr">
        <is>
          <t>淮阴工学院</t>
        </is>
      </c>
      <c r="V215" s="2" t="inlineStr">
        <is>
          <t>其他</t>
        </is>
      </c>
      <c r="W215" s="2" t="inlineStr">
        <is>
          <t>本科</t>
        </is>
      </c>
      <c r="X215" s="2" t="inlineStr">
        <is>
          <t>B.按时推进：基本能卡着时间点完成，不掉链子。</t>
        </is>
      </c>
      <c r="Y215" s="2" t="inlineStr">
        <is>
          <t>C.看心情/状态：状态好时不错，状态差时漏洞百出。</t>
        </is>
      </c>
      <c r="Z215" s="2" t="inlineStr">
        <is>
          <t>C.正常跟进：需要主管盯着节点、偶尔提醒进度，或者在跑偏时帮着拽回来。</t>
        </is>
      </c>
      <c r="AA215" s="2" t="inlineStr">
        <is>
          <t>C.只知其一：只知道自己怎么操作，不知道为什么要这么做。</t>
        </is>
      </c>
      <c r="AB215" s="2" t="inlineStr">
        <is>
          <t>B.尽力而为：能解决大部分问题，解决不了的会及时求助。</t>
        </is>
      </c>
      <c r="AC215" s="2" t="inlineStr">
        <is>
          <t>A.模范标兵：严于律己，从未在琐事上让主管费心。</t>
        </is>
      </c>
      <c r="AD215" s="2" t="inlineStr">
        <is>
          <t>C.照章办事：给多少干多少，完全按老规矩来，从不思考变革</t>
        </is>
      </c>
      <c r="AE215" s="2" t="inlineStr">
        <is>
          <t>C.沟通被动：你不催他不去，去了也带不回明确结果。</t>
        </is>
      </c>
      <c r="AF215" s="2" t="inlineStr">
        <is>
          <t>B.有问有答：问到时能说清楚进度，基本能做到及时反馈。</t>
        </is>
      </c>
      <c r="AG215" s="2" t="inlineStr">
        <is>
          <t>B.稳定器：做好自己，不给团队添乱，是可靠的一员。</t>
        </is>
      </c>
      <c r="AH215" s="2" t="inlineStr">
        <is>
          <t>B.懂得求助：在尝试后会及时向主管或同事反馈，寻求资源支持。</t>
        </is>
      </c>
      <c r="AI215" s="2" t="inlineStr">
        <is>
          <t>B. 配合接受：主管安排了就干，不推辞。</t>
        </is>
      </c>
      <c r="AJ215" s="2" t="inlineStr">
        <is>
          <t>C.较为配合：不抱怨，但压力较大时，工作质量会随之下滑。</t>
        </is>
      </c>
      <c r="AK215" s="2" t="inlineStr">
        <is>
          <t>B.照单全收：态度很好，虽然不一定完全理解，但会按要求改。</t>
        </is>
      </c>
      <c r="AL215" s="2" t="inlineStr">
        <is>
          <t>B.正常上手：经过简单培训或指导，能很快投入应用。</t>
        </is>
      </c>
      <c r="AM215" s="2" t="inlineStr">
        <is>
          <t>C.技能私有：自己干得好也愿意分享，但是不会总结或讲不出来。</t>
        </is>
      </c>
      <c r="AN215" s="2" t="inlineStr">
        <is>
          <t>B.中上水平：高于平均线，是团队的中流砥柱。</t>
        </is>
      </c>
      <c r="AO215" s="2" t="inlineStr">
        <is>
          <t>B.业务骨干：是团队不可或缺的腰部力量。</t>
        </is>
      </c>
      <c r="AP215" s="2" t="inlineStr">
        <is>
          <t>B.有点可惜：是个好手，需要费心再找一个相同水准的。</t>
        </is>
      </c>
      <c r="AQ215" s="2" t="inlineStr">
        <is>
          <t>C</t>
        </is>
      </c>
      <c r="AR215" s="2" t="inlineStr">
        <is>
          <t>C</t>
        </is>
      </c>
      <c r="AS215" s="2" t="inlineStr">
        <is>
          <t>一致</t>
        </is>
      </c>
      <c r="AT215" s="2" t="inlineStr">
        <is>
          <t>C</t>
        </is>
      </c>
      <c r="AU215" s="2"/>
      <c r="AV215" s="3"/>
      <c r="AW215" s="3"/>
      <c r="AX215" s="3"/>
      <c r="AY215" s="2" t="inlineStr">
        <is>
          <t>D</t>
        </is>
      </c>
      <c r="AZ215" s="2" t="inlineStr">
        <is>
          <t>蔡芙蓉，该成员在管理创新工作室期间表现较好，具备较强的工作效率与理解能力，能够快速转化业务需求，完成部署工作。在技术应用方面，熟练掌握氚云开发、Python编程及AI工具，推动了薪酬管理、数据日志等多个模块的数字化转型，实现了管理的可视化与量化。在业务沟通、实操跟踪深度上仍有提升空间，但可在今后的工作过程中逐步改进。</t>
        </is>
      </c>
      <c r="BA215" s="7" t="n">
        <v>3</v>
      </c>
      <c r="BB215" s="7" t="n">
        <v>2</v>
      </c>
      <c r="BC215" s="7" t="n">
        <v>3</v>
      </c>
      <c r="BD215" s="7" t="n">
        <v>2</v>
      </c>
      <c r="BE215" s="7" t="n">
        <v>4</v>
      </c>
      <c r="BF215" s="7" t="n">
        <v>5</v>
      </c>
      <c r="BG215" s="7" t="n">
        <v>3</v>
      </c>
      <c r="BH215" s="7" t="n">
        <v>1</v>
      </c>
      <c r="BI215" s="7" t="n">
        <v>4</v>
      </c>
      <c r="BJ215" s="7" t="n">
        <v>4</v>
      </c>
      <c r="BK215" s="7" t="n">
        <v>3</v>
      </c>
      <c r="BL215" s="7" t="n">
        <v>4</v>
      </c>
      <c r="BM215" s="7" t="n">
        <v>3</v>
      </c>
      <c r="BN215" s="7" t="n">
        <v>3</v>
      </c>
      <c r="BO215" s="7" t="n">
        <v>3</v>
      </c>
      <c r="BP215" s="7" t="n">
        <v>4</v>
      </c>
      <c r="BQ215" s="7" t="n">
        <v>2</v>
      </c>
      <c r="BR215" s="7" t="n">
        <v>4</v>
      </c>
      <c r="BS215" s="7" t="n">
        <v>4</v>
      </c>
      <c r="BT215" s="7" t="n">
        <v>4</v>
      </c>
      <c r="BU215" s="7" t="n">
        <v>65</v>
      </c>
      <c r="BV215" s="2" t="inlineStr">
        <is>
          <t>A.需要存在，不可去除</t>
        </is>
      </c>
      <c r="BW215" s="2"/>
      <c r="BX215" s="2"/>
      <c r="BY215" s="2"/>
      <c r="BZ215" s="2" t="inlineStr">
        <is>
          <t>2026-04-30 16:14:11</t>
        </is>
      </c>
      <c r="CA215" s="2" t="inlineStr">
        <is>
          <t>C</t>
        </is>
      </c>
      <c r="CB215" s="2" t="inlineStr">
        <is>
          <t>已提交</t>
        </is>
      </c>
      <c r="CC215" s="2" t="inlineStr">
        <is>
          <t>助理工程师</t>
        </is>
      </c>
      <c r="CD215" s="2" t="inlineStr">
        <is>
          <t>安全C1</t>
        </is>
      </c>
      <c r="CE215" s="2" t="inlineStr">
        <is>
          <t>无</t>
        </is>
      </c>
      <c r="CF215" s="2"/>
      <c r="CG215" s="2" t="inlineStr">
        <is>
          <t>320623199711194220</t>
        </is>
      </c>
      <c r="CH215" s="2" t="inlineStr">
        <is>
          <t>已生效</t>
        </is>
      </c>
      <c r="CI215" s="2" t="inlineStr">
        <is>
          <t>7bd2025e-8b2e-4ab8-be0f-9dc287a5dbf9</t>
        </is>
      </c>
      <c r="CJ215" s="3" t="n">
        <v>1</v>
      </c>
      <c r="CK215" s="2" t="inlineStr">
        <is>
          <t>该成员存在一线工作履历</t>
        </is>
      </c>
      <c r="CL215" s="2" t="inlineStr">
        <is>
          <t>该成员存在一线工作履历</t>
        </is>
      </c>
      <c r="CM215" s="2" t="inlineStr">
        <is>
          <t>南化建司劳2017-1号文-南京南化建设有限公司施工一线专业序列人员分级管理规定</t>
        </is>
      </c>
      <c r="CN215" s="2" t="inlineStr">
        <is>
          <t>第三章第6条D类</t>
        </is>
      </c>
      <c r="CO215" s="2"/>
      <c r="CP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t="inlineStr">
        <is>
          <t>4d057e84-5a71-4ff8-ae05-59d268ada751</t>
        </is>
      </c>
      <c r="CJ216" s="3" t="n">
        <v>2</v>
      </c>
      <c r="CK216" s="2" t="inlineStr">
        <is>
          <t>近五年内该成员存在一线工作履历</t>
        </is>
      </c>
      <c r="CL216" s="2" t="inlineStr">
        <is>
          <t>近五年内该成员存在一线工作履历</t>
        </is>
      </c>
      <c r="CM216" s="2" t="inlineStr">
        <is>
          <t>南化建司劳2017-1号文-南京南化建设有限公司施工一线专业序列人员分级管理规定</t>
        </is>
      </c>
      <c r="CN216" s="2" t="inlineStr">
        <is>
          <t>第三章第6条D类</t>
        </is>
      </c>
      <c r="CO216" s="2"/>
      <c r="CP216" s="2"/>
    </row>
    <row r="217">
      <c r="A217" s="2" t="inlineStr">
        <is>
          <t>1b6cd087-9937-4255-94c3-968d8a56c829</t>
        </is>
      </c>
      <c r="B217" s="2" t="inlineStr">
        <is>
          <t>B.满负荷，平时工作就很忙，偶尔因为非突发时间也要加班</t>
        </is>
      </c>
      <c r="C217" s="2" t="inlineStr">
        <is>
          <t>技术中心    陈苏宁    女    徐正玲</t>
        </is>
      </c>
      <c r="D217" s="2" t="inlineStr">
        <is>
          <t>徐正玲</t>
        </is>
      </c>
      <c r="E217" s="2" t="inlineStr">
        <is>
          <t>徐正玲</t>
        </is>
      </c>
      <c r="F217" s="2" t="inlineStr">
        <is>
          <t>石化信息化</t>
        </is>
      </c>
      <c r="G217" s="2" t="inlineStr">
        <is>
          <t>2026-05-25 10:56:15</t>
        </is>
      </c>
      <c r="H217" s="2" t="inlineStr">
        <is>
          <t>徐正玲</t>
        </is>
      </c>
      <c r="I217" s="2" t="inlineStr">
        <is>
          <t>32092519900123758X</t>
        </is>
      </c>
      <c r="J217" s="2" t="inlineStr">
        <is>
          <t>女</t>
        </is>
      </c>
      <c r="K217" s="2" t="inlineStr">
        <is>
          <t>技术中心</t>
        </is>
      </c>
      <c r="L217" s="2" t="inlineStr">
        <is>
          <t>2013-08-01</t>
        </is>
      </c>
      <c r="M217" s="2" t="inlineStr">
        <is>
          <t>常州大学</t>
        </is>
      </c>
      <c r="N217" s="2" t="inlineStr">
        <is>
          <t>化机</t>
        </is>
      </c>
      <c r="O217" s="2" t="inlineStr">
        <is>
          <t>本科</t>
        </is>
      </c>
      <c r="P217" s="2" t="inlineStr">
        <is>
          <t>技术中心</t>
        </is>
      </c>
      <c r="Q217" s="2" t="inlineStr">
        <is>
          <t>陈苏宁</t>
        </is>
      </c>
      <c r="R217" s="2" t="inlineStr">
        <is>
          <t>女</t>
        </is>
      </c>
      <c r="S217" s="2" t="inlineStr">
        <is>
          <t>2023-08-01</t>
        </is>
      </c>
      <c r="T217" s="2" t="inlineStr">
        <is>
          <t>技术助理(三)</t>
        </is>
      </c>
      <c r="U217" s="2" t="inlineStr">
        <is>
          <t>江苏联合职业技术学校</t>
        </is>
      </c>
      <c r="V217" s="2" t="inlineStr">
        <is>
          <t>会计</t>
        </is>
      </c>
      <c r="W217" s="2" t="inlineStr">
        <is>
          <t>本科</t>
        </is>
      </c>
      <c r="X217" s="2" t="inlineStr">
        <is>
          <t>B.按时推进：基本能卡着时间点完成，不掉链子。</t>
        </is>
      </c>
      <c r="Y217" s="2" t="inlineStr">
        <is>
          <t>B.基本稳定：偶有小瑕疵，但不影响整体使用。</t>
        </is>
      </c>
      <c r="Z217" s="2" t="inlineStr">
        <is>
          <t>B.比较省心：只需定期同步一下进度，不需要主管盯着细节，能独立把事情办成。</t>
        </is>
      </c>
      <c r="AA217" s="2" t="inlineStr">
        <is>
          <t>B.清楚岗位：对自己岗位的活儿很门清，略知上下游。</t>
        </is>
      </c>
      <c r="AB217" s="2" t="inlineStr">
        <is>
          <t>B.尽力而为：能解决大部分问题，解决不了的会及时求助。</t>
        </is>
      </c>
      <c r="AC217" s="2" t="inlineStr">
        <is>
          <t>C.没有发生</t>
        </is>
      </c>
      <c r="AD217" s="2" t="inlineStr">
        <is>
          <t>B.遇到困难能先行尝试解决，并带着成熟的方案向主管汇报</t>
        </is>
      </c>
      <c r="AE217" s="2" t="inlineStr">
        <is>
          <t>B.具备沟通协调意识，能配合完成跨部门协作工作</t>
        </is>
      </c>
      <c r="AF217" s="2" t="inlineStr">
        <is>
          <t>B.偶尔出现</t>
        </is>
      </c>
      <c r="AG217" s="2" t="inlineStr">
        <is>
          <t>B.无负面影响，能做好自身工作不拖团队后腿</t>
        </is>
      </c>
      <c r="AH217" s="2" t="inlineStr">
        <is>
          <t>B.有团队意识，自身做好团队协作</t>
        </is>
      </c>
      <c r="AI217" s="2" t="inlineStr">
        <is>
          <t>B. 积极配合：不推诿，在主管协调下愿意承担边界任务，并努力达成目标。</t>
        </is>
      </c>
      <c r="AJ217" s="2" t="inlineStr">
        <is>
          <t>B.配合度高：虽然有压力，但能服从大局，咬牙顶上去，且质量尚可。</t>
        </is>
      </c>
      <c r="AK217" s="2" t="inlineStr">
        <is>
          <t>B.照单全收：态度很好，虽然不一定完全理解，但会按要求改。</t>
        </is>
      </c>
      <c r="AL217" s="2" t="inlineStr">
        <is>
          <t>B.正常上手：经过简单培训或指导，能很快投入应用。</t>
        </is>
      </c>
      <c r="AM217" s="2" t="inlineStr">
        <is>
          <t>B.愿意传帮带：平时爱分享避坑指南，能带徒弟。</t>
        </is>
      </c>
      <c r="AN217" s="2" t="inlineStr">
        <is>
          <t>B.中上水平：高于平均线，是团队的中流砥柱。</t>
        </is>
      </c>
      <c r="AO217" s="2" t="inlineStr">
        <is>
          <t>B.业务骨干：是团队不可或缺的腰部力量。</t>
        </is>
      </c>
      <c r="AP217" s="2" t="inlineStr">
        <is>
          <t>B.有点可惜：是个好手，需要费心再找一个相同水准的。</t>
        </is>
      </c>
      <c r="AQ217" s="2" t="inlineStr">
        <is>
          <t>B</t>
        </is>
      </c>
      <c r="AR217" s="2" t="inlineStr">
        <is>
          <t>B</t>
        </is>
      </c>
      <c r="AS217" s="2" t="inlineStr">
        <is>
          <t>一致</t>
        </is>
      </c>
      <c r="AT217" s="2" t="inlineStr">
        <is>
          <t>B</t>
        </is>
      </c>
      <c r="AU217" s="2"/>
      <c r="AV217" s="3"/>
      <c r="AW217" s="3"/>
      <c r="AX217" s="3"/>
      <c r="AY217" s="2" t="inlineStr">
        <is>
          <t>C</t>
        </is>
      </c>
      <c r="AZ217" s="2" t="inlineStr">
        <is>
          <t>陈苏宁，该成员先后经历八化建人力资源行政、社招、数据组数据运维、中心办公室行政事务、八化建人力资源切换永利重工、氚云平台搭建、代码小程序应用搭建等相关工作，历经多名主管和中层干部，未获明显的负面评价。在部门多项事务的运维过程中身兼数职，未出现较为明显的延误，配合部门及外部协作部门，共同加强数字化应用和推广相关事宜。该成员虽在实际工作过程中仍然存在一些细节性的问题，但综合表现来看，未来会有比较好的发展潜力。</t>
        </is>
      </c>
      <c r="BA217" s="7" t="n">
        <v>3</v>
      </c>
      <c r="BB217" s="7" t="n">
        <v>4</v>
      </c>
      <c r="BC217" s="7" t="n">
        <v>4</v>
      </c>
      <c r="BD217" s="7" t="n">
        <v>4</v>
      </c>
      <c r="BE217" s="7" t="n">
        <v>4</v>
      </c>
      <c r="BF217" s="7" t="n">
        <v>1</v>
      </c>
      <c r="BG217" s="7" t="n">
        <v>4</v>
      </c>
      <c r="BH217" s="7" t="n">
        <v>3.5</v>
      </c>
      <c r="BI217" s="7" t="n">
        <v>4</v>
      </c>
      <c r="BJ217" s="7" t="n">
        <v>4</v>
      </c>
      <c r="BK217" s="7" t="n">
        <v>3</v>
      </c>
      <c r="BL217" s="7" t="n">
        <v>4</v>
      </c>
      <c r="BM217" s="7" t="n">
        <v>4</v>
      </c>
      <c r="BN217" s="7" t="n">
        <v>4</v>
      </c>
      <c r="BO217" s="7" t="n">
        <v>3</v>
      </c>
      <c r="BP217" s="7" t="n">
        <v>4</v>
      </c>
      <c r="BQ217" s="7" t="n">
        <v>4</v>
      </c>
      <c r="BR217" s="7" t="n">
        <v>4</v>
      </c>
      <c r="BS217" s="7" t="n">
        <v>4</v>
      </c>
      <c r="BT217" s="7" t="n">
        <v>4</v>
      </c>
      <c r="BU217" s="7" t="n">
        <v>73.5</v>
      </c>
      <c r="BV217" s="2" t="inlineStr">
        <is>
          <t>A.需要存在，不可去除</t>
        </is>
      </c>
      <c r="BW217" s="2"/>
      <c r="BX217" s="2"/>
      <c r="BY217" s="6">
        <f>HYPERLINK("https://www.h3yun.com/Form/Attachments/?schemacode=D148357733993cc00c048ad9898e53f5f82cbb9&amp;bizObjectId=1b6cd087-9937-4255-94c3-968d8a56c829&amp;name=F0000016","点击查看")</f>
        <v>0</v>
      </c>
      <c r="BZ217" s="2" t="inlineStr">
        <is>
          <t>2026-04-30 16:11:34</t>
        </is>
      </c>
      <c r="CA217" s="2" t="inlineStr">
        <is>
          <t>B</t>
        </is>
      </c>
      <c r="CB217" s="2" t="inlineStr">
        <is>
          <t>已提交</t>
        </is>
      </c>
      <c r="CC217" s="2" t="inlineStr">
        <is>
          <t>助理工程师</t>
        </is>
      </c>
      <c r="CD217" s="2" t="inlineStr">
        <is>
          <t>安全证书</t>
        </is>
      </c>
      <c r="CE217" s="2" t="inlineStr">
        <is>
          <t>无</t>
        </is>
      </c>
      <c r="CF217" s="2"/>
      <c r="CG217" s="2" t="inlineStr">
        <is>
          <t>320112200102180842</t>
        </is>
      </c>
      <c r="CH217" s="2" t="inlineStr">
        <is>
          <t>已生效</t>
        </is>
      </c>
      <c r="CI217" s="2" t="inlineStr">
        <is>
          <t>23602c4f-e39c-4ed4-b74b-3a3da7a6e35c</t>
        </is>
      </c>
      <c r="CJ217" s="3" t="n">
        <v>1</v>
      </c>
      <c r="CK217" s="2" t="inlineStr">
        <is>
          <t>近三年至少担任过一个合同额1000万元以上项目相应岗位的主管</t>
        </is>
      </c>
      <c r="CL217" s="2" t="inlineStr">
        <is>
          <t>近三年至少担任过一个合同额1000万元以上项目相应岗位的主管</t>
        </is>
      </c>
      <c r="CM217" s="2" t="inlineStr">
        <is>
          <t>南化建司劳2017-1号文-南京南化建设有限公司施工一线专业序列人员分级管理规定</t>
        </is>
      </c>
      <c r="CN217" s="2" t="inlineStr">
        <is>
          <t>第三章第3条C类</t>
        </is>
      </c>
      <c r="CO217" s="2"/>
      <c r="CP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t="inlineStr">
        <is>
          <t>3e06f874-d050-4ff4-bf54-1144abb5d41d</t>
        </is>
      </c>
      <c r="CJ218" s="3" t="n">
        <v>2</v>
      </c>
      <c r="CK218" s="2" t="inlineStr">
        <is>
          <t>公司二级单位或公司职能部门推荐</t>
        </is>
      </c>
      <c r="CL218" s="2" t="inlineStr">
        <is>
          <t>公司二级单位或公司职能部门推荐</t>
        </is>
      </c>
      <c r="CM218" s="2" t="inlineStr">
        <is>
          <t>南化建司劳2017-1号文-南京南化建设有限公司施工一线专业序列人员分级管理规定</t>
        </is>
      </c>
      <c r="CN218" s="2" t="inlineStr">
        <is>
          <t>第三章第3条C类</t>
        </is>
      </c>
      <c r="CO218" s="2"/>
      <c r="CP218" s="2"/>
    </row>
    <row r="219">
      <c r="A219" s="2" t="inlineStr">
        <is>
          <t>54c905e2-2b04-4ce0-8b96-1b6177e93ce2</t>
        </is>
      </c>
      <c r="B219" s="2" t="inlineStr">
        <is>
          <t>B.满负荷，平时工作就很忙，偶尔因为非突发时间也要加班</t>
        </is>
      </c>
      <c r="C219" s="2" t="inlineStr">
        <is>
          <t>技术中心    夏国玺    男    徐正玲</t>
        </is>
      </c>
      <c r="D219" s="2" t="inlineStr">
        <is>
          <t>Anonymous</t>
        </is>
      </c>
      <c r="E219" s="2" t="inlineStr">
        <is>
          <t>Anonymous</t>
        </is>
      </c>
      <c r="F219" s="2"/>
      <c r="G219" s="2" t="inlineStr">
        <is>
          <t>2026-05-25 10:56:15</t>
        </is>
      </c>
      <c r="H219" s="2" t="inlineStr">
        <is>
          <t>徐正玲</t>
        </is>
      </c>
      <c r="I219" s="2" t="inlineStr">
        <is>
          <t>32092519900123758X</t>
        </is>
      </c>
      <c r="J219" s="2" t="inlineStr">
        <is>
          <t>女</t>
        </is>
      </c>
      <c r="K219" s="2" t="inlineStr">
        <is>
          <t>技术中心</t>
        </is>
      </c>
      <c r="L219" s="2" t="inlineStr">
        <is>
          <t>2013-08-01</t>
        </is>
      </c>
      <c r="M219" s="2" t="inlineStr">
        <is>
          <t>常州大学</t>
        </is>
      </c>
      <c r="N219" s="2" t="inlineStr">
        <is>
          <t>化机</t>
        </is>
      </c>
      <c r="O219" s="2" t="inlineStr">
        <is>
          <t>本科</t>
        </is>
      </c>
      <c r="P219" s="2" t="inlineStr">
        <is>
          <t>技术中心</t>
        </is>
      </c>
      <c r="Q219" s="2" t="inlineStr">
        <is>
          <t>夏国玺</t>
        </is>
      </c>
      <c r="R219" s="2" t="inlineStr">
        <is>
          <t>男</t>
        </is>
      </c>
      <c r="S219" s="2" t="inlineStr">
        <is>
          <t>2025-04-22</t>
        </is>
      </c>
      <c r="T219" s="2" t="inlineStr">
        <is>
          <t>技术助理(三)</t>
        </is>
      </c>
      <c r="U219" s="2" t="inlineStr">
        <is>
          <t>南通理工学院</t>
        </is>
      </c>
      <c r="V219" s="2" t="inlineStr">
        <is>
          <t>其他</t>
        </is>
      </c>
      <c r="W219" s="2" t="inlineStr">
        <is>
          <t>本科</t>
        </is>
      </c>
      <c r="X219" s="2" t="inlineStr">
        <is>
          <t>A.积极高效：经常提前完成，且质量超出预期。</t>
        </is>
      </c>
      <c r="Y219" s="2" t="inlineStr">
        <is>
          <t>B.基本稳定：偶有小瑕疵，但不影响整体使用。</t>
        </is>
      </c>
      <c r="Z219" s="2" t="inlineStr">
        <is>
          <t>B.比较省心：只需定期同步一下进度，不需要主管盯着细节，能独立把事情办成。</t>
        </is>
      </c>
      <c r="AA219" s="2" t="inlineStr">
        <is>
          <t>B.清楚岗位：对自己岗位的活儿很门清，略知上下游。</t>
        </is>
      </c>
      <c r="AB219" s="2" t="inlineStr">
        <is>
          <t>A.攻坚克难：会想尽一切办法钻研，直至彻底解决。</t>
        </is>
      </c>
      <c r="AC219" s="2" t="inlineStr">
        <is>
          <t>A.模范标兵：严于律己，从未在琐事上让主管费心。</t>
        </is>
      </c>
      <c r="AD219" s="2" t="inlineStr">
        <is>
          <t>A.持续优化：经常提出改进流程、提升效率的实用建议</t>
        </is>
      </c>
      <c r="AE219" s="2" t="inlineStr">
        <is>
          <t>B.正常沟通：能清晰表达需求，维持基本的协作。</t>
        </is>
      </c>
      <c r="AF219" s="2" t="inlineStr">
        <is>
          <t>B.有问有答：问到时能说清楚进度，基本能做到及时反馈。</t>
        </is>
      </c>
      <c r="AG219" s="2" t="inlineStr">
        <is>
          <t>A.动力源：像小太阳，主动分享、帮人解惑，带活团队。</t>
        </is>
      </c>
      <c r="AH219" s="2" t="inlineStr">
        <is>
          <t>B.懂得求助：在尝试后会及时向主管或同事反馈，寻求资源支持。</t>
        </is>
      </c>
      <c r="AI219" s="2" t="inlineStr">
        <is>
          <t>A. 主动揽活：只要对团队有利，先接过来干了再说。</t>
        </is>
      </c>
      <c r="AJ219" s="2" t="inlineStr">
        <is>
          <t>B.配合度高：虽然有压力，但能服从大局，咬牙顶上去，且质量尚可。</t>
        </is>
      </c>
      <c r="AK219" s="2" t="inlineStr">
        <is>
          <t>A.虚心求教：能听进去，并积极探讨更科学的方法。</t>
        </is>
      </c>
      <c r="AL219" s="2" t="inlineStr">
        <is>
          <t>B.正常上手：经过简单培训或指导，能很快投入应用。</t>
        </is>
      </c>
      <c r="AM219" s="2" t="inlineStr">
        <is>
          <t>B.愿意传帮带：平时爱分享避坑指南，能带徒弟。</t>
        </is>
      </c>
      <c r="AN219" s="2" t="inlineStr">
        <is>
          <t>B.中上水平：高于平均线，是团队的中流砥柱。</t>
        </is>
      </c>
      <c r="AO219" s="2" t="inlineStr">
        <is>
          <t>B.业务骨干：是团队不可或缺的腰部力量。</t>
        </is>
      </c>
      <c r="AP219" s="2" t="inlineStr">
        <is>
          <t>B.有点可惜：是个好手，需要费心再找一个相同水准的。</t>
        </is>
      </c>
      <c r="AQ219" s="2" t="inlineStr">
        <is>
          <t>A</t>
        </is>
      </c>
      <c r="AR219" s="2" t="inlineStr">
        <is>
          <t>A</t>
        </is>
      </c>
      <c r="AS219" s="2" t="inlineStr">
        <is>
          <t>一致</t>
        </is>
      </c>
      <c r="AT219" s="2" t="inlineStr">
        <is>
          <t>A</t>
        </is>
      </c>
      <c r="AU219" s="2"/>
      <c r="AV219" s="3"/>
      <c r="AW219" s="3"/>
      <c r="AX219" s="3"/>
      <c r="AY219" s="2" t="inlineStr">
        <is>
          <t>B</t>
        </is>
      </c>
      <c r="AZ219" s="2" t="inlineStr">
        <is>
          <t>夏国玺，该成员为社招成员，先后经过远程试题考核、现场面试环节，于2025年4月成功入职我司技术中心，从事石化信息化研发类相关工作。工作以来，根据各方面工作表现，反应迅速、工作响应及时、完成内容质量较高，经其直属主管任务审批，存在一定比例的超出预期现状。在实际课题研发过程中担任了相对重要的作用，可以与上级及同事形成良好的沟通，促进课题进度的快速开展。</t>
        </is>
      </c>
      <c r="BA219" s="7" t="n">
        <v>5</v>
      </c>
      <c r="BB219" s="7" t="n">
        <v>4</v>
      </c>
      <c r="BC219" s="7" t="n">
        <v>4</v>
      </c>
      <c r="BD219" s="7" t="n">
        <v>4</v>
      </c>
      <c r="BE219" s="7" t="n">
        <v>5</v>
      </c>
      <c r="BF219" s="7" t="n">
        <v>5</v>
      </c>
      <c r="BG219" s="7" t="n">
        <v>5</v>
      </c>
      <c r="BH219" s="7" t="n">
        <v>3.5</v>
      </c>
      <c r="BI219" s="7" t="n">
        <v>4</v>
      </c>
      <c r="BJ219" s="7" t="n">
        <v>5</v>
      </c>
      <c r="BK219" s="7" t="n">
        <v>3</v>
      </c>
      <c r="BL219" s="7" t="n">
        <v>5</v>
      </c>
      <c r="BM219" s="7" t="n">
        <v>4</v>
      </c>
      <c r="BN219" s="7" t="n">
        <v>4</v>
      </c>
      <c r="BO219" s="7" t="n">
        <v>5</v>
      </c>
      <c r="BP219" s="7" t="n">
        <v>4</v>
      </c>
      <c r="BQ219" s="7" t="n">
        <v>4</v>
      </c>
      <c r="BR219" s="7" t="n">
        <v>4</v>
      </c>
      <c r="BS219" s="7" t="n">
        <v>4</v>
      </c>
      <c r="BT219" s="7" t="n">
        <v>4</v>
      </c>
      <c r="BU219" s="7" t="n">
        <v>85.5</v>
      </c>
      <c r="BV219" s="2" t="inlineStr">
        <is>
          <t>A.需要存在，不可去除</t>
        </is>
      </c>
      <c r="BW219" s="2"/>
      <c r="BX219" s="2"/>
      <c r="BY219" s="6">
        <f>HYPERLINK("https://www.h3yun.com/Form/Attachments/?schemacode=D148357733993cc00c048ad9898e53f5f82cbb9&amp;bizObjectId=54c905e2-2b04-4ce0-8b96-1b6177e93ce2&amp;name=F0000016","点击查看")</f>
        <v>0</v>
      </c>
      <c r="BZ219" s="2" t="inlineStr">
        <is>
          <t>2026-04-30 16:07:59</t>
        </is>
      </c>
      <c r="CA219" s="2" t="inlineStr">
        <is>
          <t>A</t>
        </is>
      </c>
      <c r="CB219" s="2" t="inlineStr">
        <is>
          <t>已提交</t>
        </is>
      </c>
      <c r="CC219" s="2" t="inlineStr">
        <is>
          <t>无</t>
        </is>
      </c>
      <c r="CD219" s="2" t="inlineStr">
        <is>
          <t>软件工程师
软考程序员</t>
        </is>
      </c>
      <c r="CE219" s="2" t="inlineStr">
        <is>
          <t>无</t>
        </is>
      </c>
      <c r="CF219" s="2"/>
      <c r="CG219" s="2" t="inlineStr">
        <is>
          <t>320830200012225235</t>
        </is>
      </c>
      <c r="CH219" s="2" t="inlineStr">
        <is>
          <t>已生效</t>
        </is>
      </c>
      <c r="CI219" s="2" t="inlineStr">
        <is>
          <t>66807198-98f9-4d9e-98e7-efe3f29ea502</t>
        </is>
      </c>
      <c r="CJ219" s="3" t="n">
        <v>1</v>
      </c>
      <c r="CK219" s="2" t="inlineStr">
        <is>
          <t>近三年至少担任过一个合同额1500万元以上项目相应岗位的主管</t>
        </is>
      </c>
      <c r="CL219" s="2" t="inlineStr">
        <is>
          <t>近三年至少担任过一个合同额1500万元以上项目相应岗位的主管</t>
        </is>
      </c>
      <c r="CM219" s="2" t="inlineStr">
        <is>
          <t>南化建司劳2017-1号文-南京南化建设有限公司施工一线专业序列人员分级管理规定</t>
        </is>
      </c>
      <c r="CN219" s="2" t="inlineStr">
        <is>
          <t>第三章第2条B类</t>
        </is>
      </c>
      <c r="CO219" s="2"/>
      <c r="CP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t="inlineStr">
        <is>
          <t>275223f9-959c-4dfd-bfa9-5569e319e9cb</t>
        </is>
      </c>
      <c r="CJ220" s="3" t="n">
        <v>2</v>
      </c>
      <c r="CK220" s="2" t="inlineStr">
        <is>
          <t>公司二级单位或公司职能部门推荐</t>
        </is>
      </c>
      <c r="CL220" s="2" t="inlineStr">
        <is>
          <t>公司二级单位或公司职能部门推荐</t>
        </is>
      </c>
      <c r="CM220" s="2" t="inlineStr">
        <is>
          <t>南化建司劳2017-1号文-南京南化建设有限公司施工一线专业序列人员分级管理规定</t>
        </is>
      </c>
      <c r="CN220" s="2" t="inlineStr">
        <is>
          <t>第三章第2条B类</t>
        </is>
      </c>
      <c r="CO220" s="2"/>
      <c r="CP220" s="2"/>
    </row>
    <row r="221">
      <c r="A221" s="2" t="inlineStr">
        <is>
          <t>7918c0bd-5958-4167-883c-a0e04e69fe3a</t>
        </is>
      </c>
      <c r="B221" s="2" t="inlineStr">
        <is>
          <t>A.超负荷，平时工作就很忙，经常还要加班</t>
        </is>
      </c>
      <c r="C221" s="2" t="inlineStr">
        <is>
          <t>技术中心    成哲辉    男    徐正玲</t>
        </is>
      </c>
      <c r="D221" s="2" t="inlineStr">
        <is>
          <t>徐正玲</t>
        </is>
      </c>
      <c r="E221" s="2" t="inlineStr">
        <is>
          <t>徐正玲</t>
        </is>
      </c>
      <c r="F221" s="2" t="inlineStr">
        <is>
          <t>石化信息化</t>
        </is>
      </c>
      <c r="G221" s="2" t="inlineStr">
        <is>
          <t>2026-05-25 10:56:15</t>
        </is>
      </c>
      <c r="H221" s="2" t="inlineStr">
        <is>
          <t>徐正玲</t>
        </is>
      </c>
      <c r="I221" s="2" t="inlineStr">
        <is>
          <t>32092519900123758X</t>
        </is>
      </c>
      <c r="J221" s="2" t="inlineStr">
        <is>
          <t>女</t>
        </is>
      </c>
      <c r="K221" s="2" t="inlineStr">
        <is>
          <t>技术中心</t>
        </is>
      </c>
      <c r="L221" s="2" t="inlineStr">
        <is>
          <t>2013-08-01</t>
        </is>
      </c>
      <c r="M221" s="2" t="inlineStr">
        <is>
          <t>常州大学</t>
        </is>
      </c>
      <c r="N221" s="2" t="inlineStr">
        <is>
          <t>化机</t>
        </is>
      </c>
      <c r="O221" s="2" t="inlineStr">
        <is>
          <t>本科</t>
        </is>
      </c>
      <c r="P221" s="2" t="inlineStr">
        <is>
          <t>技术中心</t>
        </is>
      </c>
      <c r="Q221" s="2" t="inlineStr">
        <is>
          <t>成哲辉</t>
        </is>
      </c>
      <c r="R221" s="2" t="inlineStr">
        <is>
          <t>男</t>
        </is>
      </c>
      <c r="S221" s="2" t="inlineStr">
        <is>
          <t>2020-08-01</t>
        </is>
      </c>
      <c r="T221" s="2" t="inlineStr">
        <is>
          <t>技术助理(一)</t>
        </is>
      </c>
      <c r="U221" s="2" t="inlineStr">
        <is>
          <t>淮阴工学院</t>
        </is>
      </c>
      <c r="V221" s="2" t="inlineStr">
        <is>
          <t>化机</t>
        </is>
      </c>
      <c r="W221" s="2" t="inlineStr">
        <is>
          <t>本科</t>
        </is>
      </c>
      <c r="X221" s="2" t="inlineStr">
        <is>
          <t>A.积极高效：经常提前完成，且质量超出预期。</t>
        </is>
      </c>
      <c r="Y221" s="2" t="inlineStr">
        <is>
          <t>A.始终如一：无论任务大小，交付件标准都很高。</t>
        </is>
      </c>
      <c r="Z221" s="2" t="inlineStr">
        <is>
          <t>A.极其省心：只需交代目标，剩下的一律不用管，最后不仅能准时交付，甚至能超出预期。</t>
        </is>
      </c>
      <c r="AA221" s="2" t="inlineStr">
        <is>
          <t>A.全局视野：了解上下游，能站在全业务链条考虑问题。</t>
        </is>
      </c>
      <c r="AB221" s="2" t="inlineStr">
        <is>
          <t>A.攻坚克难：会想尽一切办法钻研，直至彻底解决。</t>
        </is>
      </c>
      <c r="AC221" s="2" t="inlineStr">
        <is>
          <t>A.模范标兵：严于律己，从未在琐事上让主管费心。</t>
        </is>
      </c>
      <c r="AD221" s="2" t="inlineStr">
        <is>
          <t>A.持续优化：经常提出改进流程、提升效率的实用建议</t>
        </is>
      </c>
      <c r="AE221" s="2" t="inlineStr">
        <is>
          <t>A.推进力极强：能搞定不同性格的人，让对方配合。</t>
        </is>
      </c>
      <c r="AF221" s="2" t="inlineStr">
        <is>
          <t>A.完美闭环：进展、难点、结果都会主动汇报，无需催促。</t>
        </is>
      </c>
      <c r="AG221" s="2" t="inlineStr">
        <is>
          <t>A.动力源：像小太阳，主动分享、帮人解惑，带活团队。</t>
        </is>
      </c>
      <c r="AH221" s="2" t="inlineStr">
        <is>
          <t>A.整合高手：能迅速找到能帮上忙的人和资源，借力打力解决问题。</t>
        </is>
      </c>
      <c r="AI221" s="2" t="inlineStr">
        <is>
          <t>A. 主动揽活：只要对团队有利，先接过来干了再说。</t>
        </is>
      </c>
      <c r="AJ221" s="2" t="inlineStr">
        <is>
          <t>A.越战越勇：能扛住压力，保持冷静，高效处理紧急事务。</t>
        </is>
      </c>
      <c r="AK221" s="2" t="inlineStr">
        <is>
          <t>A.虚心求教：能听进去，并积极探讨更科学的方法。</t>
        </is>
      </c>
      <c r="AL221" s="2" t="inlineStr">
        <is>
          <t>A.极速掌握：自学能力极强，很快就能成为该领域的“百晓生”。</t>
        </is>
      </c>
      <c r="AM221" s="2" t="inlineStr">
        <is>
          <t>A.总结达人：能把复杂工作写成标准 SOP，让新手直接用。</t>
        </is>
      </c>
      <c r="AN221" s="2" t="inlineStr">
        <is>
          <t>A.第一梯队（Top 10%）：部门的标杆。</t>
        </is>
      </c>
      <c r="AO221" s="2" t="inlineStr">
        <is>
          <t>A.核心管理/专家：具备成为部门负责人或顶尖专家的潜质。</t>
        </is>
      </c>
      <c r="AP221" s="2" t="inlineStr">
        <is>
          <t>A.晴天霹雳：极其遗憾，会不惜代价挽留，他是部门的支柱。</t>
        </is>
      </c>
      <c r="AQ221" s="2" t="inlineStr">
        <is>
          <t>S</t>
        </is>
      </c>
      <c r="AR221" s="2" t="inlineStr">
        <is>
          <t>S</t>
        </is>
      </c>
      <c r="AS221" s="2" t="inlineStr">
        <is>
          <t>一致</t>
        </is>
      </c>
      <c r="AT221" s="2" t="inlineStr">
        <is>
          <t>S</t>
        </is>
      </c>
      <c r="AU221" s="2"/>
      <c r="AV221" s="3"/>
      <c r="AW221" s="3"/>
      <c r="AX221" s="3"/>
      <c r="AY221" s="2" t="inlineStr">
        <is>
          <t>A</t>
        </is>
      </c>
      <c r="AZ221" s="2" t="inlineStr">
        <is>
          <t>成哲辉，该成员工作至今，先后经历项目技术类工作、技术中心研发类工作。
自2024年开始介入研发工作，逐步成为研发组的中流砥柱，当前为研发组的临时主管。在工作过程中承上启下，为组内成员梳理思路、解决问题，与其他组紧密沟通，一定程度上解决了信息不畅通导致的工作重复和工作方向有所偏颇的问题。带领组员及时甚至超前完成相关课题。
工作态度勤勤恳恳，研发组没有加班的强制性要求，但作为主管及主管前，均能以课题和技术中心工作进展为重，主动加班，在工作过程中与直属主管保持密切沟通，保持信息流畅通。
相关考勤、日志、绩效等相关数据详见氚云数据仪表盘。</t>
        </is>
      </c>
      <c r="BA221" s="7" t="n">
        <v>5</v>
      </c>
      <c r="BB221" s="7" t="n">
        <v>5</v>
      </c>
      <c r="BC221" s="7" t="n">
        <v>5</v>
      </c>
      <c r="BD221" s="7" t="n">
        <v>5</v>
      </c>
      <c r="BE221" s="7" t="n">
        <v>5</v>
      </c>
      <c r="BF221" s="7" t="n">
        <v>5</v>
      </c>
      <c r="BG221" s="7" t="n">
        <v>5</v>
      </c>
      <c r="BH221" s="7" t="n">
        <v>5</v>
      </c>
      <c r="BI221" s="7" t="n">
        <v>5</v>
      </c>
      <c r="BJ221" s="7" t="n">
        <v>5</v>
      </c>
      <c r="BK221" s="7" t="n">
        <v>5</v>
      </c>
      <c r="BL221" s="7" t="n">
        <v>5</v>
      </c>
      <c r="BM221" s="7" t="n">
        <v>5</v>
      </c>
      <c r="BN221" s="7" t="n">
        <v>5</v>
      </c>
      <c r="BO221" s="7" t="n">
        <v>5</v>
      </c>
      <c r="BP221" s="7" t="n">
        <v>5</v>
      </c>
      <c r="BQ221" s="7" t="n">
        <v>5</v>
      </c>
      <c r="BR221" s="7" t="n">
        <v>5</v>
      </c>
      <c r="BS221" s="7" t="n">
        <v>5</v>
      </c>
      <c r="BT221" s="7" t="n">
        <v>5</v>
      </c>
      <c r="BU221" s="7" t="n">
        <v>100</v>
      </c>
      <c r="BV221" s="2" t="inlineStr">
        <is>
          <t>A.需要存在，不可去除</t>
        </is>
      </c>
      <c r="BW221" s="2"/>
      <c r="BX221" s="2"/>
      <c r="BY221" s="6">
        <f>HYPERLINK("https://www.h3yun.com/Form/Attachments/?schemacode=D148357733993cc00c048ad9898e53f5f82cbb9&amp;bizObjectId=7918c0bd-5958-4167-883c-a0e04e69fe3a&amp;name=F0000016","点击查看")</f>
        <v>0</v>
      </c>
      <c r="BZ221" s="2" t="inlineStr">
        <is>
          <t>2026-04-30 16:01:54</t>
        </is>
      </c>
      <c r="CA221" s="2" t="inlineStr">
        <is>
          <t>S</t>
        </is>
      </c>
      <c r="CB221" s="2" t="inlineStr">
        <is>
          <t>已提交</t>
        </is>
      </c>
      <c r="CC221" s="2" t="inlineStr">
        <is>
          <t>助理工程师</t>
        </is>
      </c>
      <c r="CD221" s="2" t="inlineStr">
        <is>
          <t>无</t>
        </is>
      </c>
      <c r="CE221" s="2" t="inlineStr">
        <is>
          <t>无</t>
        </is>
      </c>
      <c r="CF221" s="2"/>
      <c r="CG221" s="2" t="inlineStr">
        <is>
          <t>320112199808080418</t>
        </is>
      </c>
      <c r="CH221" s="2" t="inlineStr">
        <is>
          <t>已生效</t>
        </is>
      </c>
      <c r="CI221" s="2" t="inlineStr">
        <is>
          <t>2d11141e-8eb7-4619-872b-2d7093147a71</t>
        </is>
      </c>
      <c r="CJ221" s="3" t="n">
        <v>1</v>
      </c>
      <c r="CK221" s="2" t="inlineStr">
        <is>
          <t>近三年至少担任过一个合同额 2000万元以上项目的项目经理、施工经理、技术负责人(项目总工程师)、安全经理、质量经理、采购经理、合同控制经理、设计经理等关键岗位中的一个</t>
        </is>
      </c>
      <c r="CL221" s="2" t="inlineStr">
        <is>
          <t>近三年至少担任过一个合同额 2000万元以上项目的项目经理、施工经理、技术负责人(项目总工程师)、安全经理、质量经理、采购经理、合同控制经理、设计经理等关键岗位中的一个</t>
        </is>
      </c>
      <c r="CM221" s="2" t="inlineStr">
        <is>
          <t>南化建司劳2017-1号文-南京南化建设有限公司施工一线专业序列人员分级管理规定</t>
        </is>
      </c>
      <c r="CN221" s="2" t="inlineStr">
        <is>
          <t>第三章第1条A类</t>
        </is>
      </c>
      <c r="CO221" s="2"/>
      <c r="CP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t="inlineStr">
        <is>
          <t>2a768225-110c-4abf-b247-599ca9843cd7</t>
        </is>
      </c>
      <c r="CJ222" s="3" t="n">
        <v>2</v>
      </c>
      <c r="CK222" s="2" t="inlineStr">
        <is>
          <t>公司二级单位或公司职能部门推荐</t>
        </is>
      </c>
      <c r="CL222" s="2" t="inlineStr">
        <is>
          <t>公司二级单位或公司职能部门推荐</t>
        </is>
      </c>
      <c r="CM222" s="2" t="inlineStr">
        <is>
          <t>南化建司劳2017-1号文-南京南化建设有限公司施工一线专业序列人员分级管理规定</t>
        </is>
      </c>
      <c r="CN222" s="2" t="inlineStr">
        <is>
          <t>第三章第1条A类</t>
        </is>
      </c>
      <c r="CO222" s="2"/>
      <c r="CP222" s="2"/>
    </row>
    <row r="223">
      <c r="A223" s="2" t="inlineStr">
        <is>
          <t>7c2589c9-507a-40e9-a385-9664992e2e97</t>
        </is>
      </c>
      <c r="B223" s="2" t="inlineStr">
        <is>
          <t>C.均衡，工作负荷一般，按部就班完成工作，除了突发时间几乎不用加班</t>
        </is>
      </c>
      <c r="C223" s="2" t="inlineStr">
        <is>
          <t>人力资源部    高娟妮    女    张香梅</t>
        </is>
      </c>
      <c r="D223" s="2" t="inlineStr">
        <is>
          <t>张香梅</t>
        </is>
      </c>
      <c r="E223" s="2" t="inlineStr">
        <is>
          <t>张香梅</t>
        </is>
      </c>
      <c r="F223" s="2" t="inlineStr">
        <is>
          <t>人力资源部</t>
        </is>
      </c>
      <c r="G223" s="2" t="inlineStr">
        <is>
          <t>2026-05-25 10:56:15</t>
        </is>
      </c>
      <c r="H223" s="2" t="inlineStr">
        <is>
          <t>张香梅</t>
        </is>
      </c>
      <c r="I223" s="2" t="inlineStr">
        <is>
          <t>610404197502101024</t>
        </is>
      </c>
      <c r="J223" s="2" t="inlineStr">
        <is>
          <t>女</t>
        </is>
      </c>
      <c r="K223" s="2" t="inlineStr">
        <is>
          <t>人力资源部</t>
        </is>
      </c>
      <c r="L223" s="2" t="inlineStr">
        <is>
          <t>1995-08-31</t>
        </is>
      </c>
      <c r="M223" s="2" t="inlineStr">
        <is>
          <t>江苏省自学考试中心</t>
        </is>
      </c>
      <c r="N223" s="2" t="inlineStr">
        <is>
          <t>其他</t>
        </is>
      </c>
      <c r="O223" s="2" t="inlineStr">
        <is>
          <t>大专</t>
        </is>
      </c>
      <c r="P223" s="2" t="inlineStr">
        <is>
          <t>人力资源部</t>
        </is>
      </c>
      <c r="Q223" s="2" t="inlineStr">
        <is>
          <t>高娟妮</t>
        </is>
      </c>
      <c r="R223" s="2" t="inlineStr">
        <is>
          <t>女</t>
        </is>
      </c>
      <c r="S223" s="2" t="inlineStr">
        <is>
          <t>2018-02-01</t>
        </is>
      </c>
      <c r="T223" s="2" t="inlineStr">
        <is>
          <t>专业工程师</t>
        </is>
      </c>
      <c r="U223" s="2" t="inlineStr">
        <is>
          <t>陕西经济管理职业技术学院</t>
        </is>
      </c>
      <c r="V223" s="2" t="inlineStr">
        <is>
          <t>其他</t>
        </is>
      </c>
      <c r="W223" s="2" t="inlineStr">
        <is>
          <t>大专</t>
        </is>
      </c>
      <c r="X223" s="2" t="inlineStr">
        <is>
          <t>C.拖沓被动：需要主管反复催促，才能勉强按时交差。</t>
        </is>
      </c>
      <c r="Y223" s="2" t="inlineStr">
        <is>
          <t>B.基本稳定：偶有小瑕疵，但不影响整体使用。</t>
        </is>
      </c>
      <c r="Z223" s="2" t="inlineStr">
        <is>
          <t>B.比较省心：只需定期同步一下进度，不需要主管盯着细节，能独立把事情办成。</t>
        </is>
      </c>
      <c r="AA223" s="2" t="inlineStr">
        <is>
          <t>A.全局视野：了解上下游，能站在全业务链条考虑问题。</t>
        </is>
      </c>
      <c r="AB223" s="2" t="inlineStr">
        <is>
          <t>B.尽力而为：能解决大部分问题，解决不了的会及时求助。</t>
        </is>
      </c>
      <c r="AC223" s="2" t="inlineStr">
        <is>
          <t>A.模范标兵：严于律己，从未在琐事上让主管费心。</t>
        </is>
      </c>
      <c r="AD223" s="2" t="inlineStr">
        <is>
          <t>C.照章办事：给多少干多少，完全按老规矩来，从不思考变革</t>
        </is>
      </c>
      <c r="AE223" s="2" t="inlineStr">
        <is>
          <t>B.正常沟通：能清晰表达需求，维持基本的协作。</t>
        </is>
      </c>
      <c r="AF223" s="2" t="inlineStr">
        <is>
          <t>B.有问有答：问到时能说清楚进度，基本能做到及时反馈。</t>
        </is>
      </c>
      <c r="AG223" s="2" t="inlineStr">
        <is>
          <t>B.稳定器：做好自己，不给团队添乱，是可靠的一员。</t>
        </is>
      </c>
      <c r="AH223" s="2" t="inlineStr">
        <is>
          <t>A.整合高手：能迅速找到能帮上忙的人和资源，借力打力解决问题。</t>
        </is>
      </c>
      <c r="AI223" s="2" t="inlineStr">
        <is>
          <t>B. 配合接受：主管安排了就干，不推辞。</t>
        </is>
      </c>
      <c r="AJ223" s="2" t="inlineStr">
        <is>
          <t>B.配合度高：虽然有压力，但能服从大局，咬牙顶上去，且质量尚可。</t>
        </is>
      </c>
      <c r="AK223" s="2" t="inlineStr">
        <is>
          <t>B.照单全收：态度很好，虽然不一定完全理解，但会按要求改。</t>
        </is>
      </c>
      <c r="AL223" s="2" t="inlineStr">
        <is>
          <t>C.慢工细活：需要反复教，掌握过程比较吃力。</t>
        </is>
      </c>
      <c r="AM223" s="2" t="inlineStr">
        <is>
          <t>B.愿意传帮带：平时爱分享避坑指南，能带徒弟。</t>
        </is>
      </c>
      <c r="AN223" s="2" t="inlineStr">
        <is>
          <t>C.中规中矩：刚好达标，替代性较强。</t>
        </is>
      </c>
      <c r="AO223" s="2" t="inlineStr">
        <is>
          <t>C.熟练工：能胜任重复性工作，但很难承担更高阶的挑战。</t>
        </is>
      </c>
      <c r="AP223" s="2" t="inlineStr">
        <is>
          <t>C.正常更替：走就走吧，招个新人培养一下也没什么区别。</t>
        </is>
      </c>
      <c r="AQ223" s="2" t="inlineStr">
        <is>
          <t>B</t>
        </is>
      </c>
      <c r="AR223" s="2" t="inlineStr">
        <is>
          <t>B</t>
        </is>
      </c>
      <c r="AS223" s="2" t="inlineStr">
        <is>
          <t>一致</t>
        </is>
      </c>
      <c r="AT223" s="2" t="inlineStr">
        <is>
          <t>B</t>
        </is>
      </c>
      <c r="AU223" s="2" t="inlineStr">
        <is>
          <t>1档</t>
        </is>
      </c>
      <c r="AV223" s="3" t="n">
        <v>7600</v>
      </c>
      <c r="AW223" s="3" t="n">
        <v>6080</v>
      </c>
      <c r="AX223" s="3" t="n">
        <v>9120</v>
      </c>
      <c r="AY223" s="2" t="inlineStr">
        <is>
          <t>C</t>
        </is>
      </c>
      <c r="AZ223" s="2" t="inlineStr">
        <is>
          <t>该同志 2018 年入职公司人力资源部，工作认真务实、责任心强，服从工作安排，综合表现较好。入职初期圆满完成文莱项目部出境人员团体险相关工作；后续负责外聘人员合同管理与薪资发放，流程规范、核算精准，圆满完成各项工作。自 2020 年起专职负责员工证书管理及培训工作，健全证书台账、做好取证复审与风险排查，保障公司资质合规，积极配合推进各项培训工作。2025 年新增承担马来西亚分公司中外员工薪资及综合事务，统筹兼顾，有相当好的抗压性能力。该同志刚接触新事物时会有一点畏难情绪，但很快能克服，谦逊好学、团结同事，能快速适配岗位变化，认真履职。</t>
        </is>
      </c>
      <c r="BA223" s="7" t="n">
        <v>2</v>
      </c>
      <c r="BB223" s="7" t="n">
        <v>4</v>
      </c>
      <c r="BC223" s="7" t="n">
        <v>4</v>
      </c>
      <c r="BD223" s="7" t="n">
        <v>5</v>
      </c>
      <c r="BE223" s="7" t="n">
        <v>4</v>
      </c>
      <c r="BF223" s="7" t="n">
        <v>5</v>
      </c>
      <c r="BG223" s="7" t="n">
        <v>3</v>
      </c>
      <c r="BH223" s="7" t="n">
        <v>3.5</v>
      </c>
      <c r="BI223" s="7" t="n">
        <v>4</v>
      </c>
      <c r="BJ223" s="7" t="n">
        <v>4</v>
      </c>
      <c r="BK223" s="7" t="n">
        <v>5</v>
      </c>
      <c r="BL223" s="7" t="n">
        <v>4</v>
      </c>
      <c r="BM223" s="7" t="n">
        <v>3</v>
      </c>
      <c r="BN223" s="7" t="n">
        <v>4</v>
      </c>
      <c r="BO223" s="7" t="n">
        <v>3</v>
      </c>
      <c r="BP223" s="7" t="n">
        <v>2</v>
      </c>
      <c r="BQ223" s="7" t="n">
        <v>4</v>
      </c>
      <c r="BR223" s="7" t="n">
        <v>3</v>
      </c>
      <c r="BS223" s="7" t="n">
        <v>3</v>
      </c>
      <c r="BT223" s="7" t="n">
        <v>3</v>
      </c>
      <c r="BU223" s="7" t="n">
        <v>72.5</v>
      </c>
      <c r="BV223" s="2" t="inlineStr">
        <is>
          <t>A.需要存在，不可去除</t>
        </is>
      </c>
      <c r="BW223" s="2"/>
      <c r="BX223" s="2"/>
      <c r="BY223" s="6">
        <f>HYPERLINK("https://www.h3yun.com/Form/Attachments/?schemacode=D148357733993cc00c048ad9898e53f5f82cbb9&amp;bizObjectId=7c2589c9-507a-40e9-a385-9664992e2e97&amp;name=F0000016","点击查看")</f>
        <v>0</v>
      </c>
      <c r="BZ223" s="2" t="inlineStr">
        <is>
          <t>2026-04-24 17:05:46</t>
        </is>
      </c>
      <c r="CA223" s="2" t="inlineStr">
        <is>
          <t>B</t>
        </is>
      </c>
      <c r="CB223" s="2" t="inlineStr">
        <is>
          <t>已提交</t>
        </is>
      </c>
      <c r="CC223" s="2" t="inlineStr">
        <is>
          <t>助理工程师、经济师（人力资源）</t>
        </is>
      </c>
      <c r="CD223" s="2" t="inlineStr">
        <is>
          <t>中级经济师（人力资源管理）</t>
        </is>
      </c>
      <c r="CE223" s="2" t="inlineStr">
        <is>
          <t>无</t>
        </is>
      </c>
      <c r="CF223" s="2"/>
      <c r="CG223" s="2" t="inlineStr">
        <is>
          <t>610581198506034423</t>
        </is>
      </c>
      <c r="CH223" s="2" t="inlineStr">
        <is>
          <t>已生效</t>
        </is>
      </c>
      <c r="CI223" s="2" t="inlineStr">
        <is>
          <t>245804c5-182f-4d9e-8c80-415ea1a6e726</t>
        </is>
      </c>
      <c r="CJ223" s="3" t="n">
        <v>1</v>
      </c>
      <c r="CK223" s="2" t="inlineStr">
        <is>
          <t>近三年至少担任过一个合同额1000万元以上项目相应岗位的主管</t>
        </is>
      </c>
      <c r="CL223" s="2" t="inlineStr">
        <is>
          <t>近三年至少担任过一个合同额1000万元以上项目相应岗位的主管</t>
        </is>
      </c>
      <c r="CM223" s="2" t="inlineStr">
        <is>
          <t>南化建司劳2017-1号文-南京南化建设有限公司施工一线专业序列人员分级管理规定</t>
        </is>
      </c>
      <c r="CN223" s="2" t="inlineStr">
        <is>
          <t>第三章第3条C类</t>
        </is>
      </c>
      <c r="CO223" s="2"/>
      <c r="CP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t="inlineStr">
        <is>
          <t>c6bff3ca-d276-441f-8274-c6daf68a182b</t>
        </is>
      </c>
      <c r="CJ224" s="3" t="n">
        <v>2</v>
      </c>
      <c r="CK224" s="2" t="inlineStr">
        <is>
          <t>公司二级单位或公司职能部门推荐</t>
        </is>
      </c>
      <c r="CL224" s="2" t="inlineStr">
        <is>
          <t>公司二级单位或公司职能部门推荐</t>
        </is>
      </c>
      <c r="CM224" s="2" t="inlineStr">
        <is>
          <t>南化建司劳2017-1号文-南京南化建设有限公司施工一线专业序列人员分级管理规定</t>
        </is>
      </c>
      <c r="CN224" s="2" t="inlineStr">
        <is>
          <t>第三章第3条C类</t>
        </is>
      </c>
      <c r="CO224" s="2"/>
      <c r="CP224" s="2"/>
    </row>
  </sheetData>
  <mergeCells>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U5:U6"/>
    <mergeCell ref="V5:V6"/>
    <mergeCell ref="W5:W6"/>
    <mergeCell ref="X5:X6"/>
    <mergeCell ref="Y5:Y6"/>
    <mergeCell ref="Z5:Z6"/>
    <mergeCell ref="AA5:AA6"/>
    <mergeCell ref="AB5:AB6"/>
    <mergeCell ref="AC5:AC6"/>
    <mergeCell ref="AD5:AD6"/>
    <mergeCell ref="AE5:AE6"/>
    <mergeCell ref="AF5:AF6"/>
    <mergeCell ref="AG5:AG6"/>
    <mergeCell ref="AH5:AH6"/>
    <mergeCell ref="AI5:AI6"/>
    <mergeCell ref="AJ5:AJ6"/>
    <mergeCell ref="AK5:AK6"/>
    <mergeCell ref="AL5:AL6"/>
    <mergeCell ref="AM5:AM6"/>
    <mergeCell ref="AN5:AN6"/>
    <mergeCell ref="AO5:AO6"/>
    <mergeCell ref="AP5:AP6"/>
    <mergeCell ref="AQ5:AQ6"/>
    <mergeCell ref="AR5:AR6"/>
    <mergeCell ref="AS5:AS6"/>
    <mergeCell ref="AT5:AT6"/>
    <mergeCell ref="AU5:AU6"/>
    <mergeCell ref="AV5:AV6"/>
    <mergeCell ref="AW5:AW6"/>
    <mergeCell ref="AX5:AX6"/>
    <mergeCell ref="AY5:AY6"/>
    <mergeCell ref="AZ5:AZ6"/>
    <mergeCell ref="BA5:BA6"/>
    <mergeCell ref="BB5:BB6"/>
    <mergeCell ref="BC5:BC6"/>
    <mergeCell ref="BD5:BD6"/>
    <mergeCell ref="BE5:BE6"/>
    <mergeCell ref="BF5:BF6"/>
    <mergeCell ref="BG5:BG6"/>
    <mergeCell ref="BH5:BH6"/>
    <mergeCell ref="BI5:BI6"/>
    <mergeCell ref="BJ5:BJ6"/>
    <mergeCell ref="BK5:BK6"/>
    <mergeCell ref="BL5:BL6"/>
    <mergeCell ref="BM5:BM6"/>
    <mergeCell ref="BN5:BN6"/>
    <mergeCell ref="BO5:BO6"/>
    <mergeCell ref="BP5:BP6"/>
    <mergeCell ref="BQ5:BQ6"/>
    <mergeCell ref="BR5:BR6"/>
    <mergeCell ref="BS5:BS6"/>
    <mergeCell ref="BT5:BT6"/>
    <mergeCell ref="BU5:BU6"/>
    <mergeCell ref="BV5:BV6"/>
    <mergeCell ref="BW5:BW6"/>
    <mergeCell ref="BX5:BX6"/>
    <mergeCell ref="BY5:BY6"/>
    <mergeCell ref="BZ5:BZ6"/>
    <mergeCell ref="CA5:CA6"/>
    <mergeCell ref="CB5:CB6"/>
    <mergeCell ref="CC5:CC6"/>
    <mergeCell ref="CD5:CD6"/>
    <mergeCell ref="CE5:CE6"/>
    <mergeCell ref="CF5:CF6"/>
    <mergeCell ref="CG5:CG6"/>
    <mergeCell ref="CH5:CH6"/>
    <mergeCell ref="A7:A8"/>
    <mergeCell ref="B7:B8"/>
    <mergeCell ref="C7:C8"/>
    <mergeCell ref="D7:D8"/>
    <mergeCell ref="E7:E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7:U8"/>
    <mergeCell ref="V7:V8"/>
    <mergeCell ref="W7:W8"/>
    <mergeCell ref="X7:X8"/>
    <mergeCell ref="Y7:Y8"/>
    <mergeCell ref="Z7:Z8"/>
    <mergeCell ref="AA7:AA8"/>
    <mergeCell ref="AB7:AB8"/>
    <mergeCell ref="AC7:AC8"/>
    <mergeCell ref="AD7:AD8"/>
    <mergeCell ref="AE7:AE8"/>
    <mergeCell ref="AF7:AF8"/>
    <mergeCell ref="AG7:AG8"/>
    <mergeCell ref="AH7:AH8"/>
    <mergeCell ref="AI7:AI8"/>
    <mergeCell ref="AJ7:AJ8"/>
    <mergeCell ref="AK7:AK8"/>
    <mergeCell ref="AL7:AL8"/>
    <mergeCell ref="AM7:AM8"/>
    <mergeCell ref="AN7:AN8"/>
    <mergeCell ref="AO7:AO8"/>
    <mergeCell ref="AP7:AP8"/>
    <mergeCell ref="AQ7:AQ8"/>
    <mergeCell ref="AR7:AR8"/>
    <mergeCell ref="AS7:AS8"/>
    <mergeCell ref="AT7:AT8"/>
    <mergeCell ref="AU7:AU8"/>
    <mergeCell ref="AV7:AV8"/>
    <mergeCell ref="AW7:AW8"/>
    <mergeCell ref="AX7:AX8"/>
    <mergeCell ref="AY7:AY8"/>
    <mergeCell ref="AZ7:AZ8"/>
    <mergeCell ref="BA7:BA8"/>
    <mergeCell ref="BB7:BB8"/>
    <mergeCell ref="BC7:BC8"/>
    <mergeCell ref="BD7:BD8"/>
    <mergeCell ref="BE7:BE8"/>
    <mergeCell ref="BF7:BF8"/>
    <mergeCell ref="BG7:BG8"/>
    <mergeCell ref="BH7:BH8"/>
    <mergeCell ref="BI7:BI8"/>
    <mergeCell ref="BJ7:BJ8"/>
    <mergeCell ref="BK7:BK8"/>
    <mergeCell ref="BL7:BL8"/>
    <mergeCell ref="BM7:BM8"/>
    <mergeCell ref="BN7:BN8"/>
    <mergeCell ref="BO7:BO8"/>
    <mergeCell ref="BP7:BP8"/>
    <mergeCell ref="BQ7:BQ8"/>
    <mergeCell ref="BR7:BR8"/>
    <mergeCell ref="BS7:BS8"/>
    <mergeCell ref="BT7:BT8"/>
    <mergeCell ref="BU7:BU8"/>
    <mergeCell ref="BV7:BV8"/>
    <mergeCell ref="BW7:BW8"/>
    <mergeCell ref="BX7:BX8"/>
    <mergeCell ref="BY7:BY8"/>
    <mergeCell ref="BZ7:BZ8"/>
    <mergeCell ref="CA7:CA8"/>
    <mergeCell ref="CB7:CB8"/>
    <mergeCell ref="CC7:CC8"/>
    <mergeCell ref="CD7:CD8"/>
    <mergeCell ref="CE7:CE8"/>
    <mergeCell ref="CF7:CF8"/>
    <mergeCell ref="CG7:CG8"/>
    <mergeCell ref="CH7:CH8"/>
    <mergeCell ref="A9:A10"/>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P9:P10"/>
    <mergeCell ref="Q9:Q10"/>
    <mergeCell ref="R9:R10"/>
    <mergeCell ref="S9:S10"/>
    <mergeCell ref="T9:T10"/>
    <mergeCell ref="U9:U10"/>
    <mergeCell ref="V9:V10"/>
    <mergeCell ref="W9:W10"/>
    <mergeCell ref="X9:X10"/>
    <mergeCell ref="Y9:Y10"/>
    <mergeCell ref="Z9:Z10"/>
    <mergeCell ref="AA9:AA10"/>
    <mergeCell ref="AB9:AB10"/>
    <mergeCell ref="AC9:AC10"/>
    <mergeCell ref="AD9:AD10"/>
    <mergeCell ref="AE9:AE10"/>
    <mergeCell ref="AF9:AF10"/>
    <mergeCell ref="AG9:AG10"/>
    <mergeCell ref="AH9:AH10"/>
    <mergeCell ref="AI9:AI10"/>
    <mergeCell ref="AJ9:AJ10"/>
    <mergeCell ref="AK9:AK10"/>
    <mergeCell ref="AL9:AL10"/>
    <mergeCell ref="AM9:AM10"/>
    <mergeCell ref="AN9:AN10"/>
    <mergeCell ref="AO9:AO10"/>
    <mergeCell ref="AP9:AP10"/>
    <mergeCell ref="AQ9:AQ10"/>
    <mergeCell ref="AR9:AR10"/>
    <mergeCell ref="AS9:AS10"/>
    <mergeCell ref="AT9:AT10"/>
    <mergeCell ref="AU9:AU10"/>
    <mergeCell ref="AV9:AV10"/>
    <mergeCell ref="AW9:AW10"/>
    <mergeCell ref="AX9:AX10"/>
    <mergeCell ref="AY9:AY10"/>
    <mergeCell ref="AZ9:AZ10"/>
    <mergeCell ref="BA9:BA10"/>
    <mergeCell ref="BB9:BB10"/>
    <mergeCell ref="BC9:BC10"/>
    <mergeCell ref="BD9:BD10"/>
    <mergeCell ref="BE9:BE10"/>
    <mergeCell ref="BF9:BF10"/>
    <mergeCell ref="BG9:BG10"/>
    <mergeCell ref="BH9:BH10"/>
    <mergeCell ref="BI9:BI10"/>
    <mergeCell ref="BJ9:BJ10"/>
    <mergeCell ref="BK9:BK10"/>
    <mergeCell ref="BL9:BL10"/>
    <mergeCell ref="BM9:BM10"/>
    <mergeCell ref="BN9:BN10"/>
    <mergeCell ref="BO9:BO10"/>
    <mergeCell ref="BP9:BP10"/>
    <mergeCell ref="BQ9:BQ10"/>
    <mergeCell ref="BR9:BR10"/>
    <mergeCell ref="BS9:BS10"/>
    <mergeCell ref="BT9:BT10"/>
    <mergeCell ref="BU9:BU10"/>
    <mergeCell ref="BV9:BV10"/>
    <mergeCell ref="BW9:BW10"/>
    <mergeCell ref="BX9:BX10"/>
    <mergeCell ref="BY9:BY10"/>
    <mergeCell ref="BZ9:BZ10"/>
    <mergeCell ref="CA9:CA10"/>
    <mergeCell ref="CB9:CB10"/>
    <mergeCell ref="CC9:CC10"/>
    <mergeCell ref="CD9:CD10"/>
    <mergeCell ref="CE9:CE10"/>
    <mergeCell ref="CF9:CF10"/>
    <mergeCell ref="CG9:CG10"/>
    <mergeCell ref="CH9:CH10"/>
    <mergeCell ref="A11:A12"/>
    <mergeCell ref="B11:B12"/>
    <mergeCell ref="C11:C12"/>
    <mergeCell ref="D11:D12"/>
    <mergeCell ref="E11:E12"/>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Y11:Y12"/>
    <mergeCell ref="Z11:Z12"/>
    <mergeCell ref="AA11:AA12"/>
    <mergeCell ref="AB11:AB12"/>
    <mergeCell ref="AC11:AC12"/>
    <mergeCell ref="AD11:AD12"/>
    <mergeCell ref="AE11:AE12"/>
    <mergeCell ref="AF11:AF12"/>
    <mergeCell ref="AG11:AG12"/>
    <mergeCell ref="AH11:AH12"/>
    <mergeCell ref="AI11:AI12"/>
    <mergeCell ref="AJ11:AJ12"/>
    <mergeCell ref="AK11:AK12"/>
    <mergeCell ref="AL11:AL12"/>
    <mergeCell ref="AM11:AM12"/>
    <mergeCell ref="AN11:AN12"/>
    <mergeCell ref="AO11:AO12"/>
    <mergeCell ref="AP11:AP12"/>
    <mergeCell ref="AQ11:AQ12"/>
    <mergeCell ref="AR11:AR12"/>
    <mergeCell ref="AS11:AS12"/>
    <mergeCell ref="AT11:AT12"/>
    <mergeCell ref="AU11:AU12"/>
    <mergeCell ref="AV11:AV12"/>
    <mergeCell ref="AW11:AW12"/>
    <mergeCell ref="AX11:AX12"/>
    <mergeCell ref="AY11:AY12"/>
    <mergeCell ref="AZ11:AZ12"/>
    <mergeCell ref="BA11:BA12"/>
    <mergeCell ref="BB11:BB12"/>
    <mergeCell ref="BC11:BC12"/>
    <mergeCell ref="BD11:BD12"/>
    <mergeCell ref="BE11:BE12"/>
    <mergeCell ref="BF11:BF12"/>
    <mergeCell ref="BG11:BG12"/>
    <mergeCell ref="BH11:BH12"/>
    <mergeCell ref="BI11:BI12"/>
    <mergeCell ref="BJ11:BJ12"/>
    <mergeCell ref="BK11:BK12"/>
    <mergeCell ref="BL11:BL12"/>
    <mergeCell ref="BM11:BM12"/>
    <mergeCell ref="BN11:BN12"/>
    <mergeCell ref="BO11:BO12"/>
    <mergeCell ref="BP11:BP12"/>
    <mergeCell ref="BQ11:BQ12"/>
    <mergeCell ref="BR11:BR12"/>
    <mergeCell ref="BS11:BS12"/>
    <mergeCell ref="BT11:BT12"/>
    <mergeCell ref="BU11:BU12"/>
    <mergeCell ref="BV11:BV12"/>
    <mergeCell ref="BW11:BW12"/>
    <mergeCell ref="BX11:BX12"/>
    <mergeCell ref="BY11:BY12"/>
    <mergeCell ref="BZ11:BZ12"/>
    <mergeCell ref="CA11:CA12"/>
    <mergeCell ref="CB11:CB12"/>
    <mergeCell ref="CC11:CC12"/>
    <mergeCell ref="CD11:CD12"/>
    <mergeCell ref="CE11:CE12"/>
    <mergeCell ref="CF11:CF12"/>
    <mergeCell ref="CG11:CG12"/>
    <mergeCell ref="CH11:CH12"/>
    <mergeCell ref="A13:A14"/>
    <mergeCell ref="B13:B14"/>
    <mergeCell ref="C13:C14"/>
    <mergeCell ref="D13:D14"/>
    <mergeCell ref="E13:E14"/>
    <mergeCell ref="F13:F14"/>
    <mergeCell ref="G13:G14"/>
    <mergeCell ref="H13:H14"/>
    <mergeCell ref="I13:I14"/>
    <mergeCell ref="J13:J14"/>
    <mergeCell ref="K13:K14"/>
    <mergeCell ref="L13:L14"/>
    <mergeCell ref="M13:M14"/>
    <mergeCell ref="N13:N14"/>
    <mergeCell ref="O13:O14"/>
    <mergeCell ref="P13:P14"/>
    <mergeCell ref="Q13:Q14"/>
    <mergeCell ref="R13:R14"/>
    <mergeCell ref="S13:S14"/>
    <mergeCell ref="T13:T14"/>
    <mergeCell ref="U13:U14"/>
    <mergeCell ref="V13:V14"/>
    <mergeCell ref="W13:W14"/>
    <mergeCell ref="X13:X14"/>
    <mergeCell ref="Y13:Y14"/>
    <mergeCell ref="Z13:Z14"/>
    <mergeCell ref="AA13:AA14"/>
    <mergeCell ref="AB13:AB14"/>
    <mergeCell ref="AC13:AC14"/>
    <mergeCell ref="AD13:AD14"/>
    <mergeCell ref="AE13:AE14"/>
    <mergeCell ref="AF13:AF14"/>
    <mergeCell ref="AG13:AG14"/>
    <mergeCell ref="AH13:AH14"/>
    <mergeCell ref="AI13:AI14"/>
    <mergeCell ref="AJ13:AJ14"/>
    <mergeCell ref="AK13:AK14"/>
    <mergeCell ref="AL13:AL14"/>
    <mergeCell ref="AM13:AM14"/>
    <mergeCell ref="AN13:AN14"/>
    <mergeCell ref="AO13:AO14"/>
    <mergeCell ref="AP13:AP14"/>
    <mergeCell ref="AQ13:AQ14"/>
    <mergeCell ref="AR13:AR14"/>
    <mergeCell ref="AS13:AS14"/>
    <mergeCell ref="AT13:AT14"/>
    <mergeCell ref="AU13:AU14"/>
    <mergeCell ref="AV13:AV14"/>
    <mergeCell ref="AW13:AW14"/>
    <mergeCell ref="AX13:AX14"/>
    <mergeCell ref="AY13:AY14"/>
    <mergeCell ref="AZ13:AZ14"/>
    <mergeCell ref="BA13:BA14"/>
    <mergeCell ref="BB13:BB14"/>
    <mergeCell ref="BC13:BC14"/>
    <mergeCell ref="BD13:BD14"/>
    <mergeCell ref="BE13:BE14"/>
    <mergeCell ref="BF13:BF14"/>
    <mergeCell ref="BG13:BG14"/>
    <mergeCell ref="BH13:BH14"/>
    <mergeCell ref="BI13:BI14"/>
    <mergeCell ref="BJ13:BJ14"/>
    <mergeCell ref="BK13:BK14"/>
    <mergeCell ref="BL13:BL14"/>
    <mergeCell ref="BM13:BM14"/>
    <mergeCell ref="BN13:BN14"/>
    <mergeCell ref="BO13:BO14"/>
    <mergeCell ref="BP13:BP14"/>
    <mergeCell ref="BQ13:BQ14"/>
    <mergeCell ref="BR13:BR14"/>
    <mergeCell ref="BS13:BS14"/>
    <mergeCell ref="BT13:BT14"/>
    <mergeCell ref="BU13:BU14"/>
    <mergeCell ref="BV13:BV14"/>
    <mergeCell ref="BW13:BW14"/>
    <mergeCell ref="BX13:BX14"/>
    <mergeCell ref="BY13:BY14"/>
    <mergeCell ref="BZ13:BZ14"/>
    <mergeCell ref="CA13:CA14"/>
    <mergeCell ref="CB13:CB14"/>
    <mergeCell ref="CC13:CC14"/>
    <mergeCell ref="CD13:CD14"/>
    <mergeCell ref="CE13:CE14"/>
    <mergeCell ref="CF13:CF14"/>
    <mergeCell ref="CG13:CG14"/>
    <mergeCell ref="CH13:CH14"/>
    <mergeCell ref="A15:A16"/>
    <mergeCell ref="B15:B16"/>
    <mergeCell ref="C15:C16"/>
    <mergeCell ref="D15:D16"/>
    <mergeCell ref="E15:E16"/>
    <mergeCell ref="F15:F16"/>
    <mergeCell ref="G15:G16"/>
    <mergeCell ref="H15:H16"/>
    <mergeCell ref="I15:I16"/>
    <mergeCell ref="J15:J16"/>
    <mergeCell ref="K15:K16"/>
    <mergeCell ref="L15:L16"/>
    <mergeCell ref="M15:M16"/>
    <mergeCell ref="N15:N16"/>
    <mergeCell ref="O15:O16"/>
    <mergeCell ref="P15:P16"/>
    <mergeCell ref="Q15:Q16"/>
    <mergeCell ref="R15:R16"/>
    <mergeCell ref="S15:S16"/>
    <mergeCell ref="T15:T16"/>
    <mergeCell ref="U15:U16"/>
    <mergeCell ref="V15:V16"/>
    <mergeCell ref="W15:W16"/>
    <mergeCell ref="X15:X16"/>
    <mergeCell ref="Y15:Y16"/>
    <mergeCell ref="Z15:Z16"/>
    <mergeCell ref="AA15:AA16"/>
    <mergeCell ref="AB15:AB16"/>
    <mergeCell ref="AC15:AC16"/>
    <mergeCell ref="AD15:AD16"/>
    <mergeCell ref="AE15:AE16"/>
    <mergeCell ref="AF15:AF16"/>
    <mergeCell ref="AG15:AG16"/>
    <mergeCell ref="AH15:AH16"/>
    <mergeCell ref="AI15:AI16"/>
    <mergeCell ref="AJ15:AJ16"/>
    <mergeCell ref="AK15:AK16"/>
    <mergeCell ref="AL15:AL16"/>
    <mergeCell ref="AM15:AM16"/>
    <mergeCell ref="AN15:AN16"/>
    <mergeCell ref="AO15:AO16"/>
    <mergeCell ref="AP15:AP16"/>
    <mergeCell ref="AQ15:AQ16"/>
    <mergeCell ref="AR15:AR16"/>
    <mergeCell ref="AS15:AS16"/>
    <mergeCell ref="AT15:AT16"/>
    <mergeCell ref="AU15:AU16"/>
    <mergeCell ref="AV15:AV16"/>
    <mergeCell ref="AW15:AW16"/>
    <mergeCell ref="AX15:AX16"/>
    <mergeCell ref="AY15:AY16"/>
    <mergeCell ref="AZ15:AZ16"/>
    <mergeCell ref="BA15:BA16"/>
    <mergeCell ref="BB15:BB16"/>
    <mergeCell ref="BC15:BC16"/>
    <mergeCell ref="BD15:BD16"/>
    <mergeCell ref="BE15:BE16"/>
    <mergeCell ref="BF15:BF16"/>
    <mergeCell ref="BG15:BG16"/>
    <mergeCell ref="BH15:BH16"/>
    <mergeCell ref="BI15:BI16"/>
    <mergeCell ref="BJ15:BJ16"/>
    <mergeCell ref="BK15:BK16"/>
    <mergeCell ref="BL15:BL16"/>
    <mergeCell ref="BM15:BM16"/>
    <mergeCell ref="BN15:BN16"/>
    <mergeCell ref="BO15:BO16"/>
    <mergeCell ref="BP15:BP16"/>
    <mergeCell ref="BQ15:BQ16"/>
    <mergeCell ref="BR15:BR16"/>
    <mergeCell ref="BS15:BS16"/>
    <mergeCell ref="BT15:BT16"/>
    <mergeCell ref="BU15:BU16"/>
    <mergeCell ref="BV15:BV16"/>
    <mergeCell ref="BW15:BW16"/>
    <mergeCell ref="BX15:BX16"/>
    <mergeCell ref="BY15:BY16"/>
    <mergeCell ref="BZ15:BZ16"/>
    <mergeCell ref="CA15:CA16"/>
    <mergeCell ref="CB15:CB16"/>
    <mergeCell ref="CC15:CC16"/>
    <mergeCell ref="CD15:CD16"/>
    <mergeCell ref="CE15:CE16"/>
    <mergeCell ref="CF15:CF16"/>
    <mergeCell ref="CG15:CG16"/>
    <mergeCell ref="CH15:CH16"/>
    <mergeCell ref="A17:A18"/>
    <mergeCell ref="B17:B18"/>
    <mergeCell ref="C17:C18"/>
    <mergeCell ref="D17:D18"/>
    <mergeCell ref="E17:E18"/>
    <mergeCell ref="F17:F18"/>
    <mergeCell ref="G17:G18"/>
    <mergeCell ref="H17:H18"/>
    <mergeCell ref="I17:I18"/>
    <mergeCell ref="J17:J18"/>
    <mergeCell ref="K17:K18"/>
    <mergeCell ref="L17:L18"/>
    <mergeCell ref="M17:M18"/>
    <mergeCell ref="N17:N18"/>
    <mergeCell ref="O17:O18"/>
    <mergeCell ref="P17:P18"/>
    <mergeCell ref="Q17:Q18"/>
    <mergeCell ref="R17:R18"/>
    <mergeCell ref="S17:S18"/>
    <mergeCell ref="T17:T18"/>
    <mergeCell ref="U17:U18"/>
    <mergeCell ref="V17:V18"/>
    <mergeCell ref="W17:W18"/>
    <mergeCell ref="X17:X18"/>
    <mergeCell ref="Y17:Y18"/>
    <mergeCell ref="Z17:Z18"/>
    <mergeCell ref="AA17:AA18"/>
    <mergeCell ref="AB17:AB18"/>
    <mergeCell ref="AC17:AC18"/>
    <mergeCell ref="AD17:AD18"/>
    <mergeCell ref="AE17:AE18"/>
    <mergeCell ref="AF17:AF18"/>
    <mergeCell ref="AG17:AG18"/>
    <mergeCell ref="AH17:AH18"/>
    <mergeCell ref="AI17:AI18"/>
    <mergeCell ref="AJ17:AJ18"/>
    <mergeCell ref="AK17:AK18"/>
    <mergeCell ref="AL17:AL18"/>
    <mergeCell ref="AM17:AM18"/>
    <mergeCell ref="AN17:AN18"/>
    <mergeCell ref="AO17:AO18"/>
    <mergeCell ref="AP17:AP18"/>
    <mergeCell ref="AQ17:AQ18"/>
    <mergeCell ref="AR17:AR18"/>
    <mergeCell ref="AS17:AS18"/>
    <mergeCell ref="AT17:AT18"/>
    <mergeCell ref="AU17:AU18"/>
    <mergeCell ref="AV17:AV18"/>
    <mergeCell ref="AW17:AW18"/>
    <mergeCell ref="AX17:AX18"/>
    <mergeCell ref="AY17:AY18"/>
    <mergeCell ref="AZ17:AZ18"/>
    <mergeCell ref="BA17:BA18"/>
    <mergeCell ref="BB17:BB18"/>
    <mergeCell ref="BC17:BC18"/>
    <mergeCell ref="BD17:BD18"/>
    <mergeCell ref="BE17:BE18"/>
    <mergeCell ref="BF17:BF18"/>
    <mergeCell ref="BG17:BG18"/>
    <mergeCell ref="BH17:BH18"/>
    <mergeCell ref="BI17:BI18"/>
    <mergeCell ref="BJ17:BJ18"/>
    <mergeCell ref="BK17:BK18"/>
    <mergeCell ref="BL17:BL18"/>
    <mergeCell ref="BM17:BM18"/>
    <mergeCell ref="BN17:BN18"/>
    <mergeCell ref="BO17:BO18"/>
    <mergeCell ref="BP17:BP18"/>
    <mergeCell ref="BQ17:BQ18"/>
    <mergeCell ref="BR17:BR18"/>
    <mergeCell ref="BS17:BS18"/>
    <mergeCell ref="BT17:BT18"/>
    <mergeCell ref="BU17:BU18"/>
    <mergeCell ref="BV17:BV18"/>
    <mergeCell ref="BW17:BW18"/>
    <mergeCell ref="BX17:BX18"/>
    <mergeCell ref="BY17:BY18"/>
    <mergeCell ref="BZ17:BZ18"/>
    <mergeCell ref="CA17:CA18"/>
    <mergeCell ref="CB17:CB18"/>
    <mergeCell ref="CC17:CC18"/>
    <mergeCell ref="CD17:CD18"/>
    <mergeCell ref="CE17:CE18"/>
    <mergeCell ref="CF17:CF18"/>
    <mergeCell ref="CG17:CG18"/>
    <mergeCell ref="CH17:CH18"/>
    <mergeCell ref="A19:A20"/>
    <mergeCell ref="B19:B20"/>
    <mergeCell ref="C19:C20"/>
    <mergeCell ref="D19:D20"/>
    <mergeCell ref="E19:E20"/>
    <mergeCell ref="F19:F20"/>
    <mergeCell ref="G19:G20"/>
    <mergeCell ref="H19:H20"/>
    <mergeCell ref="I19:I20"/>
    <mergeCell ref="J19:J20"/>
    <mergeCell ref="K19:K20"/>
    <mergeCell ref="L19:L20"/>
    <mergeCell ref="M19:M20"/>
    <mergeCell ref="N19:N20"/>
    <mergeCell ref="O19:O20"/>
    <mergeCell ref="P19:P20"/>
    <mergeCell ref="Q19:Q20"/>
    <mergeCell ref="R19:R20"/>
    <mergeCell ref="S19:S20"/>
    <mergeCell ref="T19:T20"/>
    <mergeCell ref="U19:U20"/>
    <mergeCell ref="V19:V20"/>
    <mergeCell ref="W19:W20"/>
    <mergeCell ref="X19:X20"/>
    <mergeCell ref="Y19:Y20"/>
    <mergeCell ref="Z19:Z20"/>
    <mergeCell ref="AA19:AA20"/>
    <mergeCell ref="AB19:AB20"/>
    <mergeCell ref="AC19:AC20"/>
    <mergeCell ref="AD19:AD20"/>
    <mergeCell ref="AE19:AE20"/>
    <mergeCell ref="AF19:AF20"/>
    <mergeCell ref="AG19:AG20"/>
    <mergeCell ref="AH19:AH20"/>
    <mergeCell ref="AI19:AI20"/>
    <mergeCell ref="AJ19:AJ20"/>
    <mergeCell ref="AK19:AK20"/>
    <mergeCell ref="AL19:AL20"/>
    <mergeCell ref="AM19:AM20"/>
    <mergeCell ref="AN19:AN20"/>
    <mergeCell ref="AO19:AO20"/>
    <mergeCell ref="AP19:AP20"/>
    <mergeCell ref="AQ19:AQ20"/>
    <mergeCell ref="AR19:AR20"/>
    <mergeCell ref="AS19:AS20"/>
    <mergeCell ref="AT19:AT20"/>
    <mergeCell ref="AU19:AU20"/>
    <mergeCell ref="AV19:AV20"/>
    <mergeCell ref="AW19:AW20"/>
    <mergeCell ref="AX19:AX20"/>
    <mergeCell ref="AY19:AY20"/>
    <mergeCell ref="AZ19:AZ20"/>
    <mergeCell ref="BA19:BA20"/>
    <mergeCell ref="BB19:BB20"/>
    <mergeCell ref="BC19:BC20"/>
    <mergeCell ref="BD19:BD20"/>
    <mergeCell ref="BE19:BE20"/>
    <mergeCell ref="BF19:BF20"/>
    <mergeCell ref="BG19:BG20"/>
    <mergeCell ref="BH19:BH20"/>
    <mergeCell ref="BI19:BI20"/>
    <mergeCell ref="BJ19:BJ20"/>
    <mergeCell ref="BK19:BK20"/>
    <mergeCell ref="BL19:BL20"/>
    <mergeCell ref="BM19:BM20"/>
    <mergeCell ref="BN19:BN20"/>
    <mergeCell ref="BO19:BO20"/>
    <mergeCell ref="BP19:BP20"/>
    <mergeCell ref="BQ19:BQ20"/>
    <mergeCell ref="BR19:BR20"/>
    <mergeCell ref="BS19:BS20"/>
    <mergeCell ref="BT19:BT20"/>
    <mergeCell ref="BU19:BU20"/>
    <mergeCell ref="BV19:BV20"/>
    <mergeCell ref="BW19:BW20"/>
    <mergeCell ref="BX19:BX20"/>
    <mergeCell ref="BY19:BY20"/>
    <mergeCell ref="BZ19:BZ20"/>
    <mergeCell ref="CA19:CA20"/>
    <mergeCell ref="CB19:CB20"/>
    <mergeCell ref="CC19:CC20"/>
    <mergeCell ref="CD19:CD20"/>
    <mergeCell ref="CE19:CE20"/>
    <mergeCell ref="CF19:CF20"/>
    <mergeCell ref="CG19:CG20"/>
    <mergeCell ref="CH19:CH20"/>
    <mergeCell ref="A21:A22"/>
    <mergeCell ref="B21:B22"/>
    <mergeCell ref="C21:C22"/>
    <mergeCell ref="D21:D22"/>
    <mergeCell ref="E21:E22"/>
    <mergeCell ref="F21:F22"/>
    <mergeCell ref="G21:G22"/>
    <mergeCell ref="H21:H22"/>
    <mergeCell ref="I21:I22"/>
    <mergeCell ref="J21:J22"/>
    <mergeCell ref="K21:K22"/>
    <mergeCell ref="L21:L22"/>
    <mergeCell ref="M21:M22"/>
    <mergeCell ref="N21:N22"/>
    <mergeCell ref="O21:O22"/>
    <mergeCell ref="P21:P22"/>
    <mergeCell ref="Q21:Q22"/>
    <mergeCell ref="R21:R22"/>
    <mergeCell ref="S21:S22"/>
    <mergeCell ref="T21:T22"/>
    <mergeCell ref="U21:U22"/>
    <mergeCell ref="V21:V22"/>
    <mergeCell ref="W21:W22"/>
    <mergeCell ref="X21:X22"/>
    <mergeCell ref="Y21:Y22"/>
    <mergeCell ref="Z21:Z22"/>
    <mergeCell ref="AA21:AA22"/>
    <mergeCell ref="AB21:AB22"/>
    <mergeCell ref="AC21:AC22"/>
    <mergeCell ref="AD21:AD22"/>
    <mergeCell ref="AE21:AE22"/>
    <mergeCell ref="AF21:AF22"/>
    <mergeCell ref="AG21:AG22"/>
    <mergeCell ref="AH21:AH22"/>
    <mergeCell ref="AI21:AI22"/>
    <mergeCell ref="AJ21:AJ22"/>
    <mergeCell ref="AK21:AK22"/>
    <mergeCell ref="AL21:AL22"/>
    <mergeCell ref="AM21:AM22"/>
    <mergeCell ref="AN21:AN22"/>
    <mergeCell ref="AO21:AO22"/>
    <mergeCell ref="AP21:AP22"/>
    <mergeCell ref="AQ21:AQ22"/>
    <mergeCell ref="AR21:AR22"/>
    <mergeCell ref="AS21:AS22"/>
    <mergeCell ref="AT21:AT22"/>
    <mergeCell ref="AU21:AU22"/>
    <mergeCell ref="AV21:AV22"/>
    <mergeCell ref="AW21:AW22"/>
    <mergeCell ref="AX21:AX22"/>
    <mergeCell ref="AY21:AY22"/>
    <mergeCell ref="AZ21:AZ22"/>
    <mergeCell ref="BA21:BA22"/>
    <mergeCell ref="BB21:BB22"/>
    <mergeCell ref="BC21:BC22"/>
    <mergeCell ref="BD21:BD22"/>
    <mergeCell ref="BE21:BE22"/>
    <mergeCell ref="BF21:BF22"/>
    <mergeCell ref="BG21:BG22"/>
    <mergeCell ref="BH21:BH22"/>
    <mergeCell ref="BI21:BI22"/>
    <mergeCell ref="BJ21:BJ22"/>
    <mergeCell ref="BK21:BK22"/>
    <mergeCell ref="BL21:BL22"/>
    <mergeCell ref="BM21:BM22"/>
    <mergeCell ref="BN21:BN22"/>
    <mergeCell ref="BO21:BO22"/>
    <mergeCell ref="BP21:BP22"/>
    <mergeCell ref="BQ21:BQ22"/>
    <mergeCell ref="BR21:BR22"/>
    <mergeCell ref="BS21:BS22"/>
    <mergeCell ref="BT21:BT22"/>
    <mergeCell ref="BU21:BU22"/>
    <mergeCell ref="BV21:BV22"/>
    <mergeCell ref="BW21:BW22"/>
    <mergeCell ref="BX21:BX22"/>
    <mergeCell ref="BY21:BY22"/>
    <mergeCell ref="BZ21:BZ22"/>
    <mergeCell ref="CA21:CA22"/>
    <mergeCell ref="CB21:CB22"/>
    <mergeCell ref="CC21:CC22"/>
    <mergeCell ref="CD21:CD22"/>
    <mergeCell ref="CE21:CE22"/>
    <mergeCell ref="CF21:CF22"/>
    <mergeCell ref="CG21:CG22"/>
    <mergeCell ref="CH21:CH22"/>
    <mergeCell ref="A23:A24"/>
    <mergeCell ref="B23:B24"/>
    <mergeCell ref="C23:C24"/>
    <mergeCell ref="D23:D24"/>
    <mergeCell ref="E23:E24"/>
    <mergeCell ref="F23:F24"/>
    <mergeCell ref="G23:G24"/>
    <mergeCell ref="H23:H24"/>
    <mergeCell ref="I23:I24"/>
    <mergeCell ref="J23:J24"/>
    <mergeCell ref="K23:K24"/>
    <mergeCell ref="L23:L24"/>
    <mergeCell ref="M23:M24"/>
    <mergeCell ref="N23:N24"/>
    <mergeCell ref="O23:O24"/>
    <mergeCell ref="P23:P24"/>
    <mergeCell ref="Q23:Q24"/>
    <mergeCell ref="R23:R24"/>
    <mergeCell ref="S23:S24"/>
    <mergeCell ref="T23:T24"/>
    <mergeCell ref="U23:U24"/>
    <mergeCell ref="V23:V24"/>
    <mergeCell ref="W23:W24"/>
    <mergeCell ref="X23:X24"/>
    <mergeCell ref="Y23:Y24"/>
    <mergeCell ref="Z23:Z24"/>
    <mergeCell ref="AA23:AA24"/>
    <mergeCell ref="AB23:AB24"/>
    <mergeCell ref="AC23:AC24"/>
    <mergeCell ref="AD23:AD24"/>
    <mergeCell ref="AE23:AE24"/>
    <mergeCell ref="AF23:AF24"/>
    <mergeCell ref="AG23:AG24"/>
    <mergeCell ref="AH23:AH24"/>
    <mergeCell ref="AI23:AI24"/>
    <mergeCell ref="AJ23:AJ24"/>
    <mergeCell ref="AK23:AK24"/>
    <mergeCell ref="AL23:AL24"/>
    <mergeCell ref="AM23:AM24"/>
    <mergeCell ref="AN23:AN24"/>
    <mergeCell ref="AO23:AO24"/>
    <mergeCell ref="AP23:AP24"/>
    <mergeCell ref="AQ23:AQ24"/>
    <mergeCell ref="AR23:AR24"/>
    <mergeCell ref="AS23:AS24"/>
    <mergeCell ref="AT23:AT24"/>
    <mergeCell ref="AU23:AU24"/>
    <mergeCell ref="AV23:AV24"/>
    <mergeCell ref="AW23:AW24"/>
    <mergeCell ref="AX23:AX24"/>
    <mergeCell ref="AY23:AY24"/>
    <mergeCell ref="AZ23:AZ24"/>
    <mergeCell ref="BA23:BA24"/>
    <mergeCell ref="BB23:BB24"/>
    <mergeCell ref="BC23:BC24"/>
    <mergeCell ref="BD23:BD24"/>
    <mergeCell ref="BE23:BE24"/>
    <mergeCell ref="BF23:BF24"/>
    <mergeCell ref="BG23:BG24"/>
    <mergeCell ref="BH23:BH24"/>
    <mergeCell ref="BI23:BI24"/>
    <mergeCell ref="BJ23:BJ24"/>
    <mergeCell ref="BK23:BK24"/>
    <mergeCell ref="BL23:BL24"/>
    <mergeCell ref="BM23:BM24"/>
    <mergeCell ref="BN23:BN24"/>
    <mergeCell ref="BO23:BO24"/>
    <mergeCell ref="BP23:BP24"/>
    <mergeCell ref="BQ23:BQ24"/>
    <mergeCell ref="BR23:BR24"/>
    <mergeCell ref="BS23:BS24"/>
    <mergeCell ref="BT23:BT24"/>
    <mergeCell ref="BU23:BU24"/>
    <mergeCell ref="BV23:BV24"/>
    <mergeCell ref="BW23:BW24"/>
    <mergeCell ref="BX23:BX24"/>
    <mergeCell ref="BY23:BY24"/>
    <mergeCell ref="BZ23:BZ24"/>
    <mergeCell ref="CA23:CA24"/>
    <mergeCell ref="CB23:CB24"/>
    <mergeCell ref="CC23:CC24"/>
    <mergeCell ref="CD23:CD24"/>
    <mergeCell ref="CE23:CE24"/>
    <mergeCell ref="CF23:CF24"/>
    <mergeCell ref="CG23:CG24"/>
    <mergeCell ref="CH23:CH24"/>
    <mergeCell ref="A25:A26"/>
    <mergeCell ref="B25:B26"/>
    <mergeCell ref="C25:C26"/>
    <mergeCell ref="D25:D26"/>
    <mergeCell ref="E25:E26"/>
    <mergeCell ref="F25:F26"/>
    <mergeCell ref="G25:G26"/>
    <mergeCell ref="H25:H26"/>
    <mergeCell ref="I25:I26"/>
    <mergeCell ref="J25:J26"/>
    <mergeCell ref="K25:K26"/>
    <mergeCell ref="L25:L26"/>
    <mergeCell ref="M25:M26"/>
    <mergeCell ref="N25:N26"/>
    <mergeCell ref="O25:O26"/>
    <mergeCell ref="P25:P26"/>
    <mergeCell ref="Q25:Q26"/>
    <mergeCell ref="R25:R26"/>
    <mergeCell ref="S25:S26"/>
    <mergeCell ref="T25:T26"/>
    <mergeCell ref="U25:U26"/>
    <mergeCell ref="V25:V26"/>
    <mergeCell ref="W25:W26"/>
    <mergeCell ref="X25:X26"/>
    <mergeCell ref="Y25:Y26"/>
    <mergeCell ref="Z25:Z26"/>
    <mergeCell ref="AA25:AA26"/>
    <mergeCell ref="AB25:AB26"/>
    <mergeCell ref="AC25:AC26"/>
    <mergeCell ref="AD25:AD26"/>
    <mergeCell ref="AE25:AE26"/>
    <mergeCell ref="AF25:AF26"/>
    <mergeCell ref="AG25:AG26"/>
    <mergeCell ref="AH25:AH26"/>
    <mergeCell ref="AI25:AI26"/>
    <mergeCell ref="AJ25:AJ26"/>
    <mergeCell ref="AK25:AK26"/>
    <mergeCell ref="AL25:AL26"/>
    <mergeCell ref="AM25:AM26"/>
    <mergeCell ref="AN25:AN26"/>
    <mergeCell ref="AO25:AO26"/>
    <mergeCell ref="AP25:AP26"/>
    <mergeCell ref="AQ25:AQ26"/>
    <mergeCell ref="AR25:AR26"/>
    <mergeCell ref="AS25:AS26"/>
    <mergeCell ref="AT25:AT26"/>
    <mergeCell ref="AU25:AU26"/>
    <mergeCell ref="AV25:AV26"/>
    <mergeCell ref="AW25:AW26"/>
    <mergeCell ref="AX25:AX26"/>
    <mergeCell ref="AY25:AY26"/>
    <mergeCell ref="AZ25:AZ26"/>
    <mergeCell ref="BA25:BA26"/>
    <mergeCell ref="BB25:BB26"/>
    <mergeCell ref="BC25:BC26"/>
    <mergeCell ref="BD25:BD26"/>
    <mergeCell ref="BE25:BE26"/>
    <mergeCell ref="BF25:BF26"/>
    <mergeCell ref="BG25:BG26"/>
    <mergeCell ref="BH25:BH26"/>
    <mergeCell ref="BI25:BI26"/>
    <mergeCell ref="BJ25:BJ26"/>
    <mergeCell ref="BK25:BK26"/>
    <mergeCell ref="BL25:BL26"/>
    <mergeCell ref="BM25:BM26"/>
    <mergeCell ref="BN25:BN26"/>
    <mergeCell ref="BO25:BO26"/>
    <mergeCell ref="BP25:BP26"/>
    <mergeCell ref="BQ25:BQ26"/>
    <mergeCell ref="BR25:BR26"/>
    <mergeCell ref="BS25:BS26"/>
    <mergeCell ref="BT25:BT26"/>
    <mergeCell ref="BU25:BU26"/>
    <mergeCell ref="BV25:BV26"/>
    <mergeCell ref="BW25:BW26"/>
    <mergeCell ref="BX25:BX26"/>
    <mergeCell ref="BY25:BY26"/>
    <mergeCell ref="BZ25:BZ26"/>
    <mergeCell ref="CA25:CA26"/>
    <mergeCell ref="CB25:CB26"/>
    <mergeCell ref="CC25:CC26"/>
    <mergeCell ref="CD25:CD26"/>
    <mergeCell ref="CE25:CE26"/>
    <mergeCell ref="CF25:CF26"/>
    <mergeCell ref="CG25:CG26"/>
    <mergeCell ref="CH25:CH26"/>
    <mergeCell ref="A27:A28"/>
    <mergeCell ref="B27:B28"/>
    <mergeCell ref="C27:C28"/>
    <mergeCell ref="D27:D28"/>
    <mergeCell ref="E27:E28"/>
    <mergeCell ref="F27:F28"/>
    <mergeCell ref="G27:G28"/>
    <mergeCell ref="H27:H28"/>
    <mergeCell ref="I27:I28"/>
    <mergeCell ref="J27:J28"/>
    <mergeCell ref="K27:K28"/>
    <mergeCell ref="L27:L28"/>
    <mergeCell ref="M27:M28"/>
    <mergeCell ref="N27:N28"/>
    <mergeCell ref="O27:O28"/>
    <mergeCell ref="P27:P28"/>
    <mergeCell ref="Q27:Q28"/>
    <mergeCell ref="R27:R28"/>
    <mergeCell ref="S27:S28"/>
    <mergeCell ref="T27:T28"/>
    <mergeCell ref="U27:U28"/>
    <mergeCell ref="V27:V28"/>
    <mergeCell ref="W27:W28"/>
    <mergeCell ref="X27:X28"/>
    <mergeCell ref="Y27:Y28"/>
    <mergeCell ref="Z27:Z28"/>
    <mergeCell ref="AA27:AA28"/>
    <mergeCell ref="AB27:AB28"/>
    <mergeCell ref="AC27:AC28"/>
    <mergeCell ref="AD27:AD28"/>
    <mergeCell ref="AE27:AE28"/>
    <mergeCell ref="AF27:AF28"/>
    <mergeCell ref="AG27:AG28"/>
    <mergeCell ref="AH27:AH28"/>
    <mergeCell ref="AI27:AI28"/>
    <mergeCell ref="AJ27:AJ28"/>
    <mergeCell ref="AK27:AK28"/>
    <mergeCell ref="AL27:AL28"/>
    <mergeCell ref="AM27:AM28"/>
    <mergeCell ref="AN27:AN28"/>
    <mergeCell ref="AO27:AO28"/>
    <mergeCell ref="AP27:AP28"/>
    <mergeCell ref="AQ27:AQ28"/>
    <mergeCell ref="AR27:AR28"/>
    <mergeCell ref="AS27:AS28"/>
    <mergeCell ref="AT27:AT28"/>
    <mergeCell ref="AU27:AU28"/>
    <mergeCell ref="AV27:AV28"/>
    <mergeCell ref="AW27:AW28"/>
    <mergeCell ref="AX27:AX28"/>
    <mergeCell ref="AY27:AY28"/>
    <mergeCell ref="AZ27:AZ28"/>
    <mergeCell ref="BA27:BA28"/>
    <mergeCell ref="BB27:BB28"/>
    <mergeCell ref="BC27:BC28"/>
    <mergeCell ref="BD27:BD28"/>
    <mergeCell ref="BE27:BE28"/>
    <mergeCell ref="BF27:BF28"/>
    <mergeCell ref="BG27:BG28"/>
    <mergeCell ref="BH27:BH28"/>
    <mergeCell ref="BI27:BI28"/>
    <mergeCell ref="BJ27:BJ28"/>
    <mergeCell ref="BK27:BK28"/>
    <mergeCell ref="BL27:BL28"/>
    <mergeCell ref="BM27:BM28"/>
    <mergeCell ref="BN27:BN28"/>
    <mergeCell ref="BO27:BO28"/>
    <mergeCell ref="BP27:BP28"/>
    <mergeCell ref="BQ27:BQ28"/>
    <mergeCell ref="BR27:BR28"/>
    <mergeCell ref="BS27:BS28"/>
    <mergeCell ref="BT27:BT28"/>
    <mergeCell ref="BU27:BU28"/>
    <mergeCell ref="BV27:BV28"/>
    <mergeCell ref="BW27:BW28"/>
    <mergeCell ref="BX27:BX28"/>
    <mergeCell ref="BY27:BY28"/>
    <mergeCell ref="BZ27:BZ28"/>
    <mergeCell ref="CA27:CA28"/>
    <mergeCell ref="CB27:CB28"/>
    <mergeCell ref="CC27:CC28"/>
    <mergeCell ref="CD27:CD28"/>
    <mergeCell ref="CE27:CE28"/>
    <mergeCell ref="CF27:CF28"/>
    <mergeCell ref="CG27:CG28"/>
    <mergeCell ref="CH27:CH28"/>
    <mergeCell ref="A29:A30"/>
    <mergeCell ref="B29:B30"/>
    <mergeCell ref="C29:C30"/>
    <mergeCell ref="D29:D30"/>
    <mergeCell ref="E29:E30"/>
    <mergeCell ref="F29:F30"/>
    <mergeCell ref="G29:G30"/>
    <mergeCell ref="H29:H30"/>
    <mergeCell ref="I29:I30"/>
    <mergeCell ref="J29:J30"/>
    <mergeCell ref="K29:K30"/>
    <mergeCell ref="L29:L30"/>
    <mergeCell ref="M29:M30"/>
    <mergeCell ref="N29:N30"/>
    <mergeCell ref="O29:O30"/>
    <mergeCell ref="P29:P30"/>
    <mergeCell ref="Q29:Q30"/>
    <mergeCell ref="R29:R30"/>
    <mergeCell ref="S29:S30"/>
    <mergeCell ref="T29:T30"/>
    <mergeCell ref="U29:U30"/>
    <mergeCell ref="V29:V30"/>
    <mergeCell ref="W29:W30"/>
    <mergeCell ref="X29:X30"/>
    <mergeCell ref="Y29:Y30"/>
    <mergeCell ref="Z29:Z30"/>
    <mergeCell ref="AA29:AA30"/>
    <mergeCell ref="AB29:AB30"/>
    <mergeCell ref="AC29:AC30"/>
    <mergeCell ref="AD29:AD30"/>
    <mergeCell ref="AE29:AE30"/>
    <mergeCell ref="AF29:AF30"/>
    <mergeCell ref="AG29:AG30"/>
    <mergeCell ref="AH29:AH30"/>
    <mergeCell ref="AI29:AI30"/>
    <mergeCell ref="AJ29:AJ30"/>
    <mergeCell ref="AK29:AK30"/>
    <mergeCell ref="AL29:AL30"/>
    <mergeCell ref="AM29:AM30"/>
    <mergeCell ref="AN29:AN30"/>
    <mergeCell ref="AO29:AO30"/>
    <mergeCell ref="AP29:AP30"/>
    <mergeCell ref="AQ29:AQ30"/>
    <mergeCell ref="AR29:AR30"/>
    <mergeCell ref="AS29:AS30"/>
    <mergeCell ref="AT29:AT30"/>
    <mergeCell ref="AU29:AU30"/>
    <mergeCell ref="AV29:AV30"/>
    <mergeCell ref="AW29:AW30"/>
    <mergeCell ref="AX29:AX30"/>
    <mergeCell ref="AY29:AY30"/>
    <mergeCell ref="AZ29:AZ30"/>
    <mergeCell ref="BA29:BA30"/>
    <mergeCell ref="BB29:BB30"/>
    <mergeCell ref="BC29:BC30"/>
    <mergeCell ref="BD29:BD30"/>
    <mergeCell ref="BE29:BE30"/>
    <mergeCell ref="BF29:BF30"/>
    <mergeCell ref="BG29:BG30"/>
    <mergeCell ref="BH29:BH30"/>
    <mergeCell ref="BI29:BI30"/>
    <mergeCell ref="BJ29:BJ30"/>
    <mergeCell ref="BK29:BK30"/>
    <mergeCell ref="BL29:BL30"/>
    <mergeCell ref="BM29:BM30"/>
    <mergeCell ref="BN29:BN30"/>
    <mergeCell ref="BO29:BO30"/>
    <mergeCell ref="BP29:BP30"/>
    <mergeCell ref="BQ29:BQ30"/>
    <mergeCell ref="BR29:BR30"/>
    <mergeCell ref="BS29:BS30"/>
    <mergeCell ref="BT29:BT30"/>
    <mergeCell ref="BU29:BU30"/>
    <mergeCell ref="BV29:BV30"/>
    <mergeCell ref="BW29:BW30"/>
    <mergeCell ref="BX29:BX30"/>
    <mergeCell ref="BY29:BY30"/>
    <mergeCell ref="BZ29:BZ30"/>
    <mergeCell ref="CA29:CA30"/>
    <mergeCell ref="CB29:CB30"/>
    <mergeCell ref="CC29:CC30"/>
    <mergeCell ref="CD29:CD30"/>
    <mergeCell ref="CE29:CE30"/>
    <mergeCell ref="CF29:CF30"/>
    <mergeCell ref="CG29:CG30"/>
    <mergeCell ref="CH29:CH30"/>
    <mergeCell ref="A31:A32"/>
    <mergeCell ref="B31:B32"/>
    <mergeCell ref="C31:C32"/>
    <mergeCell ref="D31:D32"/>
    <mergeCell ref="E31:E32"/>
    <mergeCell ref="F31:F32"/>
    <mergeCell ref="G31:G32"/>
    <mergeCell ref="H31:H32"/>
    <mergeCell ref="I31:I32"/>
    <mergeCell ref="J31:J32"/>
    <mergeCell ref="K31:K32"/>
    <mergeCell ref="L31:L32"/>
    <mergeCell ref="M31:M32"/>
    <mergeCell ref="N31:N32"/>
    <mergeCell ref="O31:O32"/>
    <mergeCell ref="P31:P32"/>
    <mergeCell ref="Q31:Q32"/>
    <mergeCell ref="R31:R32"/>
    <mergeCell ref="S31:S32"/>
    <mergeCell ref="T31:T32"/>
    <mergeCell ref="U31:U32"/>
    <mergeCell ref="V31:V32"/>
    <mergeCell ref="W31:W32"/>
    <mergeCell ref="X31:X32"/>
    <mergeCell ref="Y31:Y32"/>
    <mergeCell ref="Z31:Z32"/>
    <mergeCell ref="AA31:AA32"/>
    <mergeCell ref="AB31:AB32"/>
    <mergeCell ref="AC31:AC32"/>
    <mergeCell ref="AD31:AD32"/>
    <mergeCell ref="AE31:AE32"/>
    <mergeCell ref="AF31:AF32"/>
    <mergeCell ref="AG31:AG32"/>
    <mergeCell ref="AH31:AH32"/>
    <mergeCell ref="AI31:AI32"/>
    <mergeCell ref="AJ31:AJ32"/>
    <mergeCell ref="AK31:AK32"/>
    <mergeCell ref="AL31:AL32"/>
    <mergeCell ref="AM31:AM32"/>
    <mergeCell ref="AN31:AN32"/>
    <mergeCell ref="AO31:AO32"/>
    <mergeCell ref="AP31:AP32"/>
    <mergeCell ref="AQ31:AQ32"/>
    <mergeCell ref="AR31:AR32"/>
    <mergeCell ref="AS31:AS32"/>
    <mergeCell ref="AT31:AT32"/>
    <mergeCell ref="AU31:AU32"/>
    <mergeCell ref="AV31:AV32"/>
    <mergeCell ref="AW31:AW32"/>
    <mergeCell ref="AX31:AX32"/>
    <mergeCell ref="AY31:AY32"/>
    <mergeCell ref="AZ31:AZ32"/>
    <mergeCell ref="BA31:BA32"/>
    <mergeCell ref="BB31:BB32"/>
    <mergeCell ref="BC31:BC32"/>
    <mergeCell ref="BD31:BD32"/>
    <mergeCell ref="BE31:BE32"/>
    <mergeCell ref="BF31:BF32"/>
    <mergeCell ref="BG31:BG32"/>
    <mergeCell ref="BH31:BH32"/>
    <mergeCell ref="BI31:BI32"/>
    <mergeCell ref="BJ31:BJ32"/>
    <mergeCell ref="BK31:BK32"/>
    <mergeCell ref="BL31:BL32"/>
    <mergeCell ref="BM31:BM32"/>
    <mergeCell ref="BN31:BN32"/>
    <mergeCell ref="BO31:BO32"/>
    <mergeCell ref="BP31:BP32"/>
    <mergeCell ref="BQ31:BQ32"/>
    <mergeCell ref="BR31:BR32"/>
    <mergeCell ref="BS31:BS32"/>
    <mergeCell ref="BT31:BT32"/>
    <mergeCell ref="BU31:BU32"/>
    <mergeCell ref="BV31:BV32"/>
    <mergeCell ref="BW31:BW32"/>
    <mergeCell ref="BX31:BX32"/>
    <mergeCell ref="BY31:BY32"/>
    <mergeCell ref="BZ31:BZ32"/>
    <mergeCell ref="CA31:CA32"/>
    <mergeCell ref="CB31:CB32"/>
    <mergeCell ref="CC31:CC32"/>
    <mergeCell ref="CD31:CD32"/>
    <mergeCell ref="CE31:CE32"/>
    <mergeCell ref="CF31:CF32"/>
    <mergeCell ref="CG31:CG32"/>
    <mergeCell ref="CH31:CH32"/>
    <mergeCell ref="A33:A34"/>
    <mergeCell ref="B33:B34"/>
    <mergeCell ref="C33:C34"/>
    <mergeCell ref="D33:D34"/>
    <mergeCell ref="E33:E34"/>
    <mergeCell ref="F33:F34"/>
    <mergeCell ref="G33:G34"/>
    <mergeCell ref="H33:H34"/>
    <mergeCell ref="I33:I34"/>
    <mergeCell ref="J33:J34"/>
    <mergeCell ref="K33:K34"/>
    <mergeCell ref="L33:L34"/>
    <mergeCell ref="M33:M34"/>
    <mergeCell ref="N33:N34"/>
    <mergeCell ref="O33:O34"/>
    <mergeCell ref="P33:P34"/>
    <mergeCell ref="Q33:Q34"/>
    <mergeCell ref="R33:R34"/>
    <mergeCell ref="S33:S34"/>
    <mergeCell ref="T33:T34"/>
    <mergeCell ref="U33:U34"/>
    <mergeCell ref="V33:V34"/>
    <mergeCell ref="W33:W34"/>
    <mergeCell ref="X33:X34"/>
    <mergeCell ref="Y33:Y34"/>
    <mergeCell ref="Z33:Z34"/>
    <mergeCell ref="AA33:AA34"/>
    <mergeCell ref="AB33:AB34"/>
    <mergeCell ref="AC33:AC34"/>
    <mergeCell ref="AD33:AD34"/>
    <mergeCell ref="AE33:AE34"/>
    <mergeCell ref="AF33:AF34"/>
    <mergeCell ref="AG33:AG34"/>
    <mergeCell ref="AH33:AH34"/>
    <mergeCell ref="AI33:AI34"/>
    <mergeCell ref="AJ33:AJ34"/>
    <mergeCell ref="AK33:AK34"/>
    <mergeCell ref="AL33:AL34"/>
    <mergeCell ref="AM33:AM34"/>
    <mergeCell ref="AN33:AN34"/>
    <mergeCell ref="AO33:AO34"/>
    <mergeCell ref="AP33:AP34"/>
    <mergeCell ref="AQ33:AQ34"/>
    <mergeCell ref="AR33:AR34"/>
    <mergeCell ref="AS33:AS34"/>
    <mergeCell ref="AT33:AT34"/>
    <mergeCell ref="AU33:AU34"/>
    <mergeCell ref="AV33:AV34"/>
    <mergeCell ref="AW33:AW34"/>
    <mergeCell ref="AX33:AX34"/>
    <mergeCell ref="AY33:AY34"/>
    <mergeCell ref="AZ33:AZ34"/>
    <mergeCell ref="BA33:BA34"/>
    <mergeCell ref="BB33:BB34"/>
    <mergeCell ref="BC33:BC34"/>
    <mergeCell ref="BD33:BD34"/>
    <mergeCell ref="BE33:BE34"/>
    <mergeCell ref="BF33:BF34"/>
    <mergeCell ref="BG33:BG34"/>
    <mergeCell ref="BH33:BH34"/>
    <mergeCell ref="BI33:BI34"/>
    <mergeCell ref="BJ33:BJ34"/>
    <mergeCell ref="BK33:BK34"/>
    <mergeCell ref="BL33:BL34"/>
    <mergeCell ref="BM33:BM34"/>
    <mergeCell ref="BN33:BN34"/>
    <mergeCell ref="BO33:BO34"/>
    <mergeCell ref="BP33:BP34"/>
    <mergeCell ref="BQ33:BQ34"/>
    <mergeCell ref="BR33:BR34"/>
    <mergeCell ref="BS33:BS34"/>
    <mergeCell ref="BT33:BT34"/>
    <mergeCell ref="BU33:BU34"/>
    <mergeCell ref="BV33:BV34"/>
    <mergeCell ref="BW33:BW34"/>
    <mergeCell ref="BX33:BX34"/>
    <mergeCell ref="BY33:BY34"/>
    <mergeCell ref="BZ33:BZ34"/>
    <mergeCell ref="CA33:CA34"/>
    <mergeCell ref="CB33:CB34"/>
    <mergeCell ref="CC33:CC34"/>
    <mergeCell ref="CD33:CD34"/>
    <mergeCell ref="CE33:CE34"/>
    <mergeCell ref="CF33:CF34"/>
    <mergeCell ref="CG33:CG34"/>
    <mergeCell ref="CH33:CH34"/>
    <mergeCell ref="A35:A36"/>
    <mergeCell ref="B35:B36"/>
    <mergeCell ref="C35:C36"/>
    <mergeCell ref="D35:D36"/>
    <mergeCell ref="E35:E36"/>
    <mergeCell ref="F35:F36"/>
    <mergeCell ref="G35:G36"/>
    <mergeCell ref="H35:H36"/>
    <mergeCell ref="I35:I36"/>
    <mergeCell ref="J35:J36"/>
    <mergeCell ref="K35:K36"/>
    <mergeCell ref="L35:L36"/>
    <mergeCell ref="M35:M36"/>
    <mergeCell ref="N35:N36"/>
    <mergeCell ref="O35:O36"/>
    <mergeCell ref="P35:P36"/>
    <mergeCell ref="Q35:Q36"/>
    <mergeCell ref="R35:R36"/>
    <mergeCell ref="S35:S36"/>
    <mergeCell ref="T35:T36"/>
    <mergeCell ref="U35:U36"/>
    <mergeCell ref="V35:V36"/>
    <mergeCell ref="W35:W36"/>
    <mergeCell ref="X35:X36"/>
    <mergeCell ref="Y35:Y36"/>
    <mergeCell ref="Z35:Z36"/>
    <mergeCell ref="AA35:AA36"/>
    <mergeCell ref="AB35:AB36"/>
    <mergeCell ref="AC35:AC36"/>
    <mergeCell ref="AD35:AD36"/>
    <mergeCell ref="AE35:AE36"/>
    <mergeCell ref="AF35:AF36"/>
    <mergeCell ref="AG35:AG36"/>
    <mergeCell ref="AH35:AH36"/>
    <mergeCell ref="AI35:AI36"/>
    <mergeCell ref="AJ35:AJ36"/>
    <mergeCell ref="AK35:AK36"/>
    <mergeCell ref="AL35:AL36"/>
    <mergeCell ref="AM35:AM36"/>
    <mergeCell ref="AN35:AN36"/>
    <mergeCell ref="AO35:AO36"/>
    <mergeCell ref="AP35:AP36"/>
    <mergeCell ref="AQ35:AQ36"/>
    <mergeCell ref="AR35:AR36"/>
    <mergeCell ref="AS35:AS36"/>
    <mergeCell ref="AT35:AT36"/>
    <mergeCell ref="AU35:AU36"/>
    <mergeCell ref="AV35:AV36"/>
    <mergeCell ref="AW35:AW36"/>
    <mergeCell ref="AX35:AX36"/>
    <mergeCell ref="AY35:AY36"/>
    <mergeCell ref="AZ35:AZ36"/>
    <mergeCell ref="BA35:BA36"/>
    <mergeCell ref="BB35:BB36"/>
    <mergeCell ref="BC35:BC36"/>
    <mergeCell ref="BD35:BD36"/>
    <mergeCell ref="BE35:BE36"/>
    <mergeCell ref="BF35:BF36"/>
    <mergeCell ref="BG35:BG36"/>
    <mergeCell ref="BH35:BH36"/>
    <mergeCell ref="BI35:BI36"/>
    <mergeCell ref="BJ35:BJ36"/>
    <mergeCell ref="BK35:BK36"/>
    <mergeCell ref="BL35:BL36"/>
    <mergeCell ref="BM35:BM36"/>
    <mergeCell ref="BN35:BN36"/>
    <mergeCell ref="BO35:BO36"/>
    <mergeCell ref="BP35:BP36"/>
    <mergeCell ref="BQ35:BQ36"/>
    <mergeCell ref="BR35:BR36"/>
    <mergeCell ref="BS35:BS36"/>
    <mergeCell ref="BT35:BT36"/>
    <mergeCell ref="BU35:BU36"/>
    <mergeCell ref="BV35:BV36"/>
    <mergeCell ref="BW35:BW36"/>
    <mergeCell ref="BX35:BX36"/>
    <mergeCell ref="BY35:BY36"/>
    <mergeCell ref="BZ35:BZ36"/>
    <mergeCell ref="CA35:CA36"/>
    <mergeCell ref="CB35:CB36"/>
    <mergeCell ref="CC35:CC36"/>
    <mergeCell ref="CD35:CD36"/>
    <mergeCell ref="CE35:CE36"/>
    <mergeCell ref="CF35:CF36"/>
    <mergeCell ref="CG35:CG36"/>
    <mergeCell ref="CH35:CH36"/>
    <mergeCell ref="A37:A38"/>
    <mergeCell ref="B37:B38"/>
    <mergeCell ref="C37:C38"/>
    <mergeCell ref="D37:D38"/>
    <mergeCell ref="E37:E38"/>
    <mergeCell ref="F37:F38"/>
    <mergeCell ref="G37:G38"/>
    <mergeCell ref="H37:H38"/>
    <mergeCell ref="I37:I38"/>
    <mergeCell ref="J37:J38"/>
    <mergeCell ref="K37:K38"/>
    <mergeCell ref="L37:L38"/>
    <mergeCell ref="M37:M38"/>
    <mergeCell ref="N37:N38"/>
    <mergeCell ref="O37:O38"/>
    <mergeCell ref="P37:P38"/>
    <mergeCell ref="Q37:Q38"/>
    <mergeCell ref="R37:R38"/>
    <mergeCell ref="S37:S38"/>
    <mergeCell ref="T37:T38"/>
    <mergeCell ref="U37:U38"/>
    <mergeCell ref="V37:V38"/>
    <mergeCell ref="W37:W38"/>
    <mergeCell ref="X37:X38"/>
    <mergeCell ref="Y37:Y38"/>
    <mergeCell ref="Z37:Z38"/>
    <mergeCell ref="AA37:AA38"/>
    <mergeCell ref="AB37:AB38"/>
    <mergeCell ref="AC37:AC38"/>
    <mergeCell ref="AD37:AD38"/>
    <mergeCell ref="AE37:AE38"/>
    <mergeCell ref="AF37:AF38"/>
    <mergeCell ref="AG37:AG38"/>
    <mergeCell ref="AH37:AH38"/>
    <mergeCell ref="AI37:AI38"/>
    <mergeCell ref="AJ37:AJ38"/>
    <mergeCell ref="AK37:AK38"/>
    <mergeCell ref="AL37:AL38"/>
    <mergeCell ref="AM37:AM38"/>
    <mergeCell ref="AN37:AN38"/>
    <mergeCell ref="AO37:AO38"/>
    <mergeCell ref="AP37:AP38"/>
    <mergeCell ref="AQ37:AQ38"/>
    <mergeCell ref="AR37:AR38"/>
    <mergeCell ref="AS37:AS38"/>
    <mergeCell ref="AT37:AT38"/>
    <mergeCell ref="AU37:AU38"/>
    <mergeCell ref="AV37:AV38"/>
    <mergeCell ref="AW37:AW38"/>
    <mergeCell ref="AX37:AX38"/>
    <mergeCell ref="AY37:AY38"/>
    <mergeCell ref="AZ37:AZ38"/>
    <mergeCell ref="BA37:BA38"/>
    <mergeCell ref="BB37:BB38"/>
    <mergeCell ref="BC37:BC38"/>
    <mergeCell ref="BD37:BD38"/>
    <mergeCell ref="BE37:BE38"/>
    <mergeCell ref="BF37:BF38"/>
    <mergeCell ref="BG37:BG38"/>
    <mergeCell ref="BH37:BH38"/>
    <mergeCell ref="BI37:BI38"/>
    <mergeCell ref="BJ37:BJ38"/>
    <mergeCell ref="BK37:BK38"/>
    <mergeCell ref="BL37:BL38"/>
    <mergeCell ref="BM37:BM38"/>
    <mergeCell ref="BN37:BN38"/>
    <mergeCell ref="BO37:BO38"/>
    <mergeCell ref="BP37:BP38"/>
    <mergeCell ref="BQ37:BQ38"/>
    <mergeCell ref="BR37:BR38"/>
    <mergeCell ref="BS37:BS38"/>
    <mergeCell ref="BT37:BT38"/>
    <mergeCell ref="BU37:BU38"/>
    <mergeCell ref="BV37:BV38"/>
    <mergeCell ref="BW37:BW38"/>
    <mergeCell ref="BX37:BX38"/>
    <mergeCell ref="BY37:BY38"/>
    <mergeCell ref="BZ37:BZ38"/>
    <mergeCell ref="CA37:CA38"/>
    <mergeCell ref="CB37:CB38"/>
    <mergeCell ref="CC37:CC38"/>
    <mergeCell ref="CD37:CD38"/>
    <mergeCell ref="CE37:CE38"/>
    <mergeCell ref="CF37:CF38"/>
    <mergeCell ref="CG37:CG38"/>
    <mergeCell ref="CH37:CH38"/>
    <mergeCell ref="A39:A40"/>
    <mergeCell ref="B39:B40"/>
    <mergeCell ref="C39:C40"/>
    <mergeCell ref="D39:D40"/>
    <mergeCell ref="E39:E40"/>
    <mergeCell ref="F39:F40"/>
    <mergeCell ref="G39:G40"/>
    <mergeCell ref="H39:H40"/>
    <mergeCell ref="I39:I40"/>
    <mergeCell ref="J39:J40"/>
    <mergeCell ref="K39:K40"/>
    <mergeCell ref="L39:L40"/>
    <mergeCell ref="M39:M40"/>
    <mergeCell ref="N39:N40"/>
    <mergeCell ref="O39:O40"/>
    <mergeCell ref="P39:P40"/>
    <mergeCell ref="Q39:Q40"/>
    <mergeCell ref="R39:R40"/>
    <mergeCell ref="S39:S40"/>
    <mergeCell ref="T39:T40"/>
    <mergeCell ref="U39:U40"/>
    <mergeCell ref="V39:V40"/>
    <mergeCell ref="W39:W40"/>
    <mergeCell ref="X39:X40"/>
    <mergeCell ref="Y39:Y40"/>
    <mergeCell ref="Z39:Z40"/>
    <mergeCell ref="AA39:AA40"/>
    <mergeCell ref="AB39:AB40"/>
    <mergeCell ref="AC39:AC40"/>
    <mergeCell ref="AD39:AD40"/>
    <mergeCell ref="AE39:AE40"/>
    <mergeCell ref="AF39:AF40"/>
    <mergeCell ref="AG39:AG40"/>
    <mergeCell ref="AH39:AH40"/>
    <mergeCell ref="AI39:AI40"/>
    <mergeCell ref="AJ39:AJ40"/>
    <mergeCell ref="AK39:AK40"/>
    <mergeCell ref="AL39:AL40"/>
    <mergeCell ref="AM39:AM40"/>
    <mergeCell ref="AN39:AN40"/>
    <mergeCell ref="AO39:AO40"/>
    <mergeCell ref="AP39:AP40"/>
    <mergeCell ref="AQ39:AQ40"/>
    <mergeCell ref="AR39:AR40"/>
    <mergeCell ref="AS39:AS40"/>
    <mergeCell ref="AT39:AT40"/>
    <mergeCell ref="AU39:AU40"/>
    <mergeCell ref="AV39:AV40"/>
    <mergeCell ref="AW39:AW40"/>
    <mergeCell ref="AX39:AX40"/>
    <mergeCell ref="AY39:AY40"/>
    <mergeCell ref="AZ39:AZ40"/>
    <mergeCell ref="BA39:BA40"/>
    <mergeCell ref="BB39:BB40"/>
    <mergeCell ref="BC39:BC40"/>
    <mergeCell ref="BD39:BD40"/>
    <mergeCell ref="BE39:BE40"/>
    <mergeCell ref="BF39:BF40"/>
    <mergeCell ref="BG39:BG40"/>
    <mergeCell ref="BH39:BH40"/>
    <mergeCell ref="BI39:BI40"/>
    <mergeCell ref="BJ39:BJ40"/>
    <mergeCell ref="BK39:BK40"/>
    <mergeCell ref="BL39:BL40"/>
    <mergeCell ref="BM39:BM40"/>
    <mergeCell ref="BN39:BN40"/>
    <mergeCell ref="BO39:BO40"/>
    <mergeCell ref="BP39:BP40"/>
    <mergeCell ref="BQ39:BQ40"/>
    <mergeCell ref="BR39:BR40"/>
    <mergeCell ref="BS39:BS40"/>
    <mergeCell ref="BT39:BT40"/>
    <mergeCell ref="BU39:BU40"/>
    <mergeCell ref="BV39:BV40"/>
    <mergeCell ref="BW39:BW40"/>
    <mergeCell ref="BX39:BX40"/>
    <mergeCell ref="BY39:BY40"/>
    <mergeCell ref="BZ39:BZ40"/>
    <mergeCell ref="CA39:CA40"/>
    <mergeCell ref="CB39:CB40"/>
    <mergeCell ref="CC39:CC40"/>
    <mergeCell ref="CD39:CD40"/>
    <mergeCell ref="CE39:CE40"/>
    <mergeCell ref="CF39:CF40"/>
    <mergeCell ref="CG39:CG40"/>
    <mergeCell ref="CH39:CH40"/>
    <mergeCell ref="A41:A42"/>
    <mergeCell ref="B41:B42"/>
    <mergeCell ref="C41:C42"/>
    <mergeCell ref="D41:D42"/>
    <mergeCell ref="E41:E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U41:U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AJ41:AJ42"/>
    <mergeCell ref="AK41:AK42"/>
    <mergeCell ref="AL41:AL42"/>
    <mergeCell ref="AM41:AM42"/>
    <mergeCell ref="AN41:AN42"/>
    <mergeCell ref="AO41:AO42"/>
    <mergeCell ref="AP41:AP42"/>
    <mergeCell ref="AQ41:AQ42"/>
    <mergeCell ref="AR41:AR42"/>
    <mergeCell ref="AS41:AS42"/>
    <mergeCell ref="AT41:AT42"/>
    <mergeCell ref="AU41:AU42"/>
    <mergeCell ref="AV41:AV42"/>
    <mergeCell ref="AW41:AW42"/>
    <mergeCell ref="AX41:AX42"/>
    <mergeCell ref="AY41:AY42"/>
    <mergeCell ref="AZ41:AZ42"/>
    <mergeCell ref="BA41:BA42"/>
    <mergeCell ref="BB41:BB42"/>
    <mergeCell ref="BC41:BC42"/>
    <mergeCell ref="BD41:BD42"/>
    <mergeCell ref="BE41:BE42"/>
    <mergeCell ref="BF41:BF42"/>
    <mergeCell ref="BG41:BG42"/>
    <mergeCell ref="BH41:BH42"/>
    <mergeCell ref="BI41:BI42"/>
    <mergeCell ref="BJ41:BJ42"/>
    <mergeCell ref="BK41:BK42"/>
    <mergeCell ref="BL41:BL42"/>
    <mergeCell ref="BM41:BM42"/>
    <mergeCell ref="BN41:BN42"/>
    <mergeCell ref="BO41:BO42"/>
    <mergeCell ref="BP41:BP42"/>
    <mergeCell ref="BQ41:BQ42"/>
    <mergeCell ref="BR41:BR42"/>
    <mergeCell ref="BS41:BS42"/>
    <mergeCell ref="BT41:BT42"/>
    <mergeCell ref="BU41:BU42"/>
    <mergeCell ref="BV41:BV42"/>
    <mergeCell ref="BW41:BW42"/>
    <mergeCell ref="BX41:BX42"/>
    <mergeCell ref="BY41:BY42"/>
    <mergeCell ref="BZ41:BZ42"/>
    <mergeCell ref="CA41:CA42"/>
    <mergeCell ref="CB41:CB42"/>
    <mergeCell ref="CC41:CC42"/>
    <mergeCell ref="CD41:CD42"/>
    <mergeCell ref="CE41:CE42"/>
    <mergeCell ref="CF41:CF42"/>
    <mergeCell ref="CG41:CG42"/>
    <mergeCell ref="CH41:CH42"/>
    <mergeCell ref="A43:A44"/>
    <mergeCell ref="B43:B44"/>
    <mergeCell ref="C43:C44"/>
    <mergeCell ref="D43:D44"/>
    <mergeCell ref="E43:E44"/>
    <mergeCell ref="F43:F44"/>
    <mergeCell ref="G43:G44"/>
    <mergeCell ref="H43:H44"/>
    <mergeCell ref="I43:I44"/>
    <mergeCell ref="J43:J44"/>
    <mergeCell ref="K43:K44"/>
    <mergeCell ref="L43:L44"/>
    <mergeCell ref="M43:M44"/>
    <mergeCell ref="N43:N44"/>
    <mergeCell ref="O43:O44"/>
    <mergeCell ref="P43:P44"/>
    <mergeCell ref="Q43:Q44"/>
    <mergeCell ref="R43:R44"/>
    <mergeCell ref="S43:S44"/>
    <mergeCell ref="T43:T44"/>
    <mergeCell ref="U43:U44"/>
    <mergeCell ref="V43:V44"/>
    <mergeCell ref="W43:W44"/>
    <mergeCell ref="X43:X44"/>
    <mergeCell ref="Y43:Y44"/>
    <mergeCell ref="Z43:Z44"/>
    <mergeCell ref="AA43:AA44"/>
    <mergeCell ref="AB43:AB44"/>
    <mergeCell ref="AC43:AC44"/>
    <mergeCell ref="AD43:AD44"/>
    <mergeCell ref="AE43:AE44"/>
    <mergeCell ref="AF43:AF44"/>
    <mergeCell ref="AG43:AG44"/>
    <mergeCell ref="AH43:AH44"/>
    <mergeCell ref="AI43:AI44"/>
    <mergeCell ref="AJ43:AJ44"/>
    <mergeCell ref="AK43:AK44"/>
    <mergeCell ref="AL43:AL44"/>
    <mergeCell ref="AM43:AM44"/>
    <mergeCell ref="AN43:AN44"/>
    <mergeCell ref="AO43:AO44"/>
    <mergeCell ref="AP43:AP44"/>
    <mergeCell ref="AQ43:AQ44"/>
    <mergeCell ref="AR43:AR44"/>
    <mergeCell ref="AS43:AS44"/>
    <mergeCell ref="AT43:AT44"/>
    <mergeCell ref="AU43:AU44"/>
    <mergeCell ref="AV43:AV44"/>
    <mergeCell ref="AW43:AW44"/>
    <mergeCell ref="AX43:AX44"/>
    <mergeCell ref="AY43:AY44"/>
    <mergeCell ref="AZ43:AZ44"/>
    <mergeCell ref="BA43:BA44"/>
    <mergeCell ref="BB43:BB44"/>
    <mergeCell ref="BC43:BC44"/>
    <mergeCell ref="BD43:BD44"/>
    <mergeCell ref="BE43:BE44"/>
    <mergeCell ref="BF43:BF44"/>
    <mergeCell ref="BG43:BG44"/>
    <mergeCell ref="BH43:BH44"/>
    <mergeCell ref="BI43:BI44"/>
    <mergeCell ref="BJ43:BJ44"/>
    <mergeCell ref="BK43:BK44"/>
    <mergeCell ref="BL43:BL44"/>
    <mergeCell ref="BM43:BM44"/>
    <mergeCell ref="BN43:BN44"/>
    <mergeCell ref="BO43:BO44"/>
    <mergeCell ref="BP43:BP44"/>
    <mergeCell ref="BQ43:BQ44"/>
    <mergeCell ref="BR43:BR44"/>
    <mergeCell ref="BS43:BS44"/>
    <mergeCell ref="BT43:BT44"/>
    <mergeCell ref="BU43:BU44"/>
    <mergeCell ref="BV43:BV44"/>
    <mergeCell ref="BW43:BW44"/>
    <mergeCell ref="BX43:BX44"/>
    <mergeCell ref="BY43:BY44"/>
    <mergeCell ref="BZ43:BZ44"/>
    <mergeCell ref="CA43:CA44"/>
    <mergeCell ref="CB43:CB44"/>
    <mergeCell ref="CC43:CC44"/>
    <mergeCell ref="CD43:CD44"/>
    <mergeCell ref="CE43:CE44"/>
    <mergeCell ref="CF43:CF44"/>
    <mergeCell ref="CG43:CG44"/>
    <mergeCell ref="CH43:CH44"/>
    <mergeCell ref="A45:A46"/>
    <mergeCell ref="B45:B46"/>
    <mergeCell ref="C45:C46"/>
    <mergeCell ref="D45:D46"/>
    <mergeCell ref="E45:E46"/>
    <mergeCell ref="F45:F46"/>
    <mergeCell ref="G45:G46"/>
    <mergeCell ref="H45:H46"/>
    <mergeCell ref="I45:I46"/>
    <mergeCell ref="J45:J46"/>
    <mergeCell ref="K45:K46"/>
    <mergeCell ref="L45:L46"/>
    <mergeCell ref="M45:M46"/>
    <mergeCell ref="N45:N46"/>
    <mergeCell ref="O45:O46"/>
    <mergeCell ref="P45:P46"/>
    <mergeCell ref="Q45:Q46"/>
    <mergeCell ref="R45:R46"/>
    <mergeCell ref="S45:S46"/>
    <mergeCell ref="T45:T46"/>
    <mergeCell ref="U45:U46"/>
    <mergeCell ref="V45:V46"/>
    <mergeCell ref="W45:W46"/>
    <mergeCell ref="X45:X46"/>
    <mergeCell ref="Y45:Y46"/>
    <mergeCell ref="Z45:Z46"/>
    <mergeCell ref="AA45:AA46"/>
    <mergeCell ref="AB45:AB46"/>
    <mergeCell ref="AC45:AC46"/>
    <mergeCell ref="AD45:AD46"/>
    <mergeCell ref="AE45:AE46"/>
    <mergeCell ref="AF45:AF46"/>
    <mergeCell ref="AG45:AG46"/>
    <mergeCell ref="AH45:AH46"/>
    <mergeCell ref="AI45:AI46"/>
    <mergeCell ref="AJ45:AJ46"/>
    <mergeCell ref="AK45:AK46"/>
    <mergeCell ref="AL45:AL46"/>
    <mergeCell ref="AM45:AM46"/>
    <mergeCell ref="AN45:AN46"/>
    <mergeCell ref="AO45:AO46"/>
    <mergeCell ref="AP45:AP46"/>
    <mergeCell ref="AQ45:AQ46"/>
    <mergeCell ref="AR45:AR46"/>
    <mergeCell ref="AS45:AS46"/>
    <mergeCell ref="AT45:AT46"/>
    <mergeCell ref="AU45:AU46"/>
    <mergeCell ref="AV45:AV46"/>
    <mergeCell ref="AW45:AW46"/>
    <mergeCell ref="AX45:AX46"/>
    <mergeCell ref="AY45:AY46"/>
    <mergeCell ref="AZ45:AZ46"/>
    <mergeCell ref="BA45:BA46"/>
    <mergeCell ref="BB45:BB46"/>
    <mergeCell ref="BC45:BC46"/>
    <mergeCell ref="BD45:BD46"/>
    <mergeCell ref="BE45:BE46"/>
    <mergeCell ref="BF45:BF46"/>
    <mergeCell ref="BG45:BG46"/>
    <mergeCell ref="BH45:BH46"/>
    <mergeCell ref="BI45:BI46"/>
    <mergeCell ref="BJ45:BJ46"/>
    <mergeCell ref="BK45:BK46"/>
    <mergeCell ref="BL45:BL46"/>
    <mergeCell ref="BM45:BM46"/>
    <mergeCell ref="BN45:BN46"/>
    <mergeCell ref="BO45:BO46"/>
    <mergeCell ref="BP45:BP46"/>
    <mergeCell ref="BQ45:BQ46"/>
    <mergeCell ref="BR45:BR46"/>
    <mergeCell ref="BS45:BS46"/>
    <mergeCell ref="BT45:BT46"/>
    <mergeCell ref="BU45:BU46"/>
    <mergeCell ref="BV45:BV46"/>
    <mergeCell ref="BW45:BW46"/>
    <mergeCell ref="BX45:BX46"/>
    <mergeCell ref="BY45:BY46"/>
    <mergeCell ref="BZ45:BZ46"/>
    <mergeCell ref="CA45:CA46"/>
    <mergeCell ref="CB45:CB46"/>
    <mergeCell ref="CC45:CC46"/>
    <mergeCell ref="CD45:CD46"/>
    <mergeCell ref="CE45:CE46"/>
    <mergeCell ref="CF45:CF46"/>
    <mergeCell ref="CG45:CG46"/>
    <mergeCell ref="CH45:CH46"/>
    <mergeCell ref="A47:A48"/>
    <mergeCell ref="B47:B48"/>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AZ47:AZ48"/>
    <mergeCell ref="BA47:BA48"/>
    <mergeCell ref="BB47:BB48"/>
    <mergeCell ref="BC47:BC48"/>
    <mergeCell ref="BD47:BD48"/>
    <mergeCell ref="BE47:BE48"/>
    <mergeCell ref="BF47:BF48"/>
    <mergeCell ref="BG47:BG48"/>
    <mergeCell ref="BH47:BH48"/>
    <mergeCell ref="BI47:BI48"/>
    <mergeCell ref="BJ47:BJ48"/>
    <mergeCell ref="BK47:BK48"/>
    <mergeCell ref="BL47:BL48"/>
    <mergeCell ref="BM47:BM48"/>
    <mergeCell ref="BN47:BN48"/>
    <mergeCell ref="BO47:BO48"/>
    <mergeCell ref="BP47:BP48"/>
    <mergeCell ref="BQ47:BQ48"/>
    <mergeCell ref="BR47:BR48"/>
    <mergeCell ref="BS47:BS48"/>
    <mergeCell ref="BT47:BT48"/>
    <mergeCell ref="BU47:BU48"/>
    <mergeCell ref="BV47:BV48"/>
    <mergeCell ref="BW47:BW48"/>
    <mergeCell ref="BX47:BX48"/>
    <mergeCell ref="BY47:BY48"/>
    <mergeCell ref="BZ47:BZ48"/>
    <mergeCell ref="CA47:CA48"/>
    <mergeCell ref="CB47:CB48"/>
    <mergeCell ref="CC47:CC48"/>
    <mergeCell ref="CD47:CD48"/>
    <mergeCell ref="CE47:CE48"/>
    <mergeCell ref="CF47:CF48"/>
    <mergeCell ref="CG47:CG48"/>
    <mergeCell ref="CH47:CH48"/>
    <mergeCell ref="A49:A50"/>
    <mergeCell ref="B49:B50"/>
    <mergeCell ref="C49:C50"/>
    <mergeCell ref="D49:D50"/>
    <mergeCell ref="E49:E50"/>
    <mergeCell ref="F49:F50"/>
    <mergeCell ref="G49:G50"/>
    <mergeCell ref="H49:H50"/>
    <mergeCell ref="I49:I50"/>
    <mergeCell ref="J49:J50"/>
    <mergeCell ref="K49:K50"/>
    <mergeCell ref="L49:L50"/>
    <mergeCell ref="M49:M50"/>
    <mergeCell ref="N49:N50"/>
    <mergeCell ref="O49:O50"/>
    <mergeCell ref="P49:P50"/>
    <mergeCell ref="Q49:Q50"/>
    <mergeCell ref="R49:R50"/>
    <mergeCell ref="S49:S50"/>
    <mergeCell ref="T49:T50"/>
    <mergeCell ref="U49:U50"/>
    <mergeCell ref="V49:V50"/>
    <mergeCell ref="W49:W50"/>
    <mergeCell ref="X49:X50"/>
    <mergeCell ref="Y49:Y50"/>
    <mergeCell ref="Z49:Z50"/>
    <mergeCell ref="AA49:AA50"/>
    <mergeCell ref="AB49:AB50"/>
    <mergeCell ref="AC49:AC50"/>
    <mergeCell ref="AD49:AD50"/>
    <mergeCell ref="AE49:AE50"/>
    <mergeCell ref="AF49:AF50"/>
    <mergeCell ref="AG49:AG50"/>
    <mergeCell ref="AH49:AH50"/>
    <mergeCell ref="AI49:AI50"/>
    <mergeCell ref="AJ49:AJ50"/>
    <mergeCell ref="AK49:AK50"/>
    <mergeCell ref="AL49:AL50"/>
    <mergeCell ref="AM49:AM50"/>
    <mergeCell ref="AN49:AN50"/>
    <mergeCell ref="AO49:AO50"/>
    <mergeCell ref="AP49:AP50"/>
    <mergeCell ref="AQ49:AQ50"/>
    <mergeCell ref="AR49:AR50"/>
    <mergeCell ref="AS49:AS50"/>
    <mergeCell ref="AT49:AT50"/>
    <mergeCell ref="AU49:AU50"/>
    <mergeCell ref="AV49:AV50"/>
    <mergeCell ref="AW49:AW50"/>
    <mergeCell ref="AX49:AX50"/>
    <mergeCell ref="AY49:AY50"/>
    <mergeCell ref="AZ49:AZ50"/>
    <mergeCell ref="BA49:BA50"/>
    <mergeCell ref="BB49:BB50"/>
    <mergeCell ref="BC49:BC50"/>
    <mergeCell ref="BD49:BD50"/>
    <mergeCell ref="BE49:BE50"/>
    <mergeCell ref="BF49:BF50"/>
    <mergeCell ref="BG49:BG50"/>
    <mergeCell ref="BH49:BH50"/>
    <mergeCell ref="BI49:BI50"/>
    <mergeCell ref="BJ49:BJ50"/>
    <mergeCell ref="BK49:BK50"/>
    <mergeCell ref="BL49:BL50"/>
    <mergeCell ref="BM49:BM50"/>
    <mergeCell ref="BN49:BN50"/>
    <mergeCell ref="BO49:BO50"/>
    <mergeCell ref="BP49:BP50"/>
    <mergeCell ref="BQ49:BQ50"/>
    <mergeCell ref="BR49:BR50"/>
    <mergeCell ref="BS49:BS50"/>
    <mergeCell ref="BT49:BT50"/>
    <mergeCell ref="BU49:BU50"/>
    <mergeCell ref="BV49:BV50"/>
    <mergeCell ref="BW49:BW50"/>
    <mergeCell ref="BX49:BX50"/>
    <mergeCell ref="BY49:BY50"/>
    <mergeCell ref="BZ49:BZ50"/>
    <mergeCell ref="CA49:CA50"/>
    <mergeCell ref="CB49:CB50"/>
    <mergeCell ref="CC49:CC50"/>
    <mergeCell ref="CD49:CD50"/>
    <mergeCell ref="CE49:CE50"/>
    <mergeCell ref="CF49:CF50"/>
    <mergeCell ref="CG49:CG50"/>
    <mergeCell ref="CH49:CH50"/>
    <mergeCell ref="A51:A52"/>
    <mergeCell ref="B51:B52"/>
    <mergeCell ref="C51:C52"/>
    <mergeCell ref="D51:D52"/>
    <mergeCell ref="E51:E52"/>
    <mergeCell ref="F51:F52"/>
    <mergeCell ref="G51:G52"/>
    <mergeCell ref="H51:H52"/>
    <mergeCell ref="I51:I52"/>
    <mergeCell ref="J51:J52"/>
    <mergeCell ref="K51:K52"/>
    <mergeCell ref="L51:L52"/>
    <mergeCell ref="M51:M52"/>
    <mergeCell ref="N51:N52"/>
    <mergeCell ref="O51:O52"/>
    <mergeCell ref="P51:P52"/>
    <mergeCell ref="Q51:Q52"/>
    <mergeCell ref="R51:R52"/>
    <mergeCell ref="S51:S52"/>
    <mergeCell ref="T51:T52"/>
    <mergeCell ref="U51:U52"/>
    <mergeCell ref="V51:V52"/>
    <mergeCell ref="W51:W52"/>
    <mergeCell ref="X51:X52"/>
    <mergeCell ref="Y51:Y52"/>
    <mergeCell ref="Z51:Z52"/>
    <mergeCell ref="AA51:AA52"/>
    <mergeCell ref="AB51:AB52"/>
    <mergeCell ref="AC51:AC52"/>
    <mergeCell ref="AD51:AD52"/>
    <mergeCell ref="AE51:AE52"/>
    <mergeCell ref="AF51:AF52"/>
    <mergeCell ref="AG51:AG52"/>
    <mergeCell ref="AH51:AH52"/>
    <mergeCell ref="AI51:AI52"/>
    <mergeCell ref="AJ51:AJ52"/>
    <mergeCell ref="AK51:AK52"/>
    <mergeCell ref="AL51:AL52"/>
    <mergeCell ref="AM51:AM52"/>
    <mergeCell ref="AN51:AN52"/>
    <mergeCell ref="AO51:AO52"/>
    <mergeCell ref="AP51:AP52"/>
    <mergeCell ref="AQ51:AQ52"/>
    <mergeCell ref="AR51:AR52"/>
    <mergeCell ref="AS51:AS52"/>
    <mergeCell ref="AT51:AT52"/>
    <mergeCell ref="AU51:AU52"/>
    <mergeCell ref="AV51:AV52"/>
    <mergeCell ref="AW51:AW52"/>
    <mergeCell ref="AX51:AX52"/>
    <mergeCell ref="AY51:AY52"/>
    <mergeCell ref="AZ51:AZ52"/>
    <mergeCell ref="BA51:BA52"/>
    <mergeCell ref="BB51:BB52"/>
    <mergeCell ref="BC51:BC52"/>
    <mergeCell ref="BD51:BD52"/>
    <mergeCell ref="BE51:BE52"/>
    <mergeCell ref="BF51:BF52"/>
    <mergeCell ref="BG51:BG52"/>
    <mergeCell ref="BH51:BH52"/>
    <mergeCell ref="BI51:BI52"/>
    <mergeCell ref="BJ51:BJ52"/>
    <mergeCell ref="BK51:BK52"/>
    <mergeCell ref="BL51:BL52"/>
    <mergeCell ref="BM51:BM52"/>
    <mergeCell ref="BN51:BN52"/>
    <mergeCell ref="BO51:BO52"/>
    <mergeCell ref="BP51:BP52"/>
    <mergeCell ref="BQ51:BQ52"/>
    <mergeCell ref="BR51:BR52"/>
    <mergeCell ref="BS51:BS52"/>
    <mergeCell ref="BT51:BT52"/>
    <mergeCell ref="BU51:BU52"/>
    <mergeCell ref="BV51:BV52"/>
    <mergeCell ref="BW51:BW52"/>
    <mergeCell ref="BX51:BX52"/>
    <mergeCell ref="BY51:BY52"/>
    <mergeCell ref="BZ51:BZ52"/>
    <mergeCell ref="CA51:CA52"/>
    <mergeCell ref="CB51:CB52"/>
    <mergeCell ref="CC51:CC52"/>
    <mergeCell ref="CD51:CD52"/>
    <mergeCell ref="CE51:CE52"/>
    <mergeCell ref="CF51:CF52"/>
    <mergeCell ref="CG51:CG52"/>
    <mergeCell ref="CH51:CH52"/>
    <mergeCell ref="A53:A54"/>
    <mergeCell ref="B53:B54"/>
    <mergeCell ref="C53:C54"/>
    <mergeCell ref="D53:D54"/>
    <mergeCell ref="E53:E54"/>
    <mergeCell ref="F53:F54"/>
    <mergeCell ref="G53:G54"/>
    <mergeCell ref="H53:H54"/>
    <mergeCell ref="I53:I54"/>
    <mergeCell ref="J53:J54"/>
    <mergeCell ref="K53:K54"/>
    <mergeCell ref="L53:L54"/>
    <mergeCell ref="M53:M54"/>
    <mergeCell ref="N53:N54"/>
    <mergeCell ref="O53:O54"/>
    <mergeCell ref="P53:P54"/>
    <mergeCell ref="Q53:Q54"/>
    <mergeCell ref="R53:R54"/>
    <mergeCell ref="S53:S54"/>
    <mergeCell ref="T53:T54"/>
    <mergeCell ref="U53:U54"/>
    <mergeCell ref="V53:V54"/>
    <mergeCell ref="W53:W54"/>
    <mergeCell ref="X53:X54"/>
    <mergeCell ref="Y53:Y54"/>
    <mergeCell ref="Z53:Z54"/>
    <mergeCell ref="AA53:AA54"/>
    <mergeCell ref="AB53:AB54"/>
    <mergeCell ref="AC53:AC54"/>
    <mergeCell ref="AD53:AD54"/>
    <mergeCell ref="AE53:AE54"/>
    <mergeCell ref="AF53:AF54"/>
    <mergeCell ref="AG53:AG54"/>
    <mergeCell ref="AH53:AH54"/>
    <mergeCell ref="AI53:AI54"/>
    <mergeCell ref="AJ53:AJ54"/>
    <mergeCell ref="AK53:AK54"/>
    <mergeCell ref="AL53:AL54"/>
    <mergeCell ref="AM53:AM54"/>
    <mergeCell ref="AN53:AN54"/>
    <mergeCell ref="AO53:AO54"/>
    <mergeCell ref="AP53:AP54"/>
    <mergeCell ref="AQ53:AQ54"/>
    <mergeCell ref="AR53:AR54"/>
    <mergeCell ref="AS53:AS54"/>
    <mergeCell ref="AT53:AT54"/>
    <mergeCell ref="AU53:AU54"/>
    <mergeCell ref="AV53:AV54"/>
    <mergeCell ref="AW53:AW54"/>
    <mergeCell ref="AX53:AX54"/>
    <mergeCell ref="AY53:AY54"/>
    <mergeCell ref="AZ53:AZ54"/>
    <mergeCell ref="BA53:BA54"/>
    <mergeCell ref="BB53:BB54"/>
    <mergeCell ref="BC53:BC54"/>
    <mergeCell ref="BD53:BD54"/>
    <mergeCell ref="BE53:BE54"/>
    <mergeCell ref="BF53:BF54"/>
    <mergeCell ref="BG53:BG54"/>
    <mergeCell ref="BH53:BH54"/>
    <mergeCell ref="BI53:BI54"/>
    <mergeCell ref="BJ53:BJ54"/>
    <mergeCell ref="BK53:BK54"/>
    <mergeCell ref="BL53:BL54"/>
    <mergeCell ref="BM53:BM54"/>
    <mergeCell ref="BN53:BN54"/>
    <mergeCell ref="BO53:BO54"/>
    <mergeCell ref="BP53:BP54"/>
    <mergeCell ref="BQ53:BQ54"/>
    <mergeCell ref="BR53:BR54"/>
    <mergeCell ref="BS53:BS54"/>
    <mergeCell ref="BT53:BT54"/>
    <mergeCell ref="BU53:BU54"/>
    <mergeCell ref="BV53:BV54"/>
    <mergeCell ref="BW53:BW54"/>
    <mergeCell ref="BX53:BX54"/>
    <mergeCell ref="BY53:BY54"/>
    <mergeCell ref="BZ53:BZ54"/>
    <mergeCell ref="CA53:CA54"/>
    <mergeCell ref="CB53:CB54"/>
    <mergeCell ref="CC53:CC54"/>
    <mergeCell ref="CD53:CD54"/>
    <mergeCell ref="CE53:CE54"/>
    <mergeCell ref="CF53:CF54"/>
    <mergeCell ref="CG53:CG54"/>
    <mergeCell ref="CH53:CH54"/>
    <mergeCell ref="A55:A56"/>
    <mergeCell ref="B55:B56"/>
    <mergeCell ref="C55:C56"/>
    <mergeCell ref="D55:D56"/>
    <mergeCell ref="E55:E56"/>
    <mergeCell ref="F55:F56"/>
    <mergeCell ref="G55:G56"/>
    <mergeCell ref="H55:H56"/>
    <mergeCell ref="I55:I56"/>
    <mergeCell ref="J55:J56"/>
    <mergeCell ref="K55:K56"/>
    <mergeCell ref="L55:L56"/>
    <mergeCell ref="M55:M56"/>
    <mergeCell ref="N55:N56"/>
    <mergeCell ref="O55:O56"/>
    <mergeCell ref="P55:P56"/>
    <mergeCell ref="Q55:Q56"/>
    <mergeCell ref="R55:R56"/>
    <mergeCell ref="S55:S56"/>
    <mergeCell ref="T55:T56"/>
    <mergeCell ref="U55:U56"/>
    <mergeCell ref="V55:V56"/>
    <mergeCell ref="W55:W56"/>
    <mergeCell ref="X55:X56"/>
    <mergeCell ref="Y55:Y56"/>
    <mergeCell ref="Z55:Z56"/>
    <mergeCell ref="AA55:AA56"/>
    <mergeCell ref="AB55:AB56"/>
    <mergeCell ref="AC55:AC56"/>
    <mergeCell ref="AD55:AD56"/>
    <mergeCell ref="AE55:AE56"/>
    <mergeCell ref="AF55:AF56"/>
    <mergeCell ref="AG55:AG56"/>
    <mergeCell ref="AH55:AH56"/>
    <mergeCell ref="AI55:AI56"/>
    <mergeCell ref="AJ55:AJ56"/>
    <mergeCell ref="AK55:AK56"/>
    <mergeCell ref="AL55:AL56"/>
    <mergeCell ref="AM55:AM56"/>
    <mergeCell ref="AN55:AN56"/>
    <mergeCell ref="AO55:AO56"/>
    <mergeCell ref="AP55:AP56"/>
    <mergeCell ref="AQ55:AQ56"/>
    <mergeCell ref="AR55:AR56"/>
    <mergeCell ref="AS55:AS56"/>
    <mergeCell ref="AT55:AT56"/>
    <mergeCell ref="AU55:AU56"/>
    <mergeCell ref="AV55:AV56"/>
    <mergeCell ref="AW55:AW56"/>
    <mergeCell ref="AX55:AX56"/>
    <mergeCell ref="AY55:AY56"/>
    <mergeCell ref="AZ55:AZ56"/>
    <mergeCell ref="BA55:BA56"/>
    <mergeCell ref="BB55:BB56"/>
    <mergeCell ref="BC55:BC56"/>
    <mergeCell ref="BD55:BD56"/>
    <mergeCell ref="BE55:BE56"/>
    <mergeCell ref="BF55:BF56"/>
    <mergeCell ref="BG55:BG56"/>
    <mergeCell ref="BH55:BH56"/>
    <mergeCell ref="BI55:BI56"/>
    <mergeCell ref="BJ55:BJ56"/>
    <mergeCell ref="BK55:BK56"/>
    <mergeCell ref="BL55:BL56"/>
    <mergeCell ref="BM55:BM56"/>
    <mergeCell ref="BN55:BN56"/>
    <mergeCell ref="BO55:BO56"/>
    <mergeCell ref="BP55:BP56"/>
    <mergeCell ref="BQ55:BQ56"/>
    <mergeCell ref="BR55:BR56"/>
    <mergeCell ref="BS55:BS56"/>
    <mergeCell ref="BT55:BT56"/>
    <mergeCell ref="BU55:BU56"/>
    <mergeCell ref="BV55:BV56"/>
    <mergeCell ref="BW55:BW56"/>
    <mergeCell ref="BX55:BX56"/>
    <mergeCell ref="BY55:BY56"/>
    <mergeCell ref="BZ55:BZ56"/>
    <mergeCell ref="CA55:CA56"/>
    <mergeCell ref="CB55:CB56"/>
    <mergeCell ref="CC55:CC56"/>
    <mergeCell ref="CD55:CD56"/>
    <mergeCell ref="CE55:CE56"/>
    <mergeCell ref="CF55:CF56"/>
    <mergeCell ref="CG55:CG56"/>
    <mergeCell ref="CH55:CH56"/>
    <mergeCell ref="A57:A58"/>
    <mergeCell ref="B57:B58"/>
    <mergeCell ref="C57:C58"/>
    <mergeCell ref="D57:D58"/>
    <mergeCell ref="E57:E58"/>
    <mergeCell ref="F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U57:U58"/>
    <mergeCell ref="V57:V58"/>
    <mergeCell ref="W57:W58"/>
    <mergeCell ref="X57:X58"/>
    <mergeCell ref="Y57:Y58"/>
    <mergeCell ref="Z57:Z58"/>
    <mergeCell ref="AA57:AA58"/>
    <mergeCell ref="AB57:AB58"/>
    <mergeCell ref="AC57:AC58"/>
    <mergeCell ref="AD57:AD58"/>
    <mergeCell ref="AE57:AE58"/>
    <mergeCell ref="AF57:AF58"/>
    <mergeCell ref="AG57:AG58"/>
    <mergeCell ref="AH57:AH58"/>
    <mergeCell ref="AI57:AI58"/>
    <mergeCell ref="AJ57:AJ58"/>
    <mergeCell ref="AK57:AK58"/>
    <mergeCell ref="AL57:AL58"/>
    <mergeCell ref="AM57:AM58"/>
    <mergeCell ref="AN57:AN58"/>
    <mergeCell ref="AO57:AO58"/>
    <mergeCell ref="AP57:AP58"/>
    <mergeCell ref="AQ57:AQ58"/>
    <mergeCell ref="AR57:AR58"/>
    <mergeCell ref="AS57:AS58"/>
    <mergeCell ref="AT57:AT58"/>
    <mergeCell ref="AU57:AU58"/>
    <mergeCell ref="AV57:AV58"/>
    <mergeCell ref="AW57:AW58"/>
    <mergeCell ref="AX57:AX58"/>
    <mergeCell ref="AY57:AY58"/>
    <mergeCell ref="AZ57:AZ58"/>
    <mergeCell ref="BA57:BA58"/>
    <mergeCell ref="BB57:BB58"/>
    <mergeCell ref="BC57:BC58"/>
    <mergeCell ref="BD57:BD58"/>
    <mergeCell ref="BE57:BE58"/>
    <mergeCell ref="BF57:BF58"/>
    <mergeCell ref="BG57:BG58"/>
    <mergeCell ref="BH57:BH58"/>
    <mergeCell ref="BI57:BI58"/>
    <mergeCell ref="BJ57:BJ58"/>
    <mergeCell ref="BK57:BK58"/>
    <mergeCell ref="BL57:BL58"/>
    <mergeCell ref="BM57:BM58"/>
    <mergeCell ref="BN57:BN58"/>
    <mergeCell ref="BO57:BO58"/>
    <mergeCell ref="BP57:BP58"/>
    <mergeCell ref="BQ57:BQ58"/>
    <mergeCell ref="BR57:BR58"/>
    <mergeCell ref="BS57:BS58"/>
    <mergeCell ref="BT57:BT58"/>
    <mergeCell ref="BU57:BU58"/>
    <mergeCell ref="BV57:BV58"/>
    <mergeCell ref="BW57:BW58"/>
    <mergeCell ref="BX57:BX58"/>
    <mergeCell ref="BY57:BY58"/>
    <mergeCell ref="BZ57:BZ58"/>
    <mergeCell ref="CA57:CA58"/>
    <mergeCell ref="CB57:CB58"/>
    <mergeCell ref="CC57:CC58"/>
    <mergeCell ref="CD57:CD58"/>
    <mergeCell ref="CE57:CE58"/>
    <mergeCell ref="CF57:CF58"/>
    <mergeCell ref="CG57:CG58"/>
    <mergeCell ref="CH57:CH58"/>
    <mergeCell ref="A59:A60"/>
    <mergeCell ref="B59:B60"/>
    <mergeCell ref="C59:C60"/>
    <mergeCell ref="D59:D60"/>
    <mergeCell ref="E59:E60"/>
    <mergeCell ref="F59:F60"/>
    <mergeCell ref="G59:G60"/>
    <mergeCell ref="H59:H60"/>
    <mergeCell ref="I59:I60"/>
    <mergeCell ref="J59:J60"/>
    <mergeCell ref="K59:K60"/>
    <mergeCell ref="L59:L60"/>
    <mergeCell ref="M59:M60"/>
    <mergeCell ref="N59:N60"/>
    <mergeCell ref="O59:O60"/>
    <mergeCell ref="P59:P60"/>
    <mergeCell ref="Q59:Q60"/>
    <mergeCell ref="R59:R60"/>
    <mergeCell ref="S59:S60"/>
    <mergeCell ref="T59:T60"/>
    <mergeCell ref="U59:U60"/>
    <mergeCell ref="V59:V60"/>
    <mergeCell ref="W59:W60"/>
    <mergeCell ref="X59:X60"/>
    <mergeCell ref="Y59:Y60"/>
    <mergeCell ref="Z59:Z60"/>
    <mergeCell ref="AA59:AA60"/>
    <mergeCell ref="AB59:AB60"/>
    <mergeCell ref="AC59:AC60"/>
    <mergeCell ref="AD59:AD60"/>
    <mergeCell ref="AE59:AE60"/>
    <mergeCell ref="AF59:AF60"/>
    <mergeCell ref="AG59:AG60"/>
    <mergeCell ref="AH59:AH60"/>
    <mergeCell ref="AI59:AI60"/>
    <mergeCell ref="AJ59:AJ60"/>
    <mergeCell ref="AK59:AK60"/>
    <mergeCell ref="AL59:AL60"/>
    <mergeCell ref="AM59:AM60"/>
    <mergeCell ref="AN59:AN60"/>
    <mergeCell ref="AO59:AO60"/>
    <mergeCell ref="AP59:AP60"/>
    <mergeCell ref="AQ59:AQ60"/>
    <mergeCell ref="AR59:AR60"/>
    <mergeCell ref="AS59:AS60"/>
    <mergeCell ref="AT59:AT60"/>
    <mergeCell ref="AU59:AU60"/>
    <mergeCell ref="AV59:AV60"/>
    <mergeCell ref="AW59:AW60"/>
    <mergeCell ref="AX59:AX60"/>
    <mergeCell ref="AY59:AY60"/>
    <mergeCell ref="AZ59:AZ60"/>
    <mergeCell ref="BA59:BA60"/>
    <mergeCell ref="BB59:BB60"/>
    <mergeCell ref="BC59:BC60"/>
    <mergeCell ref="BD59:BD60"/>
    <mergeCell ref="BE59:BE60"/>
    <mergeCell ref="BF59:BF60"/>
    <mergeCell ref="BG59:BG60"/>
    <mergeCell ref="BH59:BH60"/>
    <mergeCell ref="BI59:BI60"/>
    <mergeCell ref="BJ59:BJ60"/>
    <mergeCell ref="BK59:BK60"/>
    <mergeCell ref="BL59:BL60"/>
    <mergeCell ref="BM59:BM60"/>
    <mergeCell ref="BN59:BN60"/>
    <mergeCell ref="BO59:BO60"/>
    <mergeCell ref="BP59:BP60"/>
    <mergeCell ref="BQ59:BQ60"/>
    <mergeCell ref="BR59:BR60"/>
    <mergeCell ref="BS59:BS60"/>
    <mergeCell ref="BT59:BT60"/>
    <mergeCell ref="BU59:BU60"/>
    <mergeCell ref="BV59:BV60"/>
    <mergeCell ref="BW59:BW60"/>
    <mergeCell ref="BX59:BX60"/>
    <mergeCell ref="BY59:BY60"/>
    <mergeCell ref="BZ59:BZ60"/>
    <mergeCell ref="CA59:CA60"/>
    <mergeCell ref="CB59:CB60"/>
    <mergeCell ref="CC59:CC60"/>
    <mergeCell ref="CD59:CD60"/>
    <mergeCell ref="CE59:CE60"/>
    <mergeCell ref="CF59:CF60"/>
    <mergeCell ref="CG59:CG60"/>
    <mergeCell ref="CH59:CH60"/>
    <mergeCell ref="A61:A62"/>
    <mergeCell ref="B61:B62"/>
    <mergeCell ref="C61:C62"/>
    <mergeCell ref="D61:D62"/>
    <mergeCell ref="E61:E62"/>
    <mergeCell ref="F61:F62"/>
    <mergeCell ref="G61:G62"/>
    <mergeCell ref="H61:H62"/>
    <mergeCell ref="I61:I62"/>
    <mergeCell ref="J61:J62"/>
    <mergeCell ref="K61:K62"/>
    <mergeCell ref="L61:L62"/>
    <mergeCell ref="M61:M62"/>
    <mergeCell ref="N61:N62"/>
    <mergeCell ref="O61:O62"/>
    <mergeCell ref="P61:P62"/>
    <mergeCell ref="Q61:Q62"/>
    <mergeCell ref="R61:R62"/>
    <mergeCell ref="S61:S62"/>
    <mergeCell ref="T61:T62"/>
    <mergeCell ref="U61:U62"/>
    <mergeCell ref="V61:V62"/>
    <mergeCell ref="W61:W62"/>
    <mergeCell ref="X61:X62"/>
    <mergeCell ref="Y61:Y62"/>
    <mergeCell ref="Z61:Z62"/>
    <mergeCell ref="AA61:AA62"/>
    <mergeCell ref="AB61:AB62"/>
    <mergeCell ref="AC61:AC62"/>
    <mergeCell ref="AD61:AD62"/>
    <mergeCell ref="AE61:AE62"/>
    <mergeCell ref="AF61:AF62"/>
    <mergeCell ref="AG61:AG62"/>
    <mergeCell ref="AH61:AH62"/>
    <mergeCell ref="AI61:AI62"/>
    <mergeCell ref="AJ61:AJ62"/>
    <mergeCell ref="AK61:AK62"/>
    <mergeCell ref="AL61:AL62"/>
    <mergeCell ref="AM61:AM62"/>
    <mergeCell ref="AN61:AN62"/>
    <mergeCell ref="AO61:AO62"/>
    <mergeCell ref="AP61:AP62"/>
    <mergeCell ref="AQ61:AQ62"/>
    <mergeCell ref="AR61:AR62"/>
    <mergeCell ref="AS61:AS62"/>
    <mergeCell ref="AT61:AT62"/>
    <mergeCell ref="AU61:AU62"/>
    <mergeCell ref="AV61:AV62"/>
    <mergeCell ref="AW61:AW62"/>
    <mergeCell ref="AX61:AX62"/>
    <mergeCell ref="AY61:AY62"/>
    <mergeCell ref="AZ61:AZ62"/>
    <mergeCell ref="BA61:BA62"/>
    <mergeCell ref="BB61:BB62"/>
    <mergeCell ref="BC61:BC62"/>
    <mergeCell ref="BD61:BD62"/>
    <mergeCell ref="BE61:BE62"/>
    <mergeCell ref="BF61:BF62"/>
    <mergeCell ref="BG61:BG62"/>
    <mergeCell ref="BH61:BH62"/>
    <mergeCell ref="BI61:BI62"/>
    <mergeCell ref="BJ61:BJ62"/>
    <mergeCell ref="BK61:BK62"/>
    <mergeCell ref="BL61:BL62"/>
    <mergeCell ref="BM61:BM62"/>
    <mergeCell ref="BN61:BN62"/>
    <mergeCell ref="BO61:BO62"/>
    <mergeCell ref="BP61:BP62"/>
    <mergeCell ref="BQ61:BQ62"/>
    <mergeCell ref="BR61:BR62"/>
    <mergeCell ref="BS61:BS62"/>
    <mergeCell ref="BT61:BT62"/>
    <mergeCell ref="BU61:BU62"/>
    <mergeCell ref="BV61:BV62"/>
    <mergeCell ref="BW61:BW62"/>
    <mergeCell ref="BX61:BX62"/>
    <mergeCell ref="BY61:BY62"/>
    <mergeCell ref="BZ61:BZ62"/>
    <mergeCell ref="CA61:CA62"/>
    <mergeCell ref="CB61:CB62"/>
    <mergeCell ref="CC61:CC62"/>
    <mergeCell ref="CD61:CD62"/>
    <mergeCell ref="CE61:CE62"/>
    <mergeCell ref="CF61:CF62"/>
    <mergeCell ref="CG61:CG62"/>
    <mergeCell ref="CH61:CH62"/>
    <mergeCell ref="A63:A64"/>
    <mergeCell ref="B63:B64"/>
    <mergeCell ref="C63:C64"/>
    <mergeCell ref="D63:D64"/>
    <mergeCell ref="E63:E64"/>
    <mergeCell ref="F63:F64"/>
    <mergeCell ref="G63:G64"/>
    <mergeCell ref="H63:H64"/>
    <mergeCell ref="I63:I64"/>
    <mergeCell ref="J63:J64"/>
    <mergeCell ref="K63:K64"/>
    <mergeCell ref="L63:L64"/>
    <mergeCell ref="M63:M64"/>
    <mergeCell ref="N63:N64"/>
    <mergeCell ref="O63:O64"/>
    <mergeCell ref="P63:P64"/>
    <mergeCell ref="Q63:Q64"/>
    <mergeCell ref="R63:R64"/>
    <mergeCell ref="S63:S64"/>
    <mergeCell ref="T63:T64"/>
    <mergeCell ref="U63:U64"/>
    <mergeCell ref="V63:V64"/>
    <mergeCell ref="W63:W64"/>
    <mergeCell ref="X63:X64"/>
    <mergeCell ref="Y63:Y64"/>
    <mergeCell ref="Z63:Z64"/>
    <mergeCell ref="AA63:AA64"/>
    <mergeCell ref="AB63:AB64"/>
    <mergeCell ref="AC63:AC64"/>
    <mergeCell ref="AD63:AD64"/>
    <mergeCell ref="AE63:AE64"/>
    <mergeCell ref="AF63:AF64"/>
    <mergeCell ref="AG63:AG64"/>
    <mergeCell ref="AH63:AH64"/>
    <mergeCell ref="AI63:AI64"/>
    <mergeCell ref="AJ63:AJ64"/>
    <mergeCell ref="AK63:AK64"/>
    <mergeCell ref="AL63:AL64"/>
    <mergeCell ref="AM63:AM64"/>
    <mergeCell ref="AN63:AN64"/>
    <mergeCell ref="AO63:AO64"/>
    <mergeCell ref="AP63:AP64"/>
    <mergeCell ref="AQ63:AQ64"/>
    <mergeCell ref="AR63:AR64"/>
    <mergeCell ref="AS63:AS64"/>
    <mergeCell ref="AT63:AT64"/>
    <mergeCell ref="AU63:AU64"/>
    <mergeCell ref="AV63:AV64"/>
    <mergeCell ref="AW63:AW64"/>
    <mergeCell ref="AX63:AX64"/>
    <mergeCell ref="AY63:AY64"/>
    <mergeCell ref="AZ63:AZ64"/>
    <mergeCell ref="BA63:BA64"/>
    <mergeCell ref="BB63:BB64"/>
    <mergeCell ref="BC63:BC64"/>
    <mergeCell ref="BD63:BD64"/>
    <mergeCell ref="BE63:BE64"/>
    <mergeCell ref="BF63:BF64"/>
    <mergeCell ref="BG63:BG64"/>
    <mergeCell ref="BH63:BH64"/>
    <mergeCell ref="BI63:BI64"/>
    <mergeCell ref="BJ63:BJ64"/>
    <mergeCell ref="BK63:BK64"/>
    <mergeCell ref="BL63:BL64"/>
    <mergeCell ref="BM63:BM64"/>
    <mergeCell ref="BN63:BN64"/>
    <mergeCell ref="BO63:BO64"/>
    <mergeCell ref="BP63:BP64"/>
    <mergeCell ref="BQ63:BQ64"/>
    <mergeCell ref="BR63:BR64"/>
    <mergeCell ref="BS63:BS64"/>
    <mergeCell ref="BT63:BT64"/>
    <mergeCell ref="BU63:BU64"/>
    <mergeCell ref="BV63:BV64"/>
    <mergeCell ref="BW63:BW64"/>
    <mergeCell ref="BX63:BX64"/>
    <mergeCell ref="BY63:BY64"/>
    <mergeCell ref="BZ63:BZ64"/>
    <mergeCell ref="CA63:CA64"/>
    <mergeCell ref="CB63:CB64"/>
    <mergeCell ref="CC63:CC64"/>
    <mergeCell ref="CD63:CD64"/>
    <mergeCell ref="CE63:CE64"/>
    <mergeCell ref="CF63:CF64"/>
    <mergeCell ref="CG63:CG64"/>
    <mergeCell ref="CH63:CH64"/>
    <mergeCell ref="A65:A66"/>
    <mergeCell ref="B65:B66"/>
    <mergeCell ref="C65:C66"/>
    <mergeCell ref="D65:D66"/>
    <mergeCell ref="E65:E66"/>
    <mergeCell ref="F65:F66"/>
    <mergeCell ref="G65:G66"/>
    <mergeCell ref="H65:H66"/>
    <mergeCell ref="I65:I66"/>
    <mergeCell ref="J65:J66"/>
    <mergeCell ref="K65:K66"/>
    <mergeCell ref="L65:L66"/>
    <mergeCell ref="M65:M66"/>
    <mergeCell ref="N65:N66"/>
    <mergeCell ref="O65:O66"/>
    <mergeCell ref="P65:P66"/>
    <mergeCell ref="Q65:Q66"/>
    <mergeCell ref="R65:R66"/>
    <mergeCell ref="S65:S66"/>
    <mergeCell ref="T65:T66"/>
    <mergeCell ref="U65:U66"/>
    <mergeCell ref="V65:V66"/>
    <mergeCell ref="W65:W66"/>
    <mergeCell ref="X65:X66"/>
    <mergeCell ref="Y65:Y66"/>
    <mergeCell ref="Z65:Z66"/>
    <mergeCell ref="AA65:AA66"/>
    <mergeCell ref="AB65:AB66"/>
    <mergeCell ref="AC65:AC66"/>
    <mergeCell ref="AD65:AD66"/>
    <mergeCell ref="AE65:AE66"/>
    <mergeCell ref="AF65:AF66"/>
    <mergeCell ref="AG65:AG66"/>
    <mergeCell ref="AH65:AH66"/>
    <mergeCell ref="AI65:AI66"/>
    <mergeCell ref="AJ65:AJ66"/>
    <mergeCell ref="AK65:AK66"/>
    <mergeCell ref="AL65:AL66"/>
    <mergeCell ref="AM65:AM66"/>
    <mergeCell ref="AN65:AN66"/>
    <mergeCell ref="AO65:AO66"/>
    <mergeCell ref="AP65:AP66"/>
    <mergeCell ref="AQ65:AQ66"/>
    <mergeCell ref="AR65:AR66"/>
    <mergeCell ref="AS65:AS66"/>
    <mergeCell ref="AT65:AT66"/>
    <mergeCell ref="AU65:AU66"/>
    <mergeCell ref="AV65:AV66"/>
    <mergeCell ref="AW65:AW66"/>
    <mergeCell ref="AX65:AX66"/>
    <mergeCell ref="AY65:AY66"/>
    <mergeCell ref="AZ65:AZ66"/>
    <mergeCell ref="BA65:BA66"/>
    <mergeCell ref="BB65:BB66"/>
    <mergeCell ref="BC65:BC66"/>
    <mergeCell ref="BD65:BD66"/>
    <mergeCell ref="BE65:BE66"/>
    <mergeCell ref="BF65:BF66"/>
    <mergeCell ref="BG65:BG66"/>
    <mergeCell ref="BH65:BH66"/>
    <mergeCell ref="BI65:BI66"/>
    <mergeCell ref="BJ65:BJ66"/>
    <mergeCell ref="BK65:BK66"/>
    <mergeCell ref="BL65:BL66"/>
    <mergeCell ref="BM65:BM66"/>
    <mergeCell ref="BN65:BN66"/>
    <mergeCell ref="BO65:BO66"/>
    <mergeCell ref="BP65:BP66"/>
    <mergeCell ref="BQ65:BQ66"/>
    <mergeCell ref="BR65:BR66"/>
    <mergeCell ref="BS65:BS66"/>
    <mergeCell ref="BT65:BT66"/>
    <mergeCell ref="BU65:BU66"/>
    <mergeCell ref="BV65:BV66"/>
    <mergeCell ref="BW65:BW66"/>
    <mergeCell ref="BX65:BX66"/>
    <mergeCell ref="BY65:BY66"/>
    <mergeCell ref="BZ65:BZ66"/>
    <mergeCell ref="CA65:CA66"/>
    <mergeCell ref="CB65:CB66"/>
    <mergeCell ref="CC65:CC66"/>
    <mergeCell ref="CD65:CD66"/>
    <mergeCell ref="CE65:CE66"/>
    <mergeCell ref="CF65:CF66"/>
    <mergeCell ref="CG65:CG66"/>
    <mergeCell ref="CH65:CH66"/>
    <mergeCell ref="A67:A68"/>
    <mergeCell ref="B67:B68"/>
    <mergeCell ref="C67:C68"/>
    <mergeCell ref="D67:D68"/>
    <mergeCell ref="E67:E68"/>
    <mergeCell ref="F67:F68"/>
    <mergeCell ref="G67:G68"/>
    <mergeCell ref="H67:H68"/>
    <mergeCell ref="I67:I68"/>
    <mergeCell ref="J67:J68"/>
    <mergeCell ref="K67:K68"/>
    <mergeCell ref="L67:L68"/>
    <mergeCell ref="M67:M68"/>
    <mergeCell ref="N67:N68"/>
    <mergeCell ref="O67:O68"/>
    <mergeCell ref="P67:P68"/>
    <mergeCell ref="Q67:Q68"/>
    <mergeCell ref="R67:R68"/>
    <mergeCell ref="S67:S68"/>
    <mergeCell ref="T67:T68"/>
    <mergeCell ref="U67:U68"/>
    <mergeCell ref="V67:V68"/>
    <mergeCell ref="W67:W68"/>
    <mergeCell ref="X67:X68"/>
    <mergeCell ref="Y67:Y68"/>
    <mergeCell ref="Z67:Z68"/>
    <mergeCell ref="AA67:AA68"/>
    <mergeCell ref="AB67:AB68"/>
    <mergeCell ref="AC67:AC68"/>
    <mergeCell ref="AD67:AD68"/>
    <mergeCell ref="AE67:AE68"/>
    <mergeCell ref="AF67:AF68"/>
    <mergeCell ref="AG67:AG68"/>
    <mergeCell ref="AH67:AH68"/>
    <mergeCell ref="AI67:AI68"/>
    <mergeCell ref="AJ67:AJ68"/>
    <mergeCell ref="AK67:AK68"/>
    <mergeCell ref="AL67:AL68"/>
    <mergeCell ref="AM67:AM68"/>
    <mergeCell ref="AN67:AN68"/>
    <mergeCell ref="AO67:AO68"/>
    <mergeCell ref="AP67:AP68"/>
    <mergeCell ref="AQ67:AQ68"/>
    <mergeCell ref="AR67:AR68"/>
    <mergeCell ref="AS67:AS68"/>
    <mergeCell ref="AT67:AT68"/>
    <mergeCell ref="AU67:AU68"/>
    <mergeCell ref="AV67:AV68"/>
    <mergeCell ref="AW67:AW68"/>
    <mergeCell ref="AX67:AX68"/>
    <mergeCell ref="AY67:AY68"/>
    <mergeCell ref="AZ67:AZ68"/>
    <mergeCell ref="BA67:BA68"/>
    <mergeCell ref="BB67:BB68"/>
    <mergeCell ref="BC67:BC68"/>
    <mergeCell ref="BD67:BD68"/>
    <mergeCell ref="BE67:BE68"/>
    <mergeCell ref="BF67:BF68"/>
    <mergeCell ref="BG67:BG68"/>
    <mergeCell ref="BH67:BH68"/>
    <mergeCell ref="BI67:BI68"/>
    <mergeCell ref="BJ67:BJ68"/>
    <mergeCell ref="BK67:BK68"/>
    <mergeCell ref="BL67:BL68"/>
    <mergeCell ref="BM67:BM68"/>
    <mergeCell ref="BN67:BN68"/>
    <mergeCell ref="BO67:BO68"/>
    <mergeCell ref="BP67:BP68"/>
    <mergeCell ref="BQ67:BQ68"/>
    <mergeCell ref="BR67:BR68"/>
    <mergeCell ref="BS67:BS68"/>
    <mergeCell ref="BT67:BT68"/>
    <mergeCell ref="BU67:BU68"/>
    <mergeCell ref="BV67:BV68"/>
    <mergeCell ref="BW67:BW68"/>
    <mergeCell ref="BX67:BX68"/>
    <mergeCell ref="BY67:BY68"/>
    <mergeCell ref="BZ67:BZ68"/>
    <mergeCell ref="CA67:CA68"/>
    <mergeCell ref="CB67:CB68"/>
    <mergeCell ref="CC67:CC68"/>
    <mergeCell ref="CD67:CD68"/>
    <mergeCell ref="CE67:CE68"/>
    <mergeCell ref="CF67:CF68"/>
    <mergeCell ref="CG67:CG68"/>
    <mergeCell ref="CH67:CH68"/>
    <mergeCell ref="A69:A70"/>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P69:P70"/>
    <mergeCell ref="Q69:Q70"/>
    <mergeCell ref="R69:R70"/>
    <mergeCell ref="S69:S70"/>
    <mergeCell ref="T69:T70"/>
    <mergeCell ref="U69:U70"/>
    <mergeCell ref="V69:V70"/>
    <mergeCell ref="W69:W70"/>
    <mergeCell ref="X69:X70"/>
    <mergeCell ref="Y69:Y70"/>
    <mergeCell ref="Z69:Z70"/>
    <mergeCell ref="AA69:AA70"/>
    <mergeCell ref="AB69:AB70"/>
    <mergeCell ref="AC69:AC70"/>
    <mergeCell ref="AD69:AD70"/>
    <mergeCell ref="AE69:AE70"/>
    <mergeCell ref="AF69:AF70"/>
    <mergeCell ref="AG69:AG70"/>
    <mergeCell ref="AH69:AH70"/>
    <mergeCell ref="AI69:AI70"/>
    <mergeCell ref="AJ69:AJ70"/>
    <mergeCell ref="AK69:AK70"/>
    <mergeCell ref="AL69:AL70"/>
    <mergeCell ref="AM69:AM70"/>
    <mergeCell ref="AN69:AN70"/>
    <mergeCell ref="AO69:AO70"/>
    <mergeCell ref="AP69:AP70"/>
    <mergeCell ref="AQ69:AQ70"/>
    <mergeCell ref="AR69:AR70"/>
    <mergeCell ref="AS69:AS70"/>
    <mergeCell ref="AT69:AT70"/>
    <mergeCell ref="AU69:AU70"/>
    <mergeCell ref="AV69:AV70"/>
    <mergeCell ref="AW69:AW70"/>
    <mergeCell ref="AX69:AX70"/>
    <mergeCell ref="AY69:AY70"/>
    <mergeCell ref="AZ69:AZ70"/>
    <mergeCell ref="BA69:BA70"/>
    <mergeCell ref="BB69:BB70"/>
    <mergeCell ref="BC69:BC70"/>
    <mergeCell ref="BD69:BD70"/>
    <mergeCell ref="BE69:BE70"/>
    <mergeCell ref="BF69:BF70"/>
    <mergeCell ref="BG69:BG70"/>
    <mergeCell ref="BH69:BH70"/>
    <mergeCell ref="BI69:BI70"/>
    <mergeCell ref="BJ69:BJ70"/>
    <mergeCell ref="BK69:BK70"/>
    <mergeCell ref="BL69:BL70"/>
    <mergeCell ref="BM69:BM70"/>
    <mergeCell ref="BN69:BN70"/>
    <mergeCell ref="BO69:BO70"/>
    <mergeCell ref="BP69:BP70"/>
    <mergeCell ref="BQ69:BQ70"/>
    <mergeCell ref="BR69:BR70"/>
    <mergeCell ref="BS69:BS70"/>
    <mergeCell ref="BT69:BT70"/>
    <mergeCell ref="BU69:BU70"/>
    <mergeCell ref="BV69:BV70"/>
    <mergeCell ref="BW69:BW70"/>
    <mergeCell ref="BX69:BX70"/>
    <mergeCell ref="BY69:BY70"/>
    <mergeCell ref="BZ69:BZ70"/>
    <mergeCell ref="CA69:CA70"/>
    <mergeCell ref="CB69:CB70"/>
    <mergeCell ref="CC69:CC70"/>
    <mergeCell ref="CD69:CD70"/>
    <mergeCell ref="CE69:CE70"/>
    <mergeCell ref="CF69:CF70"/>
    <mergeCell ref="CG69:CG70"/>
    <mergeCell ref="CH69:CH70"/>
    <mergeCell ref="A71:A72"/>
    <mergeCell ref="B71:B72"/>
    <mergeCell ref="C71:C72"/>
    <mergeCell ref="D71:D72"/>
    <mergeCell ref="E71:E72"/>
    <mergeCell ref="F71:F72"/>
    <mergeCell ref="G71:G72"/>
    <mergeCell ref="H71:H72"/>
    <mergeCell ref="I71:I72"/>
    <mergeCell ref="J71:J72"/>
    <mergeCell ref="K71:K72"/>
    <mergeCell ref="L71:L72"/>
    <mergeCell ref="M71:M72"/>
    <mergeCell ref="N71:N72"/>
    <mergeCell ref="O71:O72"/>
    <mergeCell ref="P71:P72"/>
    <mergeCell ref="Q71:Q72"/>
    <mergeCell ref="R71:R72"/>
    <mergeCell ref="S71:S72"/>
    <mergeCell ref="T71:T72"/>
    <mergeCell ref="U71:U72"/>
    <mergeCell ref="V71:V72"/>
    <mergeCell ref="W71:W72"/>
    <mergeCell ref="X71:X72"/>
    <mergeCell ref="Y71:Y72"/>
    <mergeCell ref="Z71:Z72"/>
    <mergeCell ref="AA71:AA72"/>
    <mergeCell ref="AB71:AB72"/>
    <mergeCell ref="AC71:AC72"/>
    <mergeCell ref="AD71:AD72"/>
    <mergeCell ref="AE71:AE72"/>
    <mergeCell ref="AF71:AF72"/>
    <mergeCell ref="AG71:AG72"/>
    <mergeCell ref="AH71:AH72"/>
    <mergeCell ref="AI71:AI72"/>
    <mergeCell ref="AJ71:AJ72"/>
    <mergeCell ref="AK71:AK72"/>
    <mergeCell ref="AL71:AL72"/>
    <mergeCell ref="AM71:AM72"/>
    <mergeCell ref="AN71:AN72"/>
    <mergeCell ref="AO71:AO72"/>
    <mergeCell ref="AP71:AP72"/>
    <mergeCell ref="AQ71:AQ72"/>
    <mergeCell ref="AR71:AR72"/>
    <mergeCell ref="AS71:AS72"/>
    <mergeCell ref="AT71:AT72"/>
    <mergeCell ref="AU71:AU72"/>
    <mergeCell ref="AV71:AV72"/>
    <mergeCell ref="AW71:AW72"/>
    <mergeCell ref="AX71:AX72"/>
    <mergeCell ref="AY71:AY72"/>
    <mergeCell ref="AZ71:AZ72"/>
    <mergeCell ref="BA71:BA72"/>
    <mergeCell ref="BB71:BB72"/>
    <mergeCell ref="BC71:BC72"/>
    <mergeCell ref="BD71:BD72"/>
    <mergeCell ref="BE71:BE72"/>
    <mergeCell ref="BF71:BF72"/>
    <mergeCell ref="BG71:BG72"/>
    <mergeCell ref="BH71:BH72"/>
    <mergeCell ref="BI71:BI72"/>
    <mergeCell ref="BJ71:BJ72"/>
    <mergeCell ref="BK71:BK72"/>
    <mergeCell ref="BL71:BL72"/>
    <mergeCell ref="BM71:BM72"/>
    <mergeCell ref="BN71:BN72"/>
    <mergeCell ref="BO71:BO72"/>
    <mergeCell ref="BP71:BP72"/>
    <mergeCell ref="BQ71:BQ72"/>
    <mergeCell ref="BR71:BR72"/>
    <mergeCell ref="BS71:BS72"/>
    <mergeCell ref="BT71:BT72"/>
    <mergeCell ref="BU71:BU72"/>
    <mergeCell ref="BV71:BV72"/>
    <mergeCell ref="BW71:BW72"/>
    <mergeCell ref="BX71:BX72"/>
    <mergeCell ref="BY71:BY72"/>
    <mergeCell ref="BZ71:BZ72"/>
    <mergeCell ref="CA71:CA72"/>
    <mergeCell ref="CB71:CB72"/>
    <mergeCell ref="CC71:CC72"/>
    <mergeCell ref="CD71:CD72"/>
    <mergeCell ref="CE71:CE72"/>
    <mergeCell ref="CF71:CF72"/>
    <mergeCell ref="CG71:CG72"/>
    <mergeCell ref="CH71:CH72"/>
    <mergeCell ref="A73:A74"/>
    <mergeCell ref="B73:B74"/>
    <mergeCell ref="C73:C74"/>
    <mergeCell ref="D73:D74"/>
    <mergeCell ref="E73:E74"/>
    <mergeCell ref="F73:F74"/>
    <mergeCell ref="G73:G74"/>
    <mergeCell ref="H73:H74"/>
    <mergeCell ref="I73:I74"/>
    <mergeCell ref="J73:J74"/>
    <mergeCell ref="K73:K74"/>
    <mergeCell ref="L73:L74"/>
    <mergeCell ref="M73:M74"/>
    <mergeCell ref="N73:N74"/>
    <mergeCell ref="O73:O74"/>
    <mergeCell ref="P73:P74"/>
    <mergeCell ref="Q73:Q74"/>
    <mergeCell ref="R73:R74"/>
    <mergeCell ref="S73:S74"/>
    <mergeCell ref="T73:T74"/>
    <mergeCell ref="U73:U74"/>
    <mergeCell ref="V73:V74"/>
    <mergeCell ref="W73:W74"/>
    <mergeCell ref="X73:X74"/>
    <mergeCell ref="Y73:Y74"/>
    <mergeCell ref="Z73:Z74"/>
    <mergeCell ref="AA73:AA74"/>
    <mergeCell ref="AB73:AB74"/>
    <mergeCell ref="AC73:AC74"/>
    <mergeCell ref="AD73:AD74"/>
    <mergeCell ref="AE73:AE74"/>
    <mergeCell ref="AF73:AF74"/>
    <mergeCell ref="AG73:AG74"/>
    <mergeCell ref="AH73:AH74"/>
    <mergeCell ref="AI73:AI74"/>
    <mergeCell ref="AJ73:AJ74"/>
    <mergeCell ref="AK73:AK74"/>
    <mergeCell ref="AL73:AL74"/>
    <mergeCell ref="AM73:AM74"/>
    <mergeCell ref="AN73:AN74"/>
    <mergeCell ref="AO73:AO74"/>
    <mergeCell ref="AP73:AP74"/>
    <mergeCell ref="AQ73:AQ74"/>
    <mergeCell ref="AR73:AR74"/>
    <mergeCell ref="AS73:AS74"/>
    <mergeCell ref="AT73:AT74"/>
    <mergeCell ref="AU73:AU74"/>
    <mergeCell ref="AV73:AV74"/>
    <mergeCell ref="AW73:AW74"/>
    <mergeCell ref="AX73:AX74"/>
    <mergeCell ref="AY73:AY74"/>
    <mergeCell ref="AZ73:AZ74"/>
    <mergeCell ref="BA73:BA74"/>
    <mergeCell ref="BB73:BB74"/>
    <mergeCell ref="BC73:BC74"/>
    <mergeCell ref="BD73:BD74"/>
    <mergeCell ref="BE73:BE74"/>
    <mergeCell ref="BF73:BF74"/>
    <mergeCell ref="BG73:BG74"/>
    <mergeCell ref="BH73:BH74"/>
    <mergeCell ref="BI73:BI74"/>
    <mergeCell ref="BJ73:BJ74"/>
    <mergeCell ref="BK73:BK74"/>
    <mergeCell ref="BL73:BL74"/>
    <mergeCell ref="BM73:BM74"/>
    <mergeCell ref="BN73:BN74"/>
    <mergeCell ref="BO73:BO74"/>
    <mergeCell ref="BP73:BP74"/>
    <mergeCell ref="BQ73:BQ74"/>
    <mergeCell ref="BR73:BR74"/>
    <mergeCell ref="BS73:BS74"/>
    <mergeCell ref="BT73:BT74"/>
    <mergeCell ref="BU73:BU74"/>
    <mergeCell ref="BV73:BV74"/>
    <mergeCell ref="BW73:BW74"/>
    <mergeCell ref="BX73:BX74"/>
    <mergeCell ref="BY73:BY74"/>
    <mergeCell ref="BZ73:BZ74"/>
    <mergeCell ref="CA73:CA74"/>
    <mergeCell ref="CB73:CB74"/>
    <mergeCell ref="CC73:CC74"/>
    <mergeCell ref="CD73:CD74"/>
    <mergeCell ref="CE73:CE74"/>
    <mergeCell ref="CF73:CF74"/>
    <mergeCell ref="CG73:CG74"/>
    <mergeCell ref="CH73:CH74"/>
    <mergeCell ref="A75:A76"/>
    <mergeCell ref="B75:B76"/>
    <mergeCell ref="C75:C76"/>
    <mergeCell ref="D75:D76"/>
    <mergeCell ref="E75:E76"/>
    <mergeCell ref="F75:F76"/>
    <mergeCell ref="G75:G76"/>
    <mergeCell ref="H75:H76"/>
    <mergeCell ref="I75:I76"/>
    <mergeCell ref="J75:J76"/>
    <mergeCell ref="K75:K76"/>
    <mergeCell ref="L75:L76"/>
    <mergeCell ref="M75:M76"/>
    <mergeCell ref="N75:N76"/>
    <mergeCell ref="O75:O76"/>
    <mergeCell ref="P75:P76"/>
    <mergeCell ref="Q75:Q76"/>
    <mergeCell ref="R75:R76"/>
    <mergeCell ref="S75:S76"/>
    <mergeCell ref="T75:T76"/>
    <mergeCell ref="U75:U76"/>
    <mergeCell ref="V75:V76"/>
    <mergeCell ref="W75:W76"/>
    <mergeCell ref="X75:X76"/>
    <mergeCell ref="Y75:Y76"/>
    <mergeCell ref="Z75:Z76"/>
    <mergeCell ref="AA75:AA76"/>
    <mergeCell ref="AB75:AB76"/>
    <mergeCell ref="AC75:AC76"/>
    <mergeCell ref="AD75:AD76"/>
    <mergeCell ref="AE75:AE76"/>
    <mergeCell ref="AF75:AF76"/>
    <mergeCell ref="AG75:AG76"/>
    <mergeCell ref="AH75:AH76"/>
    <mergeCell ref="AI75:AI76"/>
    <mergeCell ref="AJ75:AJ76"/>
    <mergeCell ref="AK75:AK76"/>
    <mergeCell ref="AL75:AL76"/>
    <mergeCell ref="AM75:AM76"/>
    <mergeCell ref="AN75:AN76"/>
    <mergeCell ref="AO75:AO76"/>
    <mergeCell ref="AP75:AP76"/>
    <mergeCell ref="AQ75:AQ76"/>
    <mergeCell ref="AR75:AR76"/>
    <mergeCell ref="AS75:AS76"/>
    <mergeCell ref="AT75:AT76"/>
    <mergeCell ref="AU75:AU76"/>
    <mergeCell ref="AV75:AV76"/>
    <mergeCell ref="AW75:AW76"/>
    <mergeCell ref="AX75:AX76"/>
    <mergeCell ref="AY75:AY76"/>
    <mergeCell ref="AZ75:AZ76"/>
    <mergeCell ref="BA75:BA76"/>
    <mergeCell ref="BB75:BB76"/>
    <mergeCell ref="BC75:BC76"/>
    <mergeCell ref="BD75:BD76"/>
    <mergeCell ref="BE75:BE76"/>
    <mergeCell ref="BF75:BF76"/>
    <mergeCell ref="BG75:BG76"/>
    <mergeCell ref="BH75:BH76"/>
    <mergeCell ref="BI75:BI76"/>
    <mergeCell ref="BJ75:BJ76"/>
    <mergeCell ref="BK75:BK76"/>
    <mergeCell ref="BL75:BL76"/>
    <mergeCell ref="BM75:BM76"/>
    <mergeCell ref="BN75:BN76"/>
    <mergeCell ref="BO75:BO76"/>
    <mergeCell ref="BP75:BP76"/>
    <mergeCell ref="BQ75:BQ76"/>
    <mergeCell ref="BR75:BR76"/>
    <mergeCell ref="BS75:BS76"/>
    <mergeCell ref="BT75:BT76"/>
    <mergeCell ref="BU75:BU76"/>
    <mergeCell ref="BV75:BV76"/>
    <mergeCell ref="BW75:BW76"/>
    <mergeCell ref="BX75:BX76"/>
    <mergeCell ref="BY75:BY76"/>
    <mergeCell ref="BZ75:BZ76"/>
    <mergeCell ref="CA75:CA76"/>
    <mergeCell ref="CB75:CB76"/>
    <mergeCell ref="CC75:CC76"/>
    <mergeCell ref="CD75:CD76"/>
    <mergeCell ref="CE75:CE76"/>
    <mergeCell ref="CF75:CF76"/>
    <mergeCell ref="CG75:CG76"/>
    <mergeCell ref="CH75:CH76"/>
    <mergeCell ref="A77:A78"/>
    <mergeCell ref="B77:B78"/>
    <mergeCell ref="C77:C78"/>
    <mergeCell ref="D77:D78"/>
    <mergeCell ref="E77:E78"/>
    <mergeCell ref="F77:F78"/>
    <mergeCell ref="G77:G78"/>
    <mergeCell ref="H77:H78"/>
    <mergeCell ref="I77:I78"/>
    <mergeCell ref="J77:J78"/>
    <mergeCell ref="K77:K78"/>
    <mergeCell ref="L77:L78"/>
    <mergeCell ref="M77:M78"/>
    <mergeCell ref="N77:N78"/>
    <mergeCell ref="O77:O78"/>
    <mergeCell ref="P77:P78"/>
    <mergeCell ref="Q77:Q78"/>
    <mergeCell ref="R77:R78"/>
    <mergeCell ref="S77:S78"/>
    <mergeCell ref="T77:T78"/>
    <mergeCell ref="U77:U78"/>
    <mergeCell ref="V77:V78"/>
    <mergeCell ref="W77:W78"/>
    <mergeCell ref="X77:X78"/>
    <mergeCell ref="Y77:Y78"/>
    <mergeCell ref="Z77:Z78"/>
    <mergeCell ref="AA77:AA78"/>
    <mergeCell ref="AB77:AB78"/>
    <mergeCell ref="AC77:AC78"/>
    <mergeCell ref="AD77:AD78"/>
    <mergeCell ref="AE77:AE78"/>
    <mergeCell ref="AF77:AF78"/>
    <mergeCell ref="AG77:AG78"/>
    <mergeCell ref="AH77:AH78"/>
    <mergeCell ref="AI77:AI78"/>
    <mergeCell ref="AJ77:AJ78"/>
    <mergeCell ref="AK77:AK78"/>
    <mergeCell ref="AL77:AL78"/>
    <mergeCell ref="AM77:AM78"/>
    <mergeCell ref="AN77:AN78"/>
    <mergeCell ref="AO77:AO78"/>
    <mergeCell ref="AP77:AP78"/>
    <mergeCell ref="AQ77:AQ78"/>
    <mergeCell ref="AR77:AR78"/>
    <mergeCell ref="AS77:AS78"/>
    <mergeCell ref="AT77:AT78"/>
    <mergeCell ref="AU77:AU78"/>
    <mergeCell ref="AV77:AV78"/>
    <mergeCell ref="AW77:AW78"/>
    <mergeCell ref="AX77:AX78"/>
    <mergeCell ref="AY77:AY78"/>
    <mergeCell ref="AZ77:AZ78"/>
    <mergeCell ref="BA77:BA78"/>
    <mergeCell ref="BB77:BB78"/>
    <mergeCell ref="BC77:BC78"/>
    <mergeCell ref="BD77:BD78"/>
    <mergeCell ref="BE77:BE78"/>
    <mergeCell ref="BF77:BF78"/>
    <mergeCell ref="BG77:BG78"/>
    <mergeCell ref="BH77:BH78"/>
    <mergeCell ref="BI77:BI78"/>
    <mergeCell ref="BJ77:BJ78"/>
    <mergeCell ref="BK77:BK78"/>
    <mergeCell ref="BL77:BL78"/>
    <mergeCell ref="BM77:BM78"/>
    <mergeCell ref="BN77:BN78"/>
    <mergeCell ref="BO77:BO78"/>
    <mergeCell ref="BP77:BP78"/>
    <mergeCell ref="BQ77:BQ78"/>
    <mergeCell ref="BR77:BR78"/>
    <mergeCell ref="BS77:BS78"/>
    <mergeCell ref="BT77:BT78"/>
    <mergeCell ref="BU77:BU78"/>
    <mergeCell ref="BV77:BV78"/>
    <mergeCell ref="BW77:BW78"/>
    <mergeCell ref="BX77:BX78"/>
    <mergeCell ref="BY77:BY78"/>
    <mergeCell ref="BZ77:BZ78"/>
    <mergeCell ref="CA77:CA78"/>
    <mergeCell ref="CB77:CB78"/>
    <mergeCell ref="CC77:CC78"/>
    <mergeCell ref="CD77:CD78"/>
    <mergeCell ref="CE77:CE78"/>
    <mergeCell ref="CF77:CF78"/>
    <mergeCell ref="CG77:CG78"/>
    <mergeCell ref="CH77:CH78"/>
    <mergeCell ref="A79:A80"/>
    <mergeCell ref="B79:B80"/>
    <mergeCell ref="C79:C80"/>
    <mergeCell ref="D79:D80"/>
    <mergeCell ref="E79:E80"/>
    <mergeCell ref="F79:F80"/>
    <mergeCell ref="G79:G80"/>
    <mergeCell ref="H79:H80"/>
    <mergeCell ref="I79:I80"/>
    <mergeCell ref="J79:J80"/>
    <mergeCell ref="K79:K80"/>
    <mergeCell ref="L79:L80"/>
    <mergeCell ref="M79:M80"/>
    <mergeCell ref="N79:N80"/>
    <mergeCell ref="O79:O80"/>
    <mergeCell ref="P79:P80"/>
    <mergeCell ref="Q79:Q80"/>
    <mergeCell ref="R79:R80"/>
    <mergeCell ref="S79:S80"/>
    <mergeCell ref="T79:T80"/>
    <mergeCell ref="U79:U80"/>
    <mergeCell ref="V79:V80"/>
    <mergeCell ref="W79:W80"/>
    <mergeCell ref="X79:X80"/>
    <mergeCell ref="Y79:Y80"/>
    <mergeCell ref="Z79:Z80"/>
    <mergeCell ref="AA79:AA80"/>
    <mergeCell ref="AB79:AB80"/>
    <mergeCell ref="AC79:AC80"/>
    <mergeCell ref="AD79:AD80"/>
    <mergeCell ref="AE79:AE80"/>
    <mergeCell ref="AF79:AF80"/>
    <mergeCell ref="AG79:AG80"/>
    <mergeCell ref="AH79:AH80"/>
    <mergeCell ref="AI79:AI80"/>
    <mergeCell ref="AJ79:AJ80"/>
    <mergeCell ref="AK79:AK80"/>
    <mergeCell ref="AL79:AL80"/>
    <mergeCell ref="AM79:AM80"/>
    <mergeCell ref="AN79:AN80"/>
    <mergeCell ref="AO79:AO80"/>
    <mergeCell ref="AP79:AP80"/>
    <mergeCell ref="AQ79:AQ80"/>
    <mergeCell ref="AR79:AR80"/>
    <mergeCell ref="AS79:AS80"/>
    <mergeCell ref="AT79:AT80"/>
    <mergeCell ref="AU79:AU80"/>
    <mergeCell ref="AV79:AV80"/>
    <mergeCell ref="AW79:AW80"/>
    <mergeCell ref="AX79:AX80"/>
    <mergeCell ref="AY79:AY80"/>
    <mergeCell ref="AZ79:AZ80"/>
    <mergeCell ref="BA79:BA80"/>
    <mergeCell ref="BB79:BB80"/>
    <mergeCell ref="BC79:BC80"/>
    <mergeCell ref="BD79:BD80"/>
    <mergeCell ref="BE79:BE80"/>
    <mergeCell ref="BF79:BF80"/>
    <mergeCell ref="BG79:BG80"/>
    <mergeCell ref="BH79:BH80"/>
    <mergeCell ref="BI79:BI80"/>
    <mergeCell ref="BJ79:BJ80"/>
    <mergeCell ref="BK79:BK80"/>
    <mergeCell ref="BL79:BL80"/>
    <mergeCell ref="BM79:BM80"/>
    <mergeCell ref="BN79:BN80"/>
    <mergeCell ref="BO79:BO80"/>
    <mergeCell ref="BP79:BP80"/>
    <mergeCell ref="BQ79:BQ80"/>
    <mergeCell ref="BR79:BR80"/>
    <mergeCell ref="BS79:BS80"/>
    <mergeCell ref="BT79:BT80"/>
    <mergeCell ref="BU79:BU80"/>
    <mergeCell ref="BV79:BV80"/>
    <mergeCell ref="BW79:BW80"/>
    <mergeCell ref="BX79:BX80"/>
    <mergeCell ref="BY79:BY80"/>
    <mergeCell ref="BZ79:BZ80"/>
    <mergeCell ref="CA79:CA80"/>
    <mergeCell ref="CB79:CB80"/>
    <mergeCell ref="CC79:CC80"/>
    <mergeCell ref="CD79:CD80"/>
    <mergeCell ref="CE79:CE80"/>
    <mergeCell ref="CF79:CF80"/>
    <mergeCell ref="CG79:CG80"/>
    <mergeCell ref="CH79:CH80"/>
    <mergeCell ref="A83:A84"/>
    <mergeCell ref="B83:B84"/>
    <mergeCell ref="C83:C84"/>
    <mergeCell ref="D83:D84"/>
    <mergeCell ref="E83:E84"/>
    <mergeCell ref="F83:F84"/>
    <mergeCell ref="G83:G84"/>
    <mergeCell ref="H83:H84"/>
    <mergeCell ref="I83:I84"/>
    <mergeCell ref="J83:J84"/>
    <mergeCell ref="K83:K84"/>
    <mergeCell ref="L83:L84"/>
    <mergeCell ref="M83:M84"/>
    <mergeCell ref="N83:N84"/>
    <mergeCell ref="O83:O84"/>
    <mergeCell ref="P83:P84"/>
    <mergeCell ref="Q83:Q84"/>
    <mergeCell ref="R83:R84"/>
    <mergeCell ref="S83:S84"/>
    <mergeCell ref="T83:T84"/>
    <mergeCell ref="U83:U84"/>
    <mergeCell ref="V83:V84"/>
    <mergeCell ref="W83:W84"/>
    <mergeCell ref="X83:X84"/>
    <mergeCell ref="Y83:Y84"/>
    <mergeCell ref="Z83:Z84"/>
    <mergeCell ref="AA83:AA84"/>
    <mergeCell ref="AB83:AB84"/>
    <mergeCell ref="AC83:AC84"/>
    <mergeCell ref="AD83:AD84"/>
    <mergeCell ref="AE83:AE84"/>
    <mergeCell ref="AF83:AF84"/>
    <mergeCell ref="AG83:AG84"/>
    <mergeCell ref="AH83:AH84"/>
    <mergeCell ref="AI83:AI84"/>
    <mergeCell ref="AJ83:AJ84"/>
    <mergeCell ref="AK83:AK84"/>
    <mergeCell ref="AL83:AL84"/>
    <mergeCell ref="AM83:AM84"/>
    <mergeCell ref="AN83:AN84"/>
    <mergeCell ref="AO83:AO84"/>
    <mergeCell ref="AP83:AP84"/>
    <mergeCell ref="AQ83:AQ84"/>
    <mergeCell ref="AR83:AR84"/>
    <mergeCell ref="AS83:AS84"/>
    <mergeCell ref="AT83:AT84"/>
    <mergeCell ref="AU83:AU84"/>
    <mergeCell ref="AV83:AV84"/>
    <mergeCell ref="AW83:AW84"/>
    <mergeCell ref="AX83:AX84"/>
    <mergeCell ref="AY83:AY84"/>
    <mergeCell ref="AZ83:AZ84"/>
    <mergeCell ref="BA83:BA84"/>
    <mergeCell ref="BB83:BB84"/>
    <mergeCell ref="BC83:BC84"/>
    <mergeCell ref="BD83:BD84"/>
    <mergeCell ref="BE83:BE84"/>
    <mergeCell ref="BF83:BF84"/>
    <mergeCell ref="BG83:BG84"/>
    <mergeCell ref="BH83:BH84"/>
    <mergeCell ref="BI83:BI84"/>
    <mergeCell ref="BJ83:BJ84"/>
    <mergeCell ref="BK83:BK84"/>
    <mergeCell ref="BL83:BL84"/>
    <mergeCell ref="BM83:BM84"/>
    <mergeCell ref="BN83:BN84"/>
    <mergeCell ref="BO83:BO84"/>
    <mergeCell ref="BP83:BP84"/>
    <mergeCell ref="BQ83:BQ84"/>
    <mergeCell ref="BR83:BR84"/>
    <mergeCell ref="BS83:BS84"/>
    <mergeCell ref="BT83:BT84"/>
    <mergeCell ref="BU83:BU84"/>
    <mergeCell ref="BV83:BV84"/>
    <mergeCell ref="BW83:BW84"/>
    <mergeCell ref="BX83:BX84"/>
    <mergeCell ref="BY83:BY84"/>
    <mergeCell ref="BZ83:BZ84"/>
    <mergeCell ref="CA83:CA84"/>
    <mergeCell ref="CB83:CB84"/>
    <mergeCell ref="CC83:CC84"/>
    <mergeCell ref="CD83:CD84"/>
    <mergeCell ref="CE83:CE84"/>
    <mergeCell ref="CF83:CF84"/>
    <mergeCell ref="CG83:CG84"/>
    <mergeCell ref="CH83:CH84"/>
    <mergeCell ref="A85:A86"/>
    <mergeCell ref="B85:B86"/>
    <mergeCell ref="C85:C86"/>
    <mergeCell ref="D85:D86"/>
    <mergeCell ref="E85:E86"/>
    <mergeCell ref="F85:F86"/>
    <mergeCell ref="G85:G86"/>
    <mergeCell ref="H85:H86"/>
    <mergeCell ref="I85:I86"/>
    <mergeCell ref="J85:J86"/>
    <mergeCell ref="K85:K86"/>
    <mergeCell ref="L85:L86"/>
    <mergeCell ref="M85:M86"/>
    <mergeCell ref="N85:N86"/>
    <mergeCell ref="O85:O86"/>
    <mergeCell ref="P85:P86"/>
    <mergeCell ref="Q85:Q86"/>
    <mergeCell ref="R85:R86"/>
    <mergeCell ref="S85:S86"/>
    <mergeCell ref="T85:T86"/>
    <mergeCell ref="U85:U86"/>
    <mergeCell ref="V85:V86"/>
    <mergeCell ref="W85:W86"/>
    <mergeCell ref="X85:X86"/>
    <mergeCell ref="Y85:Y86"/>
    <mergeCell ref="Z85:Z86"/>
    <mergeCell ref="AA85:AA86"/>
    <mergeCell ref="AB85:AB86"/>
    <mergeCell ref="AC85:AC86"/>
    <mergeCell ref="AD85:AD86"/>
    <mergeCell ref="AE85:AE86"/>
    <mergeCell ref="AF85:AF86"/>
    <mergeCell ref="AG85:AG86"/>
    <mergeCell ref="AH85:AH86"/>
    <mergeCell ref="AI85:AI86"/>
    <mergeCell ref="AJ85:AJ86"/>
    <mergeCell ref="AK85:AK86"/>
    <mergeCell ref="AL85:AL86"/>
    <mergeCell ref="AM85:AM86"/>
    <mergeCell ref="AN85:AN86"/>
    <mergeCell ref="AO85:AO86"/>
    <mergeCell ref="AP85:AP86"/>
    <mergeCell ref="AQ85:AQ86"/>
    <mergeCell ref="AR85:AR86"/>
    <mergeCell ref="AS85:AS86"/>
    <mergeCell ref="AT85:AT86"/>
    <mergeCell ref="AU85:AU86"/>
    <mergeCell ref="AV85:AV86"/>
    <mergeCell ref="AW85:AW86"/>
    <mergeCell ref="AX85:AX86"/>
    <mergeCell ref="AY85:AY86"/>
    <mergeCell ref="AZ85:AZ86"/>
    <mergeCell ref="BA85:BA86"/>
    <mergeCell ref="BB85:BB86"/>
    <mergeCell ref="BC85:BC86"/>
    <mergeCell ref="BD85:BD86"/>
    <mergeCell ref="BE85:BE86"/>
    <mergeCell ref="BF85:BF86"/>
    <mergeCell ref="BG85:BG86"/>
    <mergeCell ref="BH85:BH86"/>
    <mergeCell ref="BI85:BI86"/>
    <mergeCell ref="BJ85:BJ86"/>
    <mergeCell ref="BK85:BK86"/>
    <mergeCell ref="BL85:BL86"/>
    <mergeCell ref="BM85:BM86"/>
    <mergeCell ref="BN85:BN86"/>
    <mergeCell ref="BO85:BO86"/>
    <mergeCell ref="BP85:BP86"/>
    <mergeCell ref="BQ85:BQ86"/>
    <mergeCell ref="BR85:BR86"/>
    <mergeCell ref="BS85:BS86"/>
    <mergeCell ref="BT85:BT86"/>
    <mergeCell ref="BU85:BU86"/>
    <mergeCell ref="BV85:BV86"/>
    <mergeCell ref="BW85:BW86"/>
    <mergeCell ref="BX85:BX86"/>
    <mergeCell ref="BY85:BY86"/>
    <mergeCell ref="BZ85:BZ86"/>
    <mergeCell ref="CA85:CA86"/>
    <mergeCell ref="CB85:CB86"/>
    <mergeCell ref="CC85:CC86"/>
    <mergeCell ref="CD85:CD86"/>
    <mergeCell ref="CE85:CE86"/>
    <mergeCell ref="CF85:CF86"/>
    <mergeCell ref="CG85:CG86"/>
    <mergeCell ref="CH85:CH86"/>
    <mergeCell ref="A87:A88"/>
    <mergeCell ref="B87:B88"/>
    <mergeCell ref="C87:C88"/>
    <mergeCell ref="D87:D88"/>
    <mergeCell ref="E87:E88"/>
    <mergeCell ref="F87:F88"/>
    <mergeCell ref="G87:G88"/>
    <mergeCell ref="H87:H88"/>
    <mergeCell ref="I87:I88"/>
    <mergeCell ref="J87:J88"/>
    <mergeCell ref="K87:K88"/>
    <mergeCell ref="L87:L88"/>
    <mergeCell ref="M87:M88"/>
    <mergeCell ref="N87:N88"/>
    <mergeCell ref="O87:O88"/>
    <mergeCell ref="P87:P88"/>
    <mergeCell ref="Q87:Q88"/>
    <mergeCell ref="R87:R88"/>
    <mergeCell ref="S87:S88"/>
    <mergeCell ref="T87:T88"/>
    <mergeCell ref="U87:U88"/>
    <mergeCell ref="V87:V88"/>
    <mergeCell ref="W87:W88"/>
    <mergeCell ref="X87:X88"/>
    <mergeCell ref="Y87:Y88"/>
    <mergeCell ref="Z87:Z88"/>
    <mergeCell ref="AA87:AA88"/>
    <mergeCell ref="AB87:AB88"/>
    <mergeCell ref="AC87:AC88"/>
    <mergeCell ref="AD87:AD88"/>
    <mergeCell ref="AE87:AE88"/>
    <mergeCell ref="AF87:AF88"/>
    <mergeCell ref="AG87:AG88"/>
    <mergeCell ref="AH87:AH88"/>
    <mergeCell ref="AI87:AI88"/>
    <mergeCell ref="AJ87:AJ88"/>
    <mergeCell ref="AK87:AK88"/>
    <mergeCell ref="AL87:AL88"/>
    <mergeCell ref="AM87:AM88"/>
    <mergeCell ref="AN87:AN88"/>
    <mergeCell ref="AO87:AO88"/>
    <mergeCell ref="AP87:AP88"/>
    <mergeCell ref="AQ87:AQ88"/>
    <mergeCell ref="AR87:AR88"/>
    <mergeCell ref="AS87:AS88"/>
    <mergeCell ref="AT87:AT88"/>
    <mergeCell ref="AU87:AU88"/>
    <mergeCell ref="AV87:AV88"/>
    <mergeCell ref="AW87:AW88"/>
    <mergeCell ref="AX87:AX88"/>
    <mergeCell ref="AY87:AY88"/>
    <mergeCell ref="AZ87:AZ88"/>
    <mergeCell ref="BA87:BA88"/>
    <mergeCell ref="BB87:BB88"/>
    <mergeCell ref="BC87:BC88"/>
    <mergeCell ref="BD87:BD88"/>
    <mergeCell ref="BE87:BE88"/>
    <mergeCell ref="BF87:BF88"/>
    <mergeCell ref="BG87:BG88"/>
    <mergeCell ref="BH87:BH88"/>
    <mergeCell ref="BI87:BI88"/>
    <mergeCell ref="BJ87:BJ88"/>
    <mergeCell ref="BK87:BK88"/>
    <mergeCell ref="BL87:BL88"/>
    <mergeCell ref="BM87:BM88"/>
    <mergeCell ref="BN87:BN88"/>
    <mergeCell ref="BO87:BO88"/>
    <mergeCell ref="BP87:BP88"/>
    <mergeCell ref="BQ87:BQ88"/>
    <mergeCell ref="BR87:BR88"/>
    <mergeCell ref="BS87:BS88"/>
    <mergeCell ref="BT87:BT88"/>
    <mergeCell ref="BU87:BU88"/>
    <mergeCell ref="BV87:BV88"/>
    <mergeCell ref="BW87:BW88"/>
    <mergeCell ref="BX87:BX88"/>
    <mergeCell ref="BY87:BY88"/>
    <mergeCell ref="BZ87:BZ88"/>
    <mergeCell ref="CA87:CA88"/>
    <mergeCell ref="CB87:CB88"/>
    <mergeCell ref="CC87:CC88"/>
    <mergeCell ref="CD87:CD88"/>
    <mergeCell ref="CE87:CE88"/>
    <mergeCell ref="CF87:CF88"/>
    <mergeCell ref="CG87:CG88"/>
    <mergeCell ref="CH87:CH88"/>
    <mergeCell ref="A89:A90"/>
    <mergeCell ref="B89:B90"/>
    <mergeCell ref="C89:C90"/>
    <mergeCell ref="D89:D90"/>
    <mergeCell ref="E89:E90"/>
    <mergeCell ref="F89:F90"/>
    <mergeCell ref="G89:G90"/>
    <mergeCell ref="H89:H90"/>
    <mergeCell ref="I89:I90"/>
    <mergeCell ref="J89:J90"/>
    <mergeCell ref="K89:K90"/>
    <mergeCell ref="L89:L90"/>
    <mergeCell ref="M89:M90"/>
    <mergeCell ref="N89:N90"/>
    <mergeCell ref="O89:O90"/>
    <mergeCell ref="P89:P90"/>
    <mergeCell ref="Q89:Q90"/>
    <mergeCell ref="R89:R90"/>
    <mergeCell ref="S89:S90"/>
    <mergeCell ref="T89:T90"/>
    <mergeCell ref="U89:U90"/>
    <mergeCell ref="V89:V90"/>
    <mergeCell ref="W89:W90"/>
    <mergeCell ref="X89:X90"/>
    <mergeCell ref="Y89:Y90"/>
    <mergeCell ref="Z89:Z90"/>
    <mergeCell ref="AA89:AA90"/>
    <mergeCell ref="AB89:AB90"/>
    <mergeCell ref="AC89:AC90"/>
    <mergeCell ref="AD89:AD90"/>
    <mergeCell ref="AE89:AE90"/>
    <mergeCell ref="AF89:AF90"/>
    <mergeCell ref="AG89:AG90"/>
    <mergeCell ref="AH89:AH90"/>
    <mergeCell ref="AI89:AI90"/>
    <mergeCell ref="AJ89:AJ90"/>
    <mergeCell ref="AK89:AK90"/>
    <mergeCell ref="AL89:AL90"/>
    <mergeCell ref="AM89:AM90"/>
    <mergeCell ref="AN89:AN90"/>
    <mergeCell ref="AO89:AO90"/>
    <mergeCell ref="AP89:AP90"/>
    <mergeCell ref="AQ89:AQ90"/>
    <mergeCell ref="AR89:AR90"/>
    <mergeCell ref="AS89:AS90"/>
    <mergeCell ref="AT89:AT90"/>
    <mergeCell ref="AU89:AU90"/>
    <mergeCell ref="AV89:AV90"/>
    <mergeCell ref="AW89:AW90"/>
    <mergeCell ref="AX89:AX90"/>
    <mergeCell ref="AY89:AY90"/>
    <mergeCell ref="AZ89:AZ90"/>
    <mergeCell ref="BA89:BA90"/>
    <mergeCell ref="BB89:BB90"/>
    <mergeCell ref="BC89:BC90"/>
    <mergeCell ref="BD89:BD90"/>
    <mergeCell ref="BE89:BE90"/>
    <mergeCell ref="BF89:BF90"/>
    <mergeCell ref="BG89:BG90"/>
    <mergeCell ref="BH89:BH90"/>
    <mergeCell ref="BI89:BI90"/>
    <mergeCell ref="BJ89:BJ90"/>
    <mergeCell ref="BK89:BK90"/>
    <mergeCell ref="BL89:BL90"/>
    <mergeCell ref="BM89:BM90"/>
    <mergeCell ref="BN89:BN90"/>
    <mergeCell ref="BO89:BO90"/>
    <mergeCell ref="BP89:BP90"/>
    <mergeCell ref="BQ89:BQ90"/>
    <mergeCell ref="BR89:BR90"/>
    <mergeCell ref="BS89:BS90"/>
    <mergeCell ref="BT89:BT90"/>
    <mergeCell ref="BU89:BU90"/>
    <mergeCell ref="BV89:BV90"/>
    <mergeCell ref="BW89:BW90"/>
    <mergeCell ref="BX89:BX90"/>
    <mergeCell ref="BY89:BY90"/>
    <mergeCell ref="BZ89:BZ90"/>
    <mergeCell ref="CA89:CA90"/>
    <mergeCell ref="CB89:CB90"/>
    <mergeCell ref="CC89:CC90"/>
    <mergeCell ref="CD89:CD90"/>
    <mergeCell ref="CE89:CE90"/>
    <mergeCell ref="CF89:CF90"/>
    <mergeCell ref="CG89:CG90"/>
    <mergeCell ref="CH89:CH90"/>
    <mergeCell ref="A91:A92"/>
    <mergeCell ref="B91:B92"/>
    <mergeCell ref="C91:C92"/>
    <mergeCell ref="D91:D92"/>
    <mergeCell ref="E91:E92"/>
    <mergeCell ref="F91:F92"/>
    <mergeCell ref="G91:G92"/>
    <mergeCell ref="H91:H92"/>
    <mergeCell ref="I91:I92"/>
    <mergeCell ref="J91:J92"/>
    <mergeCell ref="K91:K92"/>
    <mergeCell ref="L91:L92"/>
    <mergeCell ref="M91:M92"/>
    <mergeCell ref="N91:N92"/>
    <mergeCell ref="O91:O92"/>
    <mergeCell ref="P91:P92"/>
    <mergeCell ref="Q91:Q92"/>
    <mergeCell ref="R91:R92"/>
    <mergeCell ref="S91:S92"/>
    <mergeCell ref="T91:T92"/>
    <mergeCell ref="U91:U92"/>
    <mergeCell ref="V91:V92"/>
    <mergeCell ref="W91:W92"/>
    <mergeCell ref="X91:X92"/>
    <mergeCell ref="Y91:Y92"/>
    <mergeCell ref="Z91:Z92"/>
    <mergeCell ref="AA91:AA92"/>
    <mergeCell ref="AB91:AB92"/>
    <mergeCell ref="AC91:AC92"/>
    <mergeCell ref="AD91:AD92"/>
    <mergeCell ref="AE91:AE92"/>
    <mergeCell ref="AF91:AF92"/>
    <mergeCell ref="AG91:AG92"/>
    <mergeCell ref="AH91:AH92"/>
    <mergeCell ref="AI91:AI92"/>
    <mergeCell ref="AJ91:AJ92"/>
    <mergeCell ref="AK91:AK92"/>
    <mergeCell ref="AL91:AL92"/>
    <mergeCell ref="AM91:AM92"/>
    <mergeCell ref="AN91:AN92"/>
    <mergeCell ref="AO91:AO92"/>
    <mergeCell ref="AP91:AP92"/>
    <mergeCell ref="AQ91:AQ92"/>
    <mergeCell ref="AR91:AR92"/>
    <mergeCell ref="AS91:AS92"/>
    <mergeCell ref="AT91:AT92"/>
    <mergeCell ref="AU91:AU92"/>
    <mergeCell ref="AV91:AV92"/>
    <mergeCell ref="AW91:AW92"/>
    <mergeCell ref="AX91:AX92"/>
    <mergeCell ref="AY91:AY92"/>
    <mergeCell ref="AZ91:AZ92"/>
    <mergeCell ref="BA91:BA92"/>
    <mergeCell ref="BB91:BB92"/>
    <mergeCell ref="BC91:BC92"/>
    <mergeCell ref="BD91:BD92"/>
    <mergeCell ref="BE91:BE92"/>
    <mergeCell ref="BF91:BF92"/>
    <mergeCell ref="BG91:BG92"/>
    <mergeCell ref="BH91:BH92"/>
    <mergeCell ref="BI91:BI92"/>
    <mergeCell ref="BJ91:BJ92"/>
    <mergeCell ref="BK91:BK92"/>
    <mergeCell ref="BL91:BL92"/>
    <mergeCell ref="BM91:BM92"/>
    <mergeCell ref="BN91:BN92"/>
    <mergeCell ref="BO91:BO92"/>
    <mergeCell ref="BP91:BP92"/>
    <mergeCell ref="BQ91:BQ92"/>
    <mergeCell ref="BR91:BR92"/>
    <mergeCell ref="BS91:BS92"/>
    <mergeCell ref="BT91:BT92"/>
    <mergeCell ref="BU91:BU92"/>
    <mergeCell ref="BV91:BV92"/>
    <mergeCell ref="BW91:BW92"/>
    <mergeCell ref="BX91:BX92"/>
    <mergeCell ref="BY91:BY92"/>
    <mergeCell ref="BZ91:BZ92"/>
    <mergeCell ref="CA91:CA92"/>
    <mergeCell ref="CB91:CB92"/>
    <mergeCell ref="CC91:CC92"/>
    <mergeCell ref="CD91:CD92"/>
    <mergeCell ref="CE91:CE92"/>
    <mergeCell ref="CF91:CF92"/>
    <mergeCell ref="CG91:CG92"/>
    <mergeCell ref="CH91:CH92"/>
    <mergeCell ref="A93:A94"/>
    <mergeCell ref="B93:B94"/>
    <mergeCell ref="C93:C94"/>
    <mergeCell ref="D93:D94"/>
    <mergeCell ref="E93:E94"/>
    <mergeCell ref="F93:F94"/>
    <mergeCell ref="G93:G94"/>
    <mergeCell ref="H93:H94"/>
    <mergeCell ref="I93:I94"/>
    <mergeCell ref="J93:J94"/>
    <mergeCell ref="K93:K94"/>
    <mergeCell ref="L93:L94"/>
    <mergeCell ref="M93:M94"/>
    <mergeCell ref="N93:N94"/>
    <mergeCell ref="O93:O94"/>
    <mergeCell ref="P93:P94"/>
    <mergeCell ref="Q93:Q94"/>
    <mergeCell ref="R93:R94"/>
    <mergeCell ref="S93:S94"/>
    <mergeCell ref="T93:T94"/>
    <mergeCell ref="U93:U94"/>
    <mergeCell ref="V93:V94"/>
    <mergeCell ref="W93:W94"/>
    <mergeCell ref="X93:X94"/>
    <mergeCell ref="Y93:Y94"/>
    <mergeCell ref="Z93:Z94"/>
    <mergeCell ref="AA93:AA94"/>
    <mergeCell ref="AB93:AB94"/>
    <mergeCell ref="AC93:AC94"/>
    <mergeCell ref="AD93:AD94"/>
    <mergeCell ref="AE93:AE94"/>
    <mergeCell ref="AF93:AF94"/>
    <mergeCell ref="AG93:AG94"/>
    <mergeCell ref="AH93:AH94"/>
    <mergeCell ref="AI93:AI94"/>
    <mergeCell ref="AJ93:AJ94"/>
    <mergeCell ref="AK93:AK94"/>
    <mergeCell ref="AL93:AL94"/>
    <mergeCell ref="AM93:AM94"/>
    <mergeCell ref="AN93:AN94"/>
    <mergeCell ref="AO93:AO94"/>
    <mergeCell ref="AP93:AP94"/>
    <mergeCell ref="AQ93:AQ94"/>
    <mergeCell ref="AR93:AR94"/>
    <mergeCell ref="AS93:AS94"/>
    <mergeCell ref="AT93:AT94"/>
    <mergeCell ref="AU93:AU94"/>
    <mergeCell ref="AV93:AV94"/>
    <mergeCell ref="AW93:AW94"/>
    <mergeCell ref="AX93:AX94"/>
    <mergeCell ref="AY93:AY94"/>
    <mergeCell ref="AZ93:AZ94"/>
    <mergeCell ref="BA93:BA94"/>
    <mergeCell ref="BB93:BB94"/>
    <mergeCell ref="BC93:BC94"/>
    <mergeCell ref="BD93:BD94"/>
    <mergeCell ref="BE93:BE94"/>
    <mergeCell ref="BF93:BF94"/>
    <mergeCell ref="BG93:BG94"/>
    <mergeCell ref="BH93:BH94"/>
    <mergeCell ref="BI93:BI94"/>
    <mergeCell ref="BJ93:BJ94"/>
    <mergeCell ref="BK93:BK94"/>
    <mergeCell ref="BL93:BL94"/>
    <mergeCell ref="BM93:BM94"/>
    <mergeCell ref="BN93:BN94"/>
    <mergeCell ref="BO93:BO94"/>
    <mergeCell ref="BP93:BP94"/>
    <mergeCell ref="BQ93:BQ94"/>
    <mergeCell ref="BR93:BR94"/>
    <mergeCell ref="BS93:BS94"/>
    <mergeCell ref="BT93:BT94"/>
    <mergeCell ref="BU93:BU94"/>
    <mergeCell ref="BV93:BV94"/>
    <mergeCell ref="BW93:BW94"/>
    <mergeCell ref="BX93:BX94"/>
    <mergeCell ref="BY93:BY94"/>
    <mergeCell ref="BZ93:BZ94"/>
    <mergeCell ref="CA93:CA94"/>
    <mergeCell ref="CB93:CB94"/>
    <mergeCell ref="CC93:CC94"/>
    <mergeCell ref="CD93:CD94"/>
    <mergeCell ref="CE93:CE94"/>
    <mergeCell ref="CF93:CF94"/>
    <mergeCell ref="CG93:CG94"/>
    <mergeCell ref="CH93:CH94"/>
    <mergeCell ref="A95:A96"/>
    <mergeCell ref="B95:B96"/>
    <mergeCell ref="C95:C96"/>
    <mergeCell ref="D95:D96"/>
    <mergeCell ref="E95:E96"/>
    <mergeCell ref="F95:F96"/>
    <mergeCell ref="G95:G96"/>
    <mergeCell ref="H95:H96"/>
    <mergeCell ref="I95:I96"/>
    <mergeCell ref="J95:J96"/>
    <mergeCell ref="K95:K96"/>
    <mergeCell ref="L95:L96"/>
    <mergeCell ref="M95:M96"/>
    <mergeCell ref="N95:N96"/>
    <mergeCell ref="O95:O96"/>
    <mergeCell ref="P95:P96"/>
    <mergeCell ref="Q95:Q96"/>
    <mergeCell ref="R95:R96"/>
    <mergeCell ref="S95:S96"/>
    <mergeCell ref="T95:T96"/>
    <mergeCell ref="U95:U96"/>
    <mergeCell ref="V95:V96"/>
    <mergeCell ref="W95:W96"/>
    <mergeCell ref="X95:X96"/>
    <mergeCell ref="Y95:Y96"/>
    <mergeCell ref="Z95:Z96"/>
    <mergeCell ref="AA95:AA96"/>
    <mergeCell ref="AB95:AB96"/>
    <mergeCell ref="AC95:AC96"/>
    <mergeCell ref="AD95:AD96"/>
    <mergeCell ref="AE95:AE96"/>
    <mergeCell ref="AF95:AF96"/>
    <mergeCell ref="AG95:AG96"/>
    <mergeCell ref="AH95:AH96"/>
    <mergeCell ref="AI95:AI96"/>
    <mergeCell ref="AJ95:AJ96"/>
    <mergeCell ref="AK95:AK96"/>
    <mergeCell ref="AL95:AL96"/>
    <mergeCell ref="AM95:AM96"/>
    <mergeCell ref="AN95:AN96"/>
    <mergeCell ref="AO95:AO96"/>
    <mergeCell ref="AP95:AP96"/>
    <mergeCell ref="AQ95:AQ96"/>
    <mergeCell ref="AR95:AR96"/>
    <mergeCell ref="AS95:AS96"/>
    <mergeCell ref="AT95:AT96"/>
    <mergeCell ref="AU95:AU96"/>
    <mergeCell ref="AV95:AV96"/>
    <mergeCell ref="AW95:AW96"/>
    <mergeCell ref="AX95:AX96"/>
    <mergeCell ref="AY95:AY96"/>
    <mergeCell ref="AZ95:AZ96"/>
    <mergeCell ref="BA95:BA96"/>
    <mergeCell ref="BB95:BB96"/>
    <mergeCell ref="BC95:BC96"/>
    <mergeCell ref="BD95:BD96"/>
    <mergeCell ref="BE95:BE96"/>
    <mergeCell ref="BF95:BF96"/>
    <mergeCell ref="BG95:BG96"/>
    <mergeCell ref="BH95:BH96"/>
    <mergeCell ref="BI95:BI96"/>
    <mergeCell ref="BJ95:BJ96"/>
    <mergeCell ref="BK95:BK96"/>
    <mergeCell ref="BL95:BL96"/>
    <mergeCell ref="BM95:BM96"/>
    <mergeCell ref="BN95:BN96"/>
    <mergeCell ref="BO95:BO96"/>
    <mergeCell ref="BP95:BP96"/>
    <mergeCell ref="BQ95:BQ96"/>
    <mergeCell ref="BR95:BR96"/>
    <mergeCell ref="BS95:BS96"/>
    <mergeCell ref="BT95:BT96"/>
    <mergeCell ref="BU95:BU96"/>
    <mergeCell ref="BV95:BV96"/>
    <mergeCell ref="BW95:BW96"/>
    <mergeCell ref="BX95:BX96"/>
    <mergeCell ref="BY95:BY96"/>
    <mergeCell ref="BZ95:BZ96"/>
    <mergeCell ref="CA95:CA96"/>
    <mergeCell ref="CB95:CB96"/>
    <mergeCell ref="CC95:CC96"/>
    <mergeCell ref="CD95:CD96"/>
    <mergeCell ref="CE95:CE96"/>
    <mergeCell ref="CF95:CF96"/>
    <mergeCell ref="CG95:CG96"/>
    <mergeCell ref="CH95:CH96"/>
    <mergeCell ref="A100:A101"/>
    <mergeCell ref="B100:B101"/>
    <mergeCell ref="C100:C101"/>
    <mergeCell ref="D100:D101"/>
    <mergeCell ref="E100:E101"/>
    <mergeCell ref="F100:F101"/>
    <mergeCell ref="G100:G101"/>
    <mergeCell ref="H100:H101"/>
    <mergeCell ref="I100:I101"/>
    <mergeCell ref="J100:J101"/>
    <mergeCell ref="K100:K101"/>
    <mergeCell ref="L100:L101"/>
    <mergeCell ref="M100:M101"/>
    <mergeCell ref="N100:N101"/>
    <mergeCell ref="O100:O101"/>
    <mergeCell ref="P100:P101"/>
    <mergeCell ref="Q100:Q101"/>
    <mergeCell ref="R100:R101"/>
    <mergeCell ref="S100:S101"/>
    <mergeCell ref="T100:T101"/>
    <mergeCell ref="U100:U101"/>
    <mergeCell ref="V100:V101"/>
    <mergeCell ref="W100:W101"/>
    <mergeCell ref="X100:X101"/>
    <mergeCell ref="Y100:Y101"/>
    <mergeCell ref="Z100:Z101"/>
    <mergeCell ref="AA100:AA101"/>
    <mergeCell ref="AB100:AB101"/>
    <mergeCell ref="AC100:AC101"/>
    <mergeCell ref="AD100:AD101"/>
    <mergeCell ref="AE100:AE101"/>
    <mergeCell ref="AF100:AF101"/>
    <mergeCell ref="AG100:AG101"/>
    <mergeCell ref="AH100:AH101"/>
    <mergeCell ref="AI100:AI101"/>
    <mergeCell ref="AJ100:AJ101"/>
    <mergeCell ref="AK100:AK101"/>
    <mergeCell ref="AL100:AL101"/>
    <mergeCell ref="AM100:AM101"/>
    <mergeCell ref="AN100:AN101"/>
    <mergeCell ref="AO100:AO101"/>
    <mergeCell ref="AP100:AP101"/>
    <mergeCell ref="AQ100:AQ101"/>
    <mergeCell ref="AR100:AR101"/>
    <mergeCell ref="AS100:AS101"/>
    <mergeCell ref="AT100:AT101"/>
    <mergeCell ref="AU100:AU101"/>
    <mergeCell ref="AV100:AV101"/>
    <mergeCell ref="AW100:AW101"/>
    <mergeCell ref="AX100:AX101"/>
    <mergeCell ref="AY100:AY101"/>
    <mergeCell ref="AZ100:AZ101"/>
    <mergeCell ref="BA100:BA101"/>
    <mergeCell ref="BB100:BB101"/>
    <mergeCell ref="BC100:BC101"/>
    <mergeCell ref="BD100:BD101"/>
    <mergeCell ref="BE100:BE101"/>
    <mergeCell ref="BF100:BF101"/>
    <mergeCell ref="BG100:BG101"/>
    <mergeCell ref="BH100:BH101"/>
    <mergeCell ref="BI100:BI101"/>
    <mergeCell ref="BJ100:BJ101"/>
    <mergeCell ref="BK100:BK101"/>
    <mergeCell ref="BL100:BL101"/>
    <mergeCell ref="BM100:BM101"/>
    <mergeCell ref="BN100:BN101"/>
    <mergeCell ref="BO100:BO101"/>
    <mergeCell ref="BP100:BP101"/>
    <mergeCell ref="BQ100:BQ101"/>
    <mergeCell ref="BR100:BR101"/>
    <mergeCell ref="BS100:BS101"/>
    <mergeCell ref="BT100:BT101"/>
    <mergeCell ref="BU100:BU101"/>
    <mergeCell ref="BV100:BV101"/>
    <mergeCell ref="BW100:BW101"/>
    <mergeCell ref="BX100:BX101"/>
    <mergeCell ref="BY100:BY101"/>
    <mergeCell ref="BZ100:BZ101"/>
    <mergeCell ref="CA100:CA101"/>
    <mergeCell ref="CB100:CB101"/>
    <mergeCell ref="CC100:CC101"/>
    <mergeCell ref="CD100:CD101"/>
    <mergeCell ref="CE100:CE101"/>
    <mergeCell ref="CF100:CF101"/>
    <mergeCell ref="CG100:CG101"/>
    <mergeCell ref="CH100:CH101"/>
    <mergeCell ref="A102:A103"/>
    <mergeCell ref="B102:B103"/>
    <mergeCell ref="C102:C103"/>
    <mergeCell ref="D102:D103"/>
    <mergeCell ref="E102:E103"/>
    <mergeCell ref="F102:F103"/>
    <mergeCell ref="G102:G103"/>
    <mergeCell ref="H102:H103"/>
    <mergeCell ref="I102:I103"/>
    <mergeCell ref="J102:J103"/>
    <mergeCell ref="K102:K103"/>
    <mergeCell ref="L102:L103"/>
    <mergeCell ref="M102:M103"/>
    <mergeCell ref="N102:N103"/>
    <mergeCell ref="O102:O103"/>
    <mergeCell ref="P102:P103"/>
    <mergeCell ref="Q102:Q103"/>
    <mergeCell ref="R102:R103"/>
    <mergeCell ref="S102:S103"/>
    <mergeCell ref="T102:T103"/>
    <mergeCell ref="U102:U103"/>
    <mergeCell ref="V102:V103"/>
    <mergeCell ref="W102:W103"/>
    <mergeCell ref="X102:X103"/>
    <mergeCell ref="Y102:Y103"/>
    <mergeCell ref="Z102:Z103"/>
    <mergeCell ref="AA102:AA103"/>
    <mergeCell ref="AB102:AB103"/>
    <mergeCell ref="AC102:AC103"/>
    <mergeCell ref="AD102:AD103"/>
    <mergeCell ref="AE102:AE103"/>
    <mergeCell ref="AF102:AF103"/>
    <mergeCell ref="AG102:AG103"/>
    <mergeCell ref="AH102:AH103"/>
    <mergeCell ref="AI102:AI103"/>
    <mergeCell ref="AJ102:AJ103"/>
    <mergeCell ref="AK102:AK103"/>
    <mergeCell ref="AL102:AL103"/>
    <mergeCell ref="AM102:AM103"/>
    <mergeCell ref="AN102:AN103"/>
    <mergeCell ref="AO102:AO103"/>
    <mergeCell ref="AP102:AP103"/>
    <mergeCell ref="AQ102:AQ103"/>
    <mergeCell ref="AR102:AR103"/>
    <mergeCell ref="AS102:AS103"/>
    <mergeCell ref="AT102:AT103"/>
    <mergeCell ref="AU102:AU103"/>
    <mergeCell ref="AV102:AV103"/>
    <mergeCell ref="AW102:AW103"/>
    <mergeCell ref="AX102:AX103"/>
    <mergeCell ref="AY102:AY103"/>
    <mergeCell ref="AZ102:AZ103"/>
    <mergeCell ref="BA102:BA103"/>
    <mergeCell ref="BB102:BB103"/>
    <mergeCell ref="BC102:BC103"/>
    <mergeCell ref="BD102:BD103"/>
    <mergeCell ref="BE102:BE103"/>
    <mergeCell ref="BF102:BF103"/>
    <mergeCell ref="BG102:BG103"/>
    <mergeCell ref="BH102:BH103"/>
    <mergeCell ref="BI102:BI103"/>
    <mergeCell ref="BJ102:BJ103"/>
    <mergeCell ref="BK102:BK103"/>
    <mergeCell ref="BL102:BL103"/>
    <mergeCell ref="BM102:BM103"/>
    <mergeCell ref="BN102:BN103"/>
    <mergeCell ref="BO102:BO103"/>
    <mergeCell ref="BP102:BP103"/>
    <mergeCell ref="BQ102:BQ103"/>
    <mergeCell ref="BR102:BR103"/>
    <mergeCell ref="BS102:BS103"/>
    <mergeCell ref="BT102:BT103"/>
    <mergeCell ref="BU102:BU103"/>
    <mergeCell ref="BV102:BV103"/>
    <mergeCell ref="BW102:BW103"/>
    <mergeCell ref="BX102:BX103"/>
    <mergeCell ref="BY102:BY103"/>
    <mergeCell ref="BZ102:BZ103"/>
    <mergeCell ref="CA102:CA103"/>
    <mergeCell ref="CB102:CB103"/>
    <mergeCell ref="CC102:CC103"/>
    <mergeCell ref="CD102:CD103"/>
    <mergeCell ref="CE102:CE103"/>
    <mergeCell ref="CF102:CF103"/>
    <mergeCell ref="CG102:CG103"/>
    <mergeCell ref="CH102:CH103"/>
    <mergeCell ref="A104:A105"/>
    <mergeCell ref="B104:B105"/>
    <mergeCell ref="C104:C105"/>
    <mergeCell ref="D104:D105"/>
    <mergeCell ref="E104:E105"/>
    <mergeCell ref="F104:F105"/>
    <mergeCell ref="G104:G105"/>
    <mergeCell ref="H104:H105"/>
    <mergeCell ref="I104:I105"/>
    <mergeCell ref="J104:J105"/>
    <mergeCell ref="K104:K105"/>
    <mergeCell ref="L104:L105"/>
    <mergeCell ref="M104:M105"/>
    <mergeCell ref="N104:N105"/>
    <mergeCell ref="O104:O105"/>
    <mergeCell ref="P104:P105"/>
    <mergeCell ref="Q104:Q105"/>
    <mergeCell ref="R104:R105"/>
    <mergeCell ref="S104:S105"/>
    <mergeCell ref="T104:T105"/>
    <mergeCell ref="U104:U105"/>
    <mergeCell ref="V104:V105"/>
    <mergeCell ref="W104:W105"/>
    <mergeCell ref="X104:X105"/>
    <mergeCell ref="Y104:Y105"/>
    <mergeCell ref="Z104:Z105"/>
    <mergeCell ref="AA104:AA105"/>
    <mergeCell ref="AB104:AB105"/>
    <mergeCell ref="AC104:AC105"/>
    <mergeCell ref="AD104:AD105"/>
    <mergeCell ref="AE104:AE105"/>
    <mergeCell ref="AF104:AF105"/>
    <mergeCell ref="AG104:AG105"/>
    <mergeCell ref="AH104:AH105"/>
    <mergeCell ref="AI104:AI105"/>
    <mergeCell ref="AJ104:AJ105"/>
    <mergeCell ref="AK104:AK105"/>
    <mergeCell ref="AL104:AL105"/>
    <mergeCell ref="AM104:AM105"/>
    <mergeCell ref="AN104:AN105"/>
    <mergeCell ref="AO104:AO105"/>
    <mergeCell ref="AP104:AP105"/>
    <mergeCell ref="AQ104:AQ105"/>
    <mergeCell ref="AR104:AR105"/>
    <mergeCell ref="AS104:AS105"/>
    <mergeCell ref="AT104:AT105"/>
    <mergeCell ref="AU104:AU105"/>
    <mergeCell ref="AV104:AV105"/>
    <mergeCell ref="AW104:AW105"/>
    <mergeCell ref="AX104:AX105"/>
    <mergeCell ref="AY104:AY105"/>
    <mergeCell ref="AZ104:AZ105"/>
    <mergeCell ref="BA104:BA105"/>
    <mergeCell ref="BB104:BB105"/>
    <mergeCell ref="BC104:BC105"/>
    <mergeCell ref="BD104:BD105"/>
    <mergeCell ref="BE104:BE105"/>
    <mergeCell ref="BF104:BF105"/>
    <mergeCell ref="BG104:BG105"/>
    <mergeCell ref="BH104:BH105"/>
    <mergeCell ref="BI104:BI105"/>
    <mergeCell ref="BJ104:BJ105"/>
    <mergeCell ref="BK104:BK105"/>
    <mergeCell ref="BL104:BL105"/>
    <mergeCell ref="BM104:BM105"/>
    <mergeCell ref="BN104:BN105"/>
    <mergeCell ref="BO104:BO105"/>
    <mergeCell ref="BP104:BP105"/>
    <mergeCell ref="BQ104:BQ105"/>
    <mergeCell ref="BR104:BR105"/>
    <mergeCell ref="BS104:BS105"/>
    <mergeCell ref="BT104:BT105"/>
    <mergeCell ref="BU104:BU105"/>
    <mergeCell ref="BV104:BV105"/>
    <mergeCell ref="BW104:BW105"/>
    <mergeCell ref="BX104:BX105"/>
    <mergeCell ref="BY104:BY105"/>
    <mergeCell ref="BZ104:BZ105"/>
    <mergeCell ref="CA104:CA105"/>
    <mergeCell ref="CB104:CB105"/>
    <mergeCell ref="CC104:CC105"/>
    <mergeCell ref="CD104:CD105"/>
    <mergeCell ref="CE104:CE105"/>
    <mergeCell ref="CF104:CF105"/>
    <mergeCell ref="CG104:CG105"/>
    <mergeCell ref="CH104:CH105"/>
    <mergeCell ref="A106:A107"/>
    <mergeCell ref="B106:B107"/>
    <mergeCell ref="C106:C107"/>
    <mergeCell ref="D106:D107"/>
    <mergeCell ref="E106:E107"/>
    <mergeCell ref="F106:F107"/>
    <mergeCell ref="G106:G107"/>
    <mergeCell ref="H106:H107"/>
    <mergeCell ref="I106:I107"/>
    <mergeCell ref="J106:J107"/>
    <mergeCell ref="K106:K107"/>
    <mergeCell ref="L106:L107"/>
    <mergeCell ref="M106:M107"/>
    <mergeCell ref="N106:N107"/>
    <mergeCell ref="O106:O107"/>
    <mergeCell ref="P106:P107"/>
    <mergeCell ref="Q106:Q107"/>
    <mergeCell ref="R106:R107"/>
    <mergeCell ref="S106:S107"/>
    <mergeCell ref="T106:T107"/>
    <mergeCell ref="U106:U107"/>
    <mergeCell ref="V106:V107"/>
    <mergeCell ref="W106:W107"/>
    <mergeCell ref="X106:X107"/>
    <mergeCell ref="Y106:Y107"/>
    <mergeCell ref="Z106:Z107"/>
    <mergeCell ref="AA106:AA107"/>
    <mergeCell ref="AB106:AB107"/>
    <mergeCell ref="AC106:AC107"/>
    <mergeCell ref="AD106:AD107"/>
    <mergeCell ref="AE106:AE107"/>
    <mergeCell ref="AF106:AF107"/>
    <mergeCell ref="AG106:AG107"/>
    <mergeCell ref="AH106:AH107"/>
    <mergeCell ref="AI106:AI107"/>
    <mergeCell ref="AJ106:AJ107"/>
    <mergeCell ref="AK106:AK107"/>
    <mergeCell ref="AL106:AL107"/>
    <mergeCell ref="AM106:AM107"/>
    <mergeCell ref="AN106:AN107"/>
    <mergeCell ref="AO106:AO107"/>
    <mergeCell ref="AP106:AP107"/>
    <mergeCell ref="AQ106:AQ107"/>
    <mergeCell ref="AR106:AR107"/>
    <mergeCell ref="AS106:AS107"/>
    <mergeCell ref="AT106:AT107"/>
    <mergeCell ref="AU106:AU107"/>
    <mergeCell ref="AV106:AV107"/>
    <mergeCell ref="AW106:AW107"/>
    <mergeCell ref="AX106:AX107"/>
    <mergeCell ref="AY106:AY107"/>
    <mergeCell ref="AZ106:AZ107"/>
    <mergeCell ref="BA106:BA107"/>
    <mergeCell ref="BB106:BB107"/>
    <mergeCell ref="BC106:BC107"/>
    <mergeCell ref="BD106:BD107"/>
    <mergeCell ref="BE106:BE107"/>
    <mergeCell ref="BF106:BF107"/>
    <mergeCell ref="BG106:BG107"/>
    <mergeCell ref="BH106:BH107"/>
    <mergeCell ref="BI106:BI107"/>
    <mergeCell ref="BJ106:BJ107"/>
    <mergeCell ref="BK106:BK107"/>
    <mergeCell ref="BL106:BL107"/>
    <mergeCell ref="BM106:BM107"/>
    <mergeCell ref="BN106:BN107"/>
    <mergeCell ref="BO106:BO107"/>
    <mergeCell ref="BP106:BP107"/>
    <mergeCell ref="BQ106:BQ107"/>
    <mergeCell ref="BR106:BR107"/>
    <mergeCell ref="BS106:BS107"/>
    <mergeCell ref="BT106:BT107"/>
    <mergeCell ref="BU106:BU107"/>
    <mergeCell ref="BV106:BV107"/>
    <mergeCell ref="BW106:BW107"/>
    <mergeCell ref="BX106:BX107"/>
    <mergeCell ref="BY106:BY107"/>
    <mergeCell ref="BZ106:BZ107"/>
    <mergeCell ref="CA106:CA107"/>
    <mergeCell ref="CB106:CB107"/>
    <mergeCell ref="CC106:CC107"/>
    <mergeCell ref="CD106:CD107"/>
    <mergeCell ref="CE106:CE107"/>
    <mergeCell ref="CF106:CF107"/>
    <mergeCell ref="CG106:CG107"/>
    <mergeCell ref="CH106:CH107"/>
    <mergeCell ref="A108:A109"/>
    <mergeCell ref="B108:B109"/>
    <mergeCell ref="C108:C109"/>
    <mergeCell ref="D108:D109"/>
    <mergeCell ref="E108:E109"/>
    <mergeCell ref="F108:F109"/>
    <mergeCell ref="G108:G109"/>
    <mergeCell ref="H108:H109"/>
    <mergeCell ref="I108:I109"/>
    <mergeCell ref="J108:J109"/>
    <mergeCell ref="K108:K109"/>
    <mergeCell ref="L108:L109"/>
    <mergeCell ref="M108:M109"/>
    <mergeCell ref="N108:N109"/>
    <mergeCell ref="O108:O109"/>
    <mergeCell ref="P108:P109"/>
    <mergeCell ref="Q108:Q109"/>
    <mergeCell ref="R108:R109"/>
    <mergeCell ref="S108:S109"/>
    <mergeCell ref="T108:T109"/>
    <mergeCell ref="U108:U109"/>
    <mergeCell ref="V108:V109"/>
    <mergeCell ref="W108:W109"/>
    <mergeCell ref="X108:X109"/>
    <mergeCell ref="Y108:Y109"/>
    <mergeCell ref="Z108:Z109"/>
    <mergeCell ref="AA108:AA109"/>
    <mergeCell ref="AB108:AB109"/>
    <mergeCell ref="AC108:AC109"/>
    <mergeCell ref="AD108:AD109"/>
    <mergeCell ref="AE108:AE109"/>
    <mergeCell ref="AF108:AF109"/>
    <mergeCell ref="AG108:AG109"/>
    <mergeCell ref="AH108:AH109"/>
    <mergeCell ref="AI108:AI109"/>
    <mergeCell ref="AJ108:AJ109"/>
    <mergeCell ref="AK108:AK109"/>
    <mergeCell ref="AL108:AL109"/>
    <mergeCell ref="AM108:AM109"/>
    <mergeCell ref="AN108:AN109"/>
    <mergeCell ref="AO108:AO109"/>
    <mergeCell ref="AP108:AP109"/>
    <mergeCell ref="AQ108:AQ109"/>
    <mergeCell ref="AR108:AR109"/>
    <mergeCell ref="AS108:AS109"/>
    <mergeCell ref="AT108:AT109"/>
    <mergeCell ref="AU108:AU109"/>
    <mergeCell ref="AV108:AV109"/>
    <mergeCell ref="AW108:AW109"/>
    <mergeCell ref="AX108:AX109"/>
    <mergeCell ref="AY108:AY109"/>
    <mergeCell ref="AZ108:AZ109"/>
    <mergeCell ref="BA108:BA109"/>
    <mergeCell ref="BB108:BB109"/>
    <mergeCell ref="BC108:BC109"/>
    <mergeCell ref="BD108:BD109"/>
    <mergeCell ref="BE108:BE109"/>
    <mergeCell ref="BF108:BF109"/>
    <mergeCell ref="BG108:BG109"/>
    <mergeCell ref="BH108:BH109"/>
    <mergeCell ref="BI108:BI109"/>
    <mergeCell ref="BJ108:BJ109"/>
    <mergeCell ref="BK108:BK109"/>
    <mergeCell ref="BL108:BL109"/>
    <mergeCell ref="BM108:BM109"/>
    <mergeCell ref="BN108:BN109"/>
    <mergeCell ref="BO108:BO109"/>
    <mergeCell ref="BP108:BP109"/>
    <mergeCell ref="BQ108:BQ109"/>
    <mergeCell ref="BR108:BR109"/>
    <mergeCell ref="BS108:BS109"/>
    <mergeCell ref="BT108:BT109"/>
    <mergeCell ref="BU108:BU109"/>
    <mergeCell ref="BV108:BV109"/>
    <mergeCell ref="BW108:BW109"/>
    <mergeCell ref="BX108:BX109"/>
    <mergeCell ref="BY108:BY109"/>
    <mergeCell ref="BZ108:BZ109"/>
    <mergeCell ref="CA108:CA109"/>
    <mergeCell ref="CB108:CB109"/>
    <mergeCell ref="CC108:CC109"/>
    <mergeCell ref="CD108:CD109"/>
    <mergeCell ref="CE108:CE109"/>
    <mergeCell ref="CF108:CF109"/>
    <mergeCell ref="CG108:CG109"/>
    <mergeCell ref="CH108:CH109"/>
    <mergeCell ref="A110:A111"/>
    <mergeCell ref="B110:B111"/>
    <mergeCell ref="C110:C111"/>
    <mergeCell ref="D110:D111"/>
    <mergeCell ref="E110:E111"/>
    <mergeCell ref="F110:F111"/>
    <mergeCell ref="G110:G111"/>
    <mergeCell ref="H110:H111"/>
    <mergeCell ref="I110:I111"/>
    <mergeCell ref="J110:J111"/>
    <mergeCell ref="K110:K111"/>
    <mergeCell ref="L110:L111"/>
    <mergeCell ref="M110:M111"/>
    <mergeCell ref="N110:N111"/>
    <mergeCell ref="O110:O111"/>
    <mergeCell ref="P110:P111"/>
    <mergeCell ref="Q110:Q111"/>
    <mergeCell ref="R110:R111"/>
    <mergeCell ref="S110:S111"/>
    <mergeCell ref="T110:T111"/>
    <mergeCell ref="U110:U111"/>
    <mergeCell ref="V110:V111"/>
    <mergeCell ref="W110:W111"/>
    <mergeCell ref="X110:X111"/>
    <mergeCell ref="Y110:Y111"/>
    <mergeCell ref="Z110:Z111"/>
    <mergeCell ref="AA110:AA111"/>
    <mergeCell ref="AB110:AB111"/>
    <mergeCell ref="AC110:AC111"/>
    <mergeCell ref="AD110:AD111"/>
    <mergeCell ref="AE110:AE111"/>
    <mergeCell ref="AF110:AF111"/>
    <mergeCell ref="AG110:AG111"/>
    <mergeCell ref="AH110:AH111"/>
    <mergeCell ref="AI110:AI111"/>
    <mergeCell ref="AJ110:AJ111"/>
    <mergeCell ref="AK110:AK111"/>
    <mergeCell ref="AL110:AL111"/>
    <mergeCell ref="AM110:AM111"/>
    <mergeCell ref="AN110:AN111"/>
    <mergeCell ref="AO110:AO111"/>
    <mergeCell ref="AP110:AP111"/>
    <mergeCell ref="AQ110:AQ111"/>
    <mergeCell ref="AR110:AR111"/>
    <mergeCell ref="AS110:AS111"/>
    <mergeCell ref="AT110:AT111"/>
    <mergeCell ref="AU110:AU111"/>
    <mergeCell ref="AV110:AV111"/>
    <mergeCell ref="AW110:AW111"/>
    <mergeCell ref="AX110:AX111"/>
    <mergeCell ref="AY110:AY111"/>
    <mergeCell ref="AZ110:AZ111"/>
    <mergeCell ref="BA110:BA111"/>
    <mergeCell ref="BB110:BB111"/>
    <mergeCell ref="BC110:BC111"/>
    <mergeCell ref="BD110:BD111"/>
    <mergeCell ref="BE110:BE111"/>
    <mergeCell ref="BF110:BF111"/>
    <mergeCell ref="BG110:BG111"/>
    <mergeCell ref="BH110:BH111"/>
    <mergeCell ref="BI110:BI111"/>
    <mergeCell ref="BJ110:BJ111"/>
    <mergeCell ref="BK110:BK111"/>
    <mergeCell ref="BL110:BL111"/>
    <mergeCell ref="BM110:BM111"/>
    <mergeCell ref="BN110:BN111"/>
    <mergeCell ref="BO110:BO111"/>
    <mergeCell ref="BP110:BP111"/>
    <mergeCell ref="BQ110:BQ111"/>
    <mergeCell ref="BR110:BR111"/>
    <mergeCell ref="BS110:BS111"/>
    <mergeCell ref="BT110:BT111"/>
    <mergeCell ref="BU110:BU111"/>
    <mergeCell ref="BV110:BV111"/>
    <mergeCell ref="BW110:BW111"/>
    <mergeCell ref="BX110:BX111"/>
    <mergeCell ref="BY110:BY111"/>
    <mergeCell ref="BZ110:BZ111"/>
    <mergeCell ref="CA110:CA111"/>
    <mergeCell ref="CB110:CB111"/>
    <mergeCell ref="CC110:CC111"/>
    <mergeCell ref="CD110:CD111"/>
    <mergeCell ref="CE110:CE111"/>
    <mergeCell ref="CF110:CF111"/>
    <mergeCell ref="CG110:CG111"/>
    <mergeCell ref="CH110:CH111"/>
    <mergeCell ref="A112:A113"/>
    <mergeCell ref="B112:B113"/>
    <mergeCell ref="C112:C113"/>
    <mergeCell ref="D112:D113"/>
    <mergeCell ref="E112:E113"/>
    <mergeCell ref="F112:F113"/>
    <mergeCell ref="G112:G113"/>
    <mergeCell ref="H112:H113"/>
    <mergeCell ref="I112:I113"/>
    <mergeCell ref="J112:J113"/>
    <mergeCell ref="K112:K113"/>
    <mergeCell ref="L112:L113"/>
    <mergeCell ref="M112:M113"/>
    <mergeCell ref="N112:N113"/>
    <mergeCell ref="O112:O113"/>
    <mergeCell ref="P112:P113"/>
    <mergeCell ref="Q112:Q113"/>
    <mergeCell ref="R112:R113"/>
    <mergeCell ref="S112:S113"/>
    <mergeCell ref="T112:T113"/>
    <mergeCell ref="U112:U113"/>
    <mergeCell ref="V112:V113"/>
    <mergeCell ref="W112:W113"/>
    <mergeCell ref="X112:X113"/>
    <mergeCell ref="Y112:Y113"/>
    <mergeCell ref="Z112:Z113"/>
    <mergeCell ref="AA112:AA113"/>
    <mergeCell ref="AB112:AB113"/>
    <mergeCell ref="AC112:AC113"/>
    <mergeCell ref="AD112:AD113"/>
    <mergeCell ref="AE112:AE113"/>
    <mergeCell ref="AF112:AF113"/>
    <mergeCell ref="AG112:AG113"/>
    <mergeCell ref="AH112:AH113"/>
    <mergeCell ref="AI112:AI113"/>
    <mergeCell ref="AJ112:AJ113"/>
    <mergeCell ref="AK112:AK113"/>
    <mergeCell ref="AL112:AL113"/>
    <mergeCell ref="AM112:AM113"/>
    <mergeCell ref="AN112:AN113"/>
    <mergeCell ref="AO112:AO113"/>
    <mergeCell ref="AP112:AP113"/>
    <mergeCell ref="AQ112:AQ113"/>
    <mergeCell ref="AR112:AR113"/>
    <mergeCell ref="AS112:AS113"/>
    <mergeCell ref="AT112:AT113"/>
    <mergeCell ref="AU112:AU113"/>
    <mergeCell ref="AV112:AV113"/>
    <mergeCell ref="AW112:AW113"/>
    <mergeCell ref="AX112:AX113"/>
    <mergeCell ref="AY112:AY113"/>
    <mergeCell ref="AZ112:AZ113"/>
    <mergeCell ref="BA112:BA113"/>
    <mergeCell ref="BB112:BB113"/>
    <mergeCell ref="BC112:BC113"/>
    <mergeCell ref="BD112:BD113"/>
    <mergeCell ref="BE112:BE113"/>
    <mergeCell ref="BF112:BF113"/>
    <mergeCell ref="BG112:BG113"/>
    <mergeCell ref="BH112:BH113"/>
    <mergeCell ref="BI112:BI113"/>
    <mergeCell ref="BJ112:BJ113"/>
    <mergeCell ref="BK112:BK113"/>
    <mergeCell ref="BL112:BL113"/>
    <mergeCell ref="BM112:BM113"/>
    <mergeCell ref="BN112:BN113"/>
    <mergeCell ref="BO112:BO113"/>
    <mergeCell ref="BP112:BP113"/>
    <mergeCell ref="BQ112:BQ113"/>
    <mergeCell ref="BR112:BR113"/>
    <mergeCell ref="BS112:BS113"/>
    <mergeCell ref="BT112:BT113"/>
    <mergeCell ref="BU112:BU113"/>
    <mergeCell ref="BV112:BV113"/>
    <mergeCell ref="BW112:BW113"/>
    <mergeCell ref="BX112:BX113"/>
    <mergeCell ref="BY112:BY113"/>
    <mergeCell ref="BZ112:BZ113"/>
    <mergeCell ref="CA112:CA113"/>
    <mergeCell ref="CB112:CB113"/>
    <mergeCell ref="CC112:CC113"/>
    <mergeCell ref="CD112:CD113"/>
    <mergeCell ref="CE112:CE113"/>
    <mergeCell ref="CF112:CF113"/>
    <mergeCell ref="CG112:CG113"/>
    <mergeCell ref="CH112:CH113"/>
    <mergeCell ref="A114:A115"/>
    <mergeCell ref="B114:B115"/>
    <mergeCell ref="C114:C115"/>
    <mergeCell ref="D114:D115"/>
    <mergeCell ref="E114:E115"/>
    <mergeCell ref="F114:F115"/>
    <mergeCell ref="G114:G115"/>
    <mergeCell ref="H114:H115"/>
    <mergeCell ref="I114:I115"/>
    <mergeCell ref="J114:J115"/>
    <mergeCell ref="K114:K115"/>
    <mergeCell ref="L114:L115"/>
    <mergeCell ref="M114:M115"/>
    <mergeCell ref="N114:N115"/>
    <mergeCell ref="O114:O115"/>
    <mergeCell ref="P114:P115"/>
    <mergeCell ref="Q114:Q115"/>
    <mergeCell ref="R114:R115"/>
    <mergeCell ref="S114:S115"/>
    <mergeCell ref="T114:T115"/>
    <mergeCell ref="U114:U115"/>
    <mergeCell ref="V114:V115"/>
    <mergeCell ref="W114:W115"/>
    <mergeCell ref="X114:X115"/>
    <mergeCell ref="Y114:Y115"/>
    <mergeCell ref="Z114:Z115"/>
    <mergeCell ref="AA114:AA115"/>
    <mergeCell ref="AB114:AB115"/>
    <mergeCell ref="AC114:AC115"/>
    <mergeCell ref="AD114:AD115"/>
    <mergeCell ref="AE114:AE115"/>
    <mergeCell ref="AF114:AF115"/>
    <mergeCell ref="AG114:AG115"/>
    <mergeCell ref="AH114:AH115"/>
    <mergeCell ref="AI114:AI115"/>
    <mergeCell ref="AJ114:AJ115"/>
    <mergeCell ref="AK114:AK115"/>
    <mergeCell ref="AL114:AL115"/>
    <mergeCell ref="AM114:AM115"/>
    <mergeCell ref="AN114:AN115"/>
    <mergeCell ref="AO114:AO115"/>
    <mergeCell ref="AP114:AP115"/>
    <mergeCell ref="AQ114:AQ115"/>
    <mergeCell ref="AR114:AR115"/>
    <mergeCell ref="AS114:AS115"/>
    <mergeCell ref="AT114:AT115"/>
    <mergeCell ref="AU114:AU115"/>
    <mergeCell ref="AV114:AV115"/>
    <mergeCell ref="AW114:AW115"/>
    <mergeCell ref="AX114:AX115"/>
    <mergeCell ref="AY114:AY115"/>
    <mergeCell ref="AZ114:AZ115"/>
    <mergeCell ref="BA114:BA115"/>
    <mergeCell ref="BB114:BB115"/>
    <mergeCell ref="BC114:BC115"/>
    <mergeCell ref="BD114:BD115"/>
    <mergeCell ref="BE114:BE115"/>
    <mergeCell ref="BF114:BF115"/>
    <mergeCell ref="BG114:BG115"/>
    <mergeCell ref="BH114:BH115"/>
    <mergeCell ref="BI114:BI115"/>
    <mergeCell ref="BJ114:BJ115"/>
    <mergeCell ref="BK114:BK115"/>
    <mergeCell ref="BL114:BL115"/>
    <mergeCell ref="BM114:BM115"/>
    <mergeCell ref="BN114:BN115"/>
    <mergeCell ref="BO114:BO115"/>
    <mergeCell ref="BP114:BP115"/>
    <mergeCell ref="BQ114:BQ115"/>
    <mergeCell ref="BR114:BR115"/>
    <mergeCell ref="BS114:BS115"/>
    <mergeCell ref="BT114:BT115"/>
    <mergeCell ref="BU114:BU115"/>
    <mergeCell ref="BV114:BV115"/>
    <mergeCell ref="BW114:BW115"/>
    <mergeCell ref="BX114:BX115"/>
    <mergeCell ref="BY114:BY115"/>
    <mergeCell ref="BZ114:BZ115"/>
    <mergeCell ref="CA114:CA115"/>
    <mergeCell ref="CB114:CB115"/>
    <mergeCell ref="CC114:CC115"/>
    <mergeCell ref="CD114:CD115"/>
    <mergeCell ref="CE114:CE115"/>
    <mergeCell ref="CF114:CF115"/>
    <mergeCell ref="CG114:CG115"/>
    <mergeCell ref="CH114:CH115"/>
    <mergeCell ref="A117:A118"/>
    <mergeCell ref="B117:B118"/>
    <mergeCell ref="C117:C118"/>
    <mergeCell ref="D117:D118"/>
    <mergeCell ref="E117:E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17:AJ118"/>
    <mergeCell ref="AK117:AK118"/>
    <mergeCell ref="AL117:AL118"/>
    <mergeCell ref="AM117:AM118"/>
    <mergeCell ref="AN117:AN118"/>
    <mergeCell ref="AO117:AO118"/>
    <mergeCell ref="AP117:AP118"/>
    <mergeCell ref="AQ117:AQ118"/>
    <mergeCell ref="AR117:AR118"/>
    <mergeCell ref="AS117:AS118"/>
    <mergeCell ref="AT117:AT118"/>
    <mergeCell ref="AU117:AU118"/>
    <mergeCell ref="AV117:AV118"/>
    <mergeCell ref="AW117:AW118"/>
    <mergeCell ref="AX117:AX118"/>
    <mergeCell ref="AY117:AY118"/>
    <mergeCell ref="AZ117:AZ118"/>
    <mergeCell ref="BA117:BA118"/>
    <mergeCell ref="BB117:BB118"/>
    <mergeCell ref="BC117:BC118"/>
    <mergeCell ref="BD117:BD118"/>
    <mergeCell ref="BE117:BE118"/>
    <mergeCell ref="BF117:BF118"/>
    <mergeCell ref="BG117:BG118"/>
    <mergeCell ref="BH117:BH118"/>
    <mergeCell ref="BI117:BI118"/>
    <mergeCell ref="BJ117:BJ118"/>
    <mergeCell ref="BK117:BK118"/>
    <mergeCell ref="BL117:BL118"/>
    <mergeCell ref="BM117:BM118"/>
    <mergeCell ref="BN117:BN118"/>
    <mergeCell ref="BO117:BO118"/>
    <mergeCell ref="BP117:BP118"/>
    <mergeCell ref="BQ117:BQ118"/>
    <mergeCell ref="BR117:BR118"/>
    <mergeCell ref="BS117:BS118"/>
    <mergeCell ref="BT117:BT118"/>
    <mergeCell ref="BU117:BU118"/>
    <mergeCell ref="BV117:BV118"/>
    <mergeCell ref="BW117:BW118"/>
    <mergeCell ref="BX117:BX118"/>
    <mergeCell ref="BY117:BY118"/>
    <mergeCell ref="BZ117:BZ118"/>
    <mergeCell ref="CA117:CA118"/>
    <mergeCell ref="CB117:CB118"/>
    <mergeCell ref="CC117:CC118"/>
    <mergeCell ref="CD117:CD118"/>
    <mergeCell ref="CE117:CE118"/>
    <mergeCell ref="CF117:CF118"/>
    <mergeCell ref="CG117:CG118"/>
    <mergeCell ref="CH117:CH118"/>
    <mergeCell ref="A121:A122"/>
    <mergeCell ref="B121:B122"/>
    <mergeCell ref="C121:C122"/>
    <mergeCell ref="D121:D122"/>
    <mergeCell ref="E121:E122"/>
    <mergeCell ref="F121:F122"/>
    <mergeCell ref="G121:G122"/>
    <mergeCell ref="H121:H122"/>
    <mergeCell ref="I121:I122"/>
    <mergeCell ref="J121:J122"/>
    <mergeCell ref="K121:K122"/>
    <mergeCell ref="L121:L122"/>
    <mergeCell ref="M121:M122"/>
    <mergeCell ref="N121:N122"/>
    <mergeCell ref="O121:O122"/>
    <mergeCell ref="P121:P122"/>
    <mergeCell ref="Q121:Q122"/>
    <mergeCell ref="R121:R122"/>
    <mergeCell ref="S121:S122"/>
    <mergeCell ref="T121:T122"/>
    <mergeCell ref="U121:U122"/>
    <mergeCell ref="V121:V122"/>
    <mergeCell ref="W121:W122"/>
    <mergeCell ref="X121:X122"/>
    <mergeCell ref="Y121:Y122"/>
    <mergeCell ref="Z121:Z122"/>
    <mergeCell ref="AA121:AA122"/>
    <mergeCell ref="AB121:AB122"/>
    <mergeCell ref="AC121:AC122"/>
    <mergeCell ref="AD121:AD122"/>
    <mergeCell ref="AE121:AE122"/>
    <mergeCell ref="AF121:AF122"/>
    <mergeCell ref="AG121:AG122"/>
    <mergeCell ref="AH121:AH122"/>
    <mergeCell ref="AI121:AI122"/>
    <mergeCell ref="AJ121:AJ122"/>
    <mergeCell ref="AK121:AK122"/>
    <mergeCell ref="AL121:AL122"/>
    <mergeCell ref="AM121:AM122"/>
    <mergeCell ref="AN121:AN122"/>
    <mergeCell ref="AO121:AO122"/>
    <mergeCell ref="AP121:AP122"/>
    <mergeCell ref="AQ121:AQ122"/>
    <mergeCell ref="AR121:AR122"/>
    <mergeCell ref="AS121:AS122"/>
    <mergeCell ref="AT121:AT122"/>
    <mergeCell ref="AU121:AU122"/>
    <mergeCell ref="AV121:AV122"/>
    <mergeCell ref="AW121:AW122"/>
    <mergeCell ref="AX121:AX122"/>
    <mergeCell ref="AY121:AY122"/>
    <mergeCell ref="AZ121:AZ122"/>
    <mergeCell ref="BA121:BA122"/>
    <mergeCell ref="BB121:BB122"/>
    <mergeCell ref="BC121:BC122"/>
    <mergeCell ref="BD121:BD122"/>
    <mergeCell ref="BE121:BE122"/>
    <mergeCell ref="BF121:BF122"/>
    <mergeCell ref="BG121:BG122"/>
    <mergeCell ref="BH121:BH122"/>
    <mergeCell ref="BI121:BI122"/>
    <mergeCell ref="BJ121:BJ122"/>
    <mergeCell ref="BK121:BK122"/>
    <mergeCell ref="BL121:BL122"/>
    <mergeCell ref="BM121:BM122"/>
    <mergeCell ref="BN121:BN122"/>
    <mergeCell ref="BO121:BO122"/>
    <mergeCell ref="BP121:BP122"/>
    <mergeCell ref="BQ121:BQ122"/>
    <mergeCell ref="BR121:BR122"/>
    <mergeCell ref="BS121:BS122"/>
    <mergeCell ref="BT121:BT122"/>
    <mergeCell ref="BU121:BU122"/>
    <mergeCell ref="BV121:BV122"/>
    <mergeCell ref="BW121:BW122"/>
    <mergeCell ref="BX121:BX122"/>
    <mergeCell ref="BY121:BY122"/>
    <mergeCell ref="BZ121:BZ122"/>
    <mergeCell ref="CA121:CA122"/>
    <mergeCell ref="CB121:CB122"/>
    <mergeCell ref="CC121:CC122"/>
    <mergeCell ref="CD121:CD122"/>
    <mergeCell ref="CE121:CE122"/>
    <mergeCell ref="CF121:CF122"/>
    <mergeCell ref="CG121:CG122"/>
    <mergeCell ref="CH121:CH122"/>
    <mergeCell ref="A123:A124"/>
    <mergeCell ref="B123:B124"/>
    <mergeCell ref="C123:C124"/>
    <mergeCell ref="D123:D124"/>
    <mergeCell ref="E123:E124"/>
    <mergeCell ref="F123:F124"/>
    <mergeCell ref="G123:G124"/>
    <mergeCell ref="H123:H124"/>
    <mergeCell ref="I123:I124"/>
    <mergeCell ref="J123:J124"/>
    <mergeCell ref="K123:K124"/>
    <mergeCell ref="L123:L124"/>
    <mergeCell ref="M123:M124"/>
    <mergeCell ref="N123:N124"/>
    <mergeCell ref="O123:O124"/>
    <mergeCell ref="P123:P124"/>
    <mergeCell ref="Q123:Q124"/>
    <mergeCell ref="R123:R124"/>
    <mergeCell ref="S123:S124"/>
    <mergeCell ref="T123:T124"/>
    <mergeCell ref="U123:U124"/>
    <mergeCell ref="V123:V124"/>
    <mergeCell ref="W123:W124"/>
    <mergeCell ref="X123:X124"/>
    <mergeCell ref="Y123:Y124"/>
    <mergeCell ref="Z123:Z124"/>
    <mergeCell ref="AA123:AA124"/>
    <mergeCell ref="AB123:AB124"/>
    <mergeCell ref="AC123:AC124"/>
    <mergeCell ref="AD123:AD124"/>
    <mergeCell ref="AE123:AE124"/>
    <mergeCell ref="AF123:AF124"/>
    <mergeCell ref="AG123:AG124"/>
    <mergeCell ref="AH123:AH124"/>
    <mergeCell ref="AI123:AI124"/>
    <mergeCell ref="AJ123:AJ124"/>
    <mergeCell ref="AK123:AK124"/>
    <mergeCell ref="AL123:AL124"/>
    <mergeCell ref="AM123:AM124"/>
    <mergeCell ref="AN123:AN124"/>
    <mergeCell ref="AO123:AO124"/>
    <mergeCell ref="AP123:AP124"/>
    <mergeCell ref="AQ123:AQ124"/>
    <mergeCell ref="AR123:AR124"/>
    <mergeCell ref="AS123:AS124"/>
    <mergeCell ref="AT123:AT124"/>
    <mergeCell ref="AU123:AU124"/>
    <mergeCell ref="AV123:AV124"/>
    <mergeCell ref="AW123:AW124"/>
    <mergeCell ref="AX123:AX124"/>
    <mergeCell ref="AY123:AY124"/>
    <mergeCell ref="AZ123:AZ124"/>
    <mergeCell ref="BA123:BA124"/>
    <mergeCell ref="BB123:BB124"/>
    <mergeCell ref="BC123:BC124"/>
    <mergeCell ref="BD123:BD124"/>
    <mergeCell ref="BE123:BE124"/>
    <mergeCell ref="BF123:BF124"/>
    <mergeCell ref="BG123:BG124"/>
    <mergeCell ref="BH123:BH124"/>
    <mergeCell ref="BI123:BI124"/>
    <mergeCell ref="BJ123:BJ124"/>
    <mergeCell ref="BK123:BK124"/>
    <mergeCell ref="BL123:BL124"/>
    <mergeCell ref="BM123:BM124"/>
    <mergeCell ref="BN123:BN124"/>
    <mergeCell ref="BO123:BO124"/>
    <mergeCell ref="BP123:BP124"/>
    <mergeCell ref="BQ123:BQ124"/>
    <mergeCell ref="BR123:BR124"/>
    <mergeCell ref="BS123:BS124"/>
    <mergeCell ref="BT123:BT124"/>
    <mergeCell ref="BU123:BU124"/>
    <mergeCell ref="BV123:BV124"/>
    <mergeCell ref="BW123:BW124"/>
    <mergeCell ref="BX123:BX124"/>
    <mergeCell ref="BY123:BY124"/>
    <mergeCell ref="BZ123:BZ124"/>
    <mergeCell ref="CA123:CA124"/>
    <mergeCell ref="CB123:CB124"/>
    <mergeCell ref="CC123:CC124"/>
    <mergeCell ref="CD123:CD124"/>
    <mergeCell ref="CE123:CE124"/>
    <mergeCell ref="CF123:CF124"/>
    <mergeCell ref="CG123:CG124"/>
    <mergeCell ref="CH123:CH124"/>
    <mergeCell ref="A125:A126"/>
    <mergeCell ref="B125:B126"/>
    <mergeCell ref="C125:C126"/>
    <mergeCell ref="D125:D126"/>
    <mergeCell ref="E125:E126"/>
    <mergeCell ref="F125:F126"/>
    <mergeCell ref="G125:G126"/>
    <mergeCell ref="H125:H126"/>
    <mergeCell ref="I125:I126"/>
    <mergeCell ref="J125:J126"/>
    <mergeCell ref="K125:K126"/>
    <mergeCell ref="L125:L126"/>
    <mergeCell ref="M125:M126"/>
    <mergeCell ref="N125:N126"/>
    <mergeCell ref="O125:O126"/>
    <mergeCell ref="P125:P126"/>
    <mergeCell ref="Q125:Q126"/>
    <mergeCell ref="R125:R126"/>
    <mergeCell ref="S125:S126"/>
    <mergeCell ref="T125:T126"/>
    <mergeCell ref="U125:U126"/>
    <mergeCell ref="V125:V126"/>
    <mergeCell ref="W125:W126"/>
    <mergeCell ref="X125:X126"/>
    <mergeCell ref="Y125:Y126"/>
    <mergeCell ref="Z125:Z126"/>
    <mergeCell ref="AA125:AA126"/>
    <mergeCell ref="AB125:AB126"/>
    <mergeCell ref="AC125:AC126"/>
    <mergeCell ref="AD125:AD126"/>
    <mergeCell ref="AE125:AE126"/>
    <mergeCell ref="AF125:AF126"/>
    <mergeCell ref="AG125:AG126"/>
    <mergeCell ref="AH125:AH126"/>
    <mergeCell ref="AI125:AI126"/>
    <mergeCell ref="AJ125:AJ126"/>
    <mergeCell ref="AK125:AK126"/>
    <mergeCell ref="AL125:AL126"/>
    <mergeCell ref="AM125:AM126"/>
    <mergeCell ref="AN125:AN126"/>
    <mergeCell ref="AO125:AO126"/>
    <mergeCell ref="AP125:AP126"/>
    <mergeCell ref="AQ125:AQ126"/>
    <mergeCell ref="AR125:AR126"/>
    <mergeCell ref="AS125:AS126"/>
    <mergeCell ref="AT125:AT126"/>
    <mergeCell ref="AU125:AU126"/>
    <mergeCell ref="AV125:AV126"/>
    <mergeCell ref="AW125:AW126"/>
    <mergeCell ref="AX125:AX126"/>
    <mergeCell ref="AY125:AY126"/>
    <mergeCell ref="AZ125:AZ126"/>
    <mergeCell ref="BA125:BA126"/>
    <mergeCell ref="BB125:BB126"/>
    <mergeCell ref="BC125:BC126"/>
    <mergeCell ref="BD125:BD126"/>
    <mergeCell ref="BE125:BE126"/>
    <mergeCell ref="BF125:BF126"/>
    <mergeCell ref="BG125:BG126"/>
    <mergeCell ref="BH125:BH126"/>
    <mergeCell ref="BI125:BI126"/>
    <mergeCell ref="BJ125:BJ126"/>
    <mergeCell ref="BK125:BK126"/>
    <mergeCell ref="BL125:BL126"/>
    <mergeCell ref="BM125:BM126"/>
    <mergeCell ref="BN125:BN126"/>
    <mergeCell ref="BO125:BO126"/>
    <mergeCell ref="BP125:BP126"/>
    <mergeCell ref="BQ125:BQ126"/>
    <mergeCell ref="BR125:BR126"/>
    <mergeCell ref="BS125:BS126"/>
    <mergeCell ref="BT125:BT126"/>
    <mergeCell ref="BU125:BU126"/>
    <mergeCell ref="BV125:BV126"/>
    <mergeCell ref="BW125:BW126"/>
    <mergeCell ref="BX125:BX126"/>
    <mergeCell ref="BY125:BY126"/>
    <mergeCell ref="BZ125:BZ126"/>
    <mergeCell ref="CA125:CA126"/>
    <mergeCell ref="CB125:CB126"/>
    <mergeCell ref="CC125:CC126"/>
    <mergeCell ref="CD125:CD126"/>
    <mergeCell ref="CE125:CE126"/>
    <mergeCell ref="CF125:CF126"/>
    <mergeCell ref="CG125:CG126"/>
    <mergeCell ref="CH125:CH126"/>
    <mergeCell ref="A127:A128"/>
    <mergeCell ref="B127:B128"/>
    <mergeCell ref="C127:C128"/>
    <mergeCell ref="D127:D128"/>
    <mergeCell ref="E127:E128"/>
    <mergeCell ref="F127:F128"/>
    <mergeCell ref="G127:G128"/>
    <mergeCell ref="H127:H128"/>
    <mergeCell ref="I127:I128"/>
    <mergeCell ref="J127:J128"/>
    <mergeCell ref="K127:K128"/>
    <mergeCell ref="L127:L128"/>
    <mergeCell ref="M127:M128"/>
    <mergeCell ref="N127:N128"/>
    <mergeCell ref="O127:O128"/>
    <mergeCell ref="P127:P128"/>
    <mergeCell ref="Q127:Q128"/>
    <mergeCell ref="R127:R128"/>
    <mergeCell ref="S127:S128"/>
    <mergeCell ref="T127:T128"/>
    <mergeCell ref="U127:U128"/>
    <mergeCell ref="V127:V128"/>
    <mergeCell ref="W127:W128"/>
    <mergeCell ref="X127:X128"/>
    <mergeCell ref="Y127:Y128"/>
    <mergeCell ref="Z127:Z128"/>
    <mergeCell ref="AA127:AA128"/>
    <mergeCell ref="AB127:AB128"/>
    <mergeCell ref="AC127:AC128"/>
    <mergeCell ref="AD127:AD128"/>
    <mergeCell ref="AE127:AE128"/>
    <mergeCell ref="AF127:AF128"/>
    <mergeCell ref="AG127:AG128"/>
    <mergeCell ref="AH127:AH128"/>
    <mergeCell ref="AI127:AI128"/>
    <mergeCell ref="AJ127:AJ128"/>
    <mergeCell ref="AK127:AK128"/>
    <mergeCell ref="AL127:AL128"/>
    <mergeCell ref="AM127:AM128"/>
    <mergeCell ref="AN127:AN128"/>
    <mergeCell ref="AO127:AO128"/>
    <mergeCell ref="AP127:AP128"/>
    <mergeCell ref="AQ127:AQ128"/>
    <mergeCell ref="AR127:AR128"/>
    <mergeCell ref="AS127:AS128"/>
    <mergeCell ref="AT127:AT128"/>
    <mergeCell ref="AU127:AU128"/>
    <mergeCell ref="AV127:AV128"/>
    <mergeCell ref="AW127:AW128"/>
    <mergeCell ref="AX127:AX128"/>
    <mergeCell ref="AY127:AY128"/>
    <mergeCell ref="AZ127:AZ128"/>
    <mergeCell ref="BA127:BA128"/>
    <mergeCell ref="BB127:BB128"/>
    <mergeCell ref="BC127:BC128"/>
    <mergeCell ref="BD127:BD128"/>
    <mergeCell ref="BE127:BE128"/>
    <mergeCell ref="BF127:BF128"/>
    <mergeCell ref="BG127:BG128"/>
    <mergeCell ref="BH127:BH128"/>
    <mergeCell ref="BI127:BI128"/>
    <mergeCell ref="BJ127:BJ128"/>
    <mergeCell ref="BK127:BK128"/>
    <mergeCell ref="BL127:BL128"/>
    <mergeCell ref="BM127:BM128"/>
    <mergeCell ref="BN127:BN128"/>
    <mergeCell ref="BO127:BO128"/>
    <mergeCell ref="BP127:BP128"/>
    <mergeCell ref="BQ127:BQ128"/>
    <mergeCell ref="BR127:BR128"/>
    <mergeCell ref="BS127:BS128"/>
    <mergeCell ref="BT127:BT128"/>
    <mergeCell ref="BU127:BU128"/>
    <mergeCell ref="BV127:BV128"/>
    <mergeCell ref="BW127:BW128"/>
    <mergeCell ref="BX127:BX128"/>
    <mergeCell ref="BY127:BY128"/>
    <mergeCell ref="BZ127:BZ128"/>
    <mergeCell ref="CA127:CA128"/>
    <mergeCell ref="CB127:CB128"/>
    <mergeCell ref="CC127:CC128"/>
    <mergeCell ref="CD127:CD128"/>
    <mergeCell ref="CE127:CE128"/>
    <mergeCell ref="CF127:CF128"/>
    <mergeCell ref="CG127:CG128"/>
    <mergeCell ref="CH127:CH128"/>
    <mergeCell ref="A129:A130"/>
    <mergeCell ref="B129:B130"/>
    <mergeCell ref="C129:C130"/>
    <mergeCell ref="D129:D130"/>
    <mergeCell ref="E129:E130"/>
    <mergeCell ref="F129:F130"/>
    <mergeCell ref="G129:G130"/>
    <mergeCell ref="H129:H130"/>
    <mergeCell ref="I129:I130"/>
    <mergeCell ref="J129:J130"/>
    <mergeCell ref="K129:K130"/>
    <mergeCell ref="L129:L130"/>
    <mergeCell ref="M129:M130"/>
    <mergeCell ref="N129:N130"/>
    <mergeCell ref="O129:O130"/>
    <mergeCell ref="P129:P130"/>
    <mergeCell ref="Q129:Q130"/>
    <mergeCell ref="R129:R130"/>
    <mergeCell ref="S129:S130"/>
    <mergeCell ref="T129:T130"/>
    <mergeCell ref="U129:U130"/>
    <mergeCell ref="V129:V130"/>
    <mergeCell ref="W129:W130"/>
    <mergeCell ref="X129:X130"/>
    <mergeCell ref="Y129:Y130"/>
    <mergeCell ref="Z129:Z130"/>
    <mergeCell ref="AA129:AA130"/>
    <mergeCell ref="AB129:AB130"/>
    <mergeCell ref="AC129:AC130"/>
    <mergeCell ref="AD129:AD130"/>
    <mergeCell ref="AE129:AE130"/>
    <mergeCell ref="AF129:AF130"/>
    <mergeCell ref="AG129:AG130"/>
    <mergeCell ref="AH129:AH130"/>
    <mergeCell ref="AI129:AI130"/>
    <mergeCell ref="AJ129:AJ130"/>
    <mergeCell ref="AK129:AK130"/>
    <mergeCell ref="AL129:AL130"/>
    <mergeCell ref="AM129:AM130"/>
    <mergeCell ref="AN129:AN130"/>
    <mergeCell ref="AO129:AO130"/>
    <mergeCell ref="AP129:AP130"/>
    <mergeCell ref="AQ129:AQ130"/>
    <mergeCell ref="AR129:AR130"/>
    <mergeCell ref="AS129:AS130"/>
    <mergeCell ref="AT129:AT130"/>
    <mergeCell ref="AU129:AU130"/>
    <mergeCell ref="AV129:AV130"/>
    <mergeCell ref="AW129:AW130"/>
    <mergeCell ref="AX129:AX130"/>
    <mergeCell ref="AY129:AY130"/>
    <mergeCell ref="AZ129:AZ130"/>
    <mergeCell ref="BA129:BA130"/>
    <mergeCell ref="BB129:BB130"/>
    <mergeCell ref="BC129:BC130"/>
    <mergeCell ref="BD129:BD130"/>
    <mergeCell ref="BE129:BE130"/>
    <mergeCell ref="BF129:BF130"/>
    <mergeCell ref="BG129:BG130"/>
    <mergeCell ref="BH129:BH130"/>
    <mergeCell ref="BI129:BI130"/>
    <mergeCell ref="BJ129:BJ130"/>
    <mergeCell ref="BK129:BK130"/>
    <mergeCell ref="BL129:BL130"/>
    <mergeCell ref="BM129:BM130"/>
    <mergeCell ref="BN129:BN130"/>
    <mergeCell ref="BO129:BO130"/>
    <mergeCell ref="BP129:BP130"/>
    <mergeCell ref="BQ129:BQ130"/>
    <mergeCell ref="BR129:BR130"/>
    <mergeCell ref="BS129:BS130"/>
    <mergeCell ref="BT129:BT130"/>
    <mergeCell ref="BU129:BU130"/>
    <mergeCell ref="BV129:BV130"/>
    <mergeCell ref="BW129:BW130"/>
    <mergeCell ref="BX129:BX130"/>
    <mergeCell ref="BY129:BY130"/>
    <mergeCell ref="BZ129:BZ130"/>
    <mergeCell ref="CA129:CA130"/>
    <mergeCell ref="CB129:CB130"/>
    <mergeCell ref="CC129:CC130"/>
    <mergeCell ref="CD129:CD130"/>
    <mergeCell ref="CE129:CE130"/>
    <mergeCell ref="CF129:CF130"/>
    <mergeCell ref="CG129:CG130"/>
    <mergeCell ref="CH129:CH130"/>
    <mergeCell ref="A131:A132"/>
    <mergeCell ref="B131:B132"/>
    <mergeCell ref="C131:C132"/>
    <mergeCell ref="D131:D132"/>
    <mergeCell ref="E131:E132"/>
    <mergeCell ref="F131:F132"/>
    <mergeCell ref="G131:G132"/>
    <mergeCell ref="H131:H132"/>
    <mergeCell ref="I131:I132"/>
    <mergeCell ref="J131:J132"/>
    <mergeCell ref="K131:K132"/>
    <mergeCell ref="L131:L132"/>
    <mergeCell ref="M131:M132"/>
    <mergeCell ref="N131:N132"/>
    <mergeCell ref="O131:O132"/>
    <mergeCell ref="P131:P132"/>
    <mergeCell ref="Q131:Q132"/>
    <mergeCell ref="R131:R132"/>
    <mergeCell ref="S131:S132"/>
    <mergeCell ref="T131:T132"/>
    <mergeCell ref="U131:U132"/>
    <mergeCell ref="V131:V132"/>
    <mergeCell ref="W131:W132"/>
    <mergeCell ref="X131:X132"/>
    <mergeCell ref="Y131:Y132"/>
    <mergeCell ref="Z131:Z132"/>
    <mergeCell ref="AA131:AA132"/>
    <mergeCell ref="AB131:AB132"/>
    <mergeCell ref="AC131:AC132"/>
    <mergeCell ref="AD131:AD132"/>
    <mergeCell ref="AE131:AE132"/>
    <mergeCell ref="AF131:AF132"/>
    <mergeCell ref="AG131:AG132"/>
    <mergeCell ref="AH131:AH132"/>
    <mergeCell ref="AI131:AI132"/>
    <mergeCell ref="AJ131:AJ132"/>
    <mergeCell ref="AK131:AK132"/>
    <mergeCell ref="AL131:AL132"/>
    <mergeCell ref="AM131:AM132"/>
    <mergeCell ref="AN131:AN132"/>
    <mergeCell ref="AO131:AO132"/>
    <mergeCell ref="AP131:AP132"/>
    <mergeCell ref="AQ131:AQ132"/>
    <mergeCell ref="AR131:AR132"/>
    <mergeCell ref="AS131:AS132"/>
    <mergeCell ref="AT131:AT132"/>
    <mergeCell ref="AU131:AU132"/>
    <mergeCell ref="AV131:AV132"/>
    <mergeCell ref="AW131:AW132"/>
    <mergeCell ref="AX131:AX132"/>
    <mergeCell ref="AY131:AY132"/>
    <mergeCell ref="AZ131:AZ132"/>
    <mergeCell ref="BA131:BA132"/>
    <mergeCell ref="BB131:BB132"/>
    <mergeCell ref="BC131:BC132"/>
    <mergeCell ref="BD131:BD132"/>
    <mergeCell ref="BE131:BE132"/>
    <mergeCell ref="BF131:BF132"/>
    <mergeCell ref="BG131:BG132"/>
    <mergeCell ref="BH131:BH132"/>
    <mergeCell ref="BI131:BI132"/>
    <mergeCell ref="BJ131:BJ132"/>
    <mergeCell ref="BK131:BK132"/>
    <mergeCell ref="BL131:BL132"/>
    <mergeCell ref="BM131:BM132"/>
    <mergeCell ref="BN131:BN132"/>
    <mergeCell ref="BO131:BO132"/>
    <mergeCell ref="BP131:BP132"/>
    <mergeCell ref="BQ131:BQ132"/>
    <mergeCell ref="BR131:BR132"/>
    <mergeCell ref="BS131:BS132"/>
    <mergeCell ref="BT131:BT132"/>
    <mergeCell ref="BU131:BU132"/>
    <mergeCell ref="BV131:BV132"/>
    <mergeCell ref="BW131:BW132"/>
    <mergeCell ref="BX131:BX132"/>
    <mergeCell ref="BY131:BY132"/>
    <mergeCell ref="BZ131:BZ132"/>
    <mergeCell ref="CA131:CA132"/>
    <mergeCell ref="CB131:CB132"/>
    <mergeCell ref="CC131:CC132"/>
    <mergeCell ref="CD131:CD132"/>
    <mergeCell ref="CE131:CE132"/>
    <mergeCell ref="CF131:CF132"/>
    <mergeCell ref="CG131:CG132"/>
    <mergeCell ref="CH131:CH132"/>
    <mergeCell ref="A133:A134"/>
    <mergeCell ref="B133:B134"/>
    <mergeCell ref="C133:C134"/>
    <mergeCell ref="D133:D134"/>
    <mergeCell ref="E133:E134"/>
    <mergeCell ref="F133:F134"/>
    <mergeCell ref="G133:G134"/>
    <mergeCell ref="H133:H134"/>
    <mergeCell ref="I133:I134"/>
    <mergeCell ref="J133:J134"/>
    <mergeCell ref="K133:K134"/>
    <mergeCell ref="L133:L134"/>
    <mergeCell ref="M133:M134"/>
    <mergeCell ref="N133:N134"/>
    <mergeCell ref="O133:O134"/>
    <mergeCell ref="P133:P134"/>
    <mergeCell ref="Q133:Q134"/>
    <mergeCell ref="R133:R134"/>
    <mergeCell ref="S133:S134"/>
    <mergeCell ref="T133:T134"/>
    <mergeCell ref="U133:U134"/>
    <mergeCell ref="V133:V134"/>
    <mergeCell ref="W133:W134"/>
    <mergeCell ref="X133:X134"/>
    <mergeCell ref="Y133:Y134"/>
    <mergeCell ref="Z133:Z134"/>
    <mergeCell ref="AA133:AA134"/>
    <mergeCell ref="AB133:AB134"/>
    <mergeCell ref="AC133:AC134"/>
    <mergeCell ref="AD133:AD134"/>
    <mergeCell ref="AE133:AE134"/>
    <mergeCell ref="AF133:AF134"/>
    <mergeCell ref="AG133:AG134"/>
    <mergeCell ref="AH133:AH134"/>
    <mergeCell ref="AI133:AI134"/>
    <mergeCell ref="AJ133:AJ134"/>
    <mergeCell ref="AK133:AK134"/>
    <mergeCell ref="AL133:AL134"/>
    <mergeCell ref="AM133:AM134"/>
    <mergeCell ref="AN133:AN134"/>
    <mergeCell ref="AO133:AO134"/>
    <mergeCell ref="AP133:AP134"/>
    <mergeCell ref="AQ133:AQ134"/>
    <mergeCell ref="AR133:AR134"/>
    <mergeCell ref="AS133:AS134"/>
    <mergeCell ref="AT133:AT134"/>
    <mergeCell ref="AU133:AU134"/>
    <mergeCell ref="AV133:AV134"/>
    <mergeCell ref="AW133:AW134"/>
    <mergeCell ref="AX133:AX134"/>
    <mergeCell ref="AY133:AY134"/>
    <mergeCell ref="AZ133:AZ134"/>
    <mergeCell ref="BA133:BA134"/>
    <mergeCell ref="BB133:BB134"/>
    <mergeCell ref="BC133:BC134"/>
    <mergeCell ref="BD133:BD134"/>
    <mergeCell ref="BE133:BE134"/>
    <mergeCell ref="BF133:BF134"/>
    <mergeCell ref="BG133:BG134"/>
    <mergeCell ref="BH133:BH134"/>
    <mergeCell ref="BI133:BI134"/>
    <mergeCell ref="BJ133:BJ134"/>
    <mergeCell ref="BK133:BK134"/>
    <mergeCell ref="BL133:BL134"/>
    <mergeCell ref="BM133:BM134"/>
    <mergeCell ref="BN133:BN134"/>
    <mergeCell ref="BO133:BO134"/>
    <mergeCell ref="BP133:BP134"/>
    <mergeCell ref="BQ133:BQ134"/>
    <mergeCell ref="BR133:BR134"/>
    <mergeCell ref="BS133:BS134"/>
    <mergeCell ref="BT133:BT134"/>
    <mergeCell ref="BU133:BU134"/>
    <mergeCell ref="BV133:BV134"/>
    <mergeCell ref="BW133:BW134"/>
    <mergeCell ref="BX133:BX134"/>
    <mergeCell ref="BY133:BY134"/>
    <mergeCell ref="BZ133:BZ134"/>
    <mergeCell ref="CA133:CA134"/>
    <mergeCell ref="CB133:CB134"/>
    <mergeCell ref="CC133:CC134"/>
    <mergeCell ref="CD133:CD134"/>
    <mergeCell ref="CE133:CE134"/>
    <mergeCell ref="CF133:CF134"/>
    <mergeCell ref="CG133:CG134"/>
    <mergeCell ref="CH133:CH134"/>
    <mergeCell ref="A135:A136"/>
    <mergeCell ref="B135:B136"/>
    <mergeCell ref="C135:C136"/>
    <mergeCell ref="D135:D136"/>
    <mergeCell ref="E135:E136"/>
    <mergeCell ref="F135:F136"/>
    <mergeCell ref="G135:G136"/>
    <mergeCell ref="H135:H136"/>
    <mergeCell ref="I135:I136"/>
    <mergeCell ref="J135:J136"/>
    <mergeCell ref="K135:K136"/>
    <mergeCell ref="L135:L136"/>
    <mergeCell ref="M135:M136"/>
    <mergeCell ref="N135:N136"/>
    <mergeCell ref="O135:O136"/>
    <mergeCell ref="P135:P136"/>
    <mergeCell ref="Q135:Q136"/>
    <mergeCell ref="R135:R136"/>
    <mergeCell ref="S135:S136"/>
    <mergeCell ref="T135:T136"/>
    <mergeCell ref="U135:U136"/>
    <mergeCell ref="V135:V136"/>
    <mergeCell ref="W135:W136"/>
    <mergeCell ref="X135:X136"/>
    <mergeCell ref="Y135:Y136"/>
    <mergeCell ref="Z135:Z136"/>
    <mergeCell ref="AA135:AA136"/>
    <mergeCell ref="AB135:AB136"/>
    <mergeCell ref="AC135:AC136"/>
    <mergeCell ref="AD135:AD136"/>
    <mergeCell ref="AE135:AE136"/>
    <mergeCell ref="AF135:AF136"/>
    <mergeCell ref="AG135:AG136"/>
    <mergeCell ref="AH135:AH136"/>
    <mergeCell ref="AI135:AI136"/>
    <mergeCell ref="AJ135:AJ136"/>
    <mergeCell ref="AK135:AK136"/>
    <mergeCell ref="AL135:AL136"/>
    <mergeCell ref="AM135:AM136"/>
    <mergeCell ref="AN135:AN136"/>
    <mergeCell ref="AO135:AO136"/>
    <mergeCell ref="AP135:AP136"/>
    <mergeCell ref="AQ135:AQ136"/>
    <mergeCell ref="AR135:AR136"/>
    <mergeCell ref="AS135:AS136"/>
    <mergeCell ref="AT135:AT136"/>
    <mergeCell ref="AU135:AU136"/>
    <mergeCell ref="AV135:AV136"/>
    <mergeCell ref="AW135:AW136"/>
    <mergeCell ref="AX135:AX136"/>
    <mergeCell ref="AY135:AY136"/>
    <mergeCell ref="AZ135:AZ136"/>
    <mergeCell ref="BA135:BA136"/>
    <mergeCell ref="BB135:BB136"/>
    <mergeCell ref="BC135:BC136"/>
    <mergeCell ref="BD135:BD136"/>
    <mergeCell ref="BE135:BE136"/>
    <mergeCell ref="BF135:BF136"/>
    <mergeCell ref="BG135:BG136"/>
    <mergeCell ref="BH135:BH136"/>
    <mergeCell ref="BI135:BI136"/>
    <mergeCell ref="BJ135:BJ136"/>
    <mergeCell ref="BK135:BK136"/>
    <mergeCell ref="BL135:BL136"/>
    <mergeCell ref="BM135:BM136"/>
    <mergeCell ref="BN135:BN136"/>
    <mergeCell ref="BO135:BO136"/>
    <mergeCell ref="BP135:BP136"/>
    <mergeCell ref="BQ135:BQ136"/>
    <mergeCell ref="BR135:BR136"/>
    <mergeCell ref="BS135:BS136"/>
    <mergeCell ref="BT135:BT136"/>
    <mergeCell ref="BU135:BU136"/>
    <mergeCell ref="BV135:BV136"/>
    <mergeCell ref="BW135:BW136"/>
    <mergeCell ref="BX135:BX136"/>
    <mergeCell ref="BY135:BY136"/>
    <mergeCell ref="BZ135:BZ136"/>
    <mergeCell ref="CA135:CA136"/>
    <mergeCell ref="CB135:CB136"/>
    <mergeCell ref="CC135:CC136"/>
    <mergeCell ref="CD135:CD136"/>
    <mergeCell ref="CE135:CE136"/>
    <mergeCell ref="CF135:CF136"/>
    <mergeCell ref="CG135:CG136"/>
    <mergeCell ref="CH135:CH136"/>
    <mergeCell ref="A137:A138"/>
    <mergeCell ref="B137:B138"/>
    <mergeCell ref="C137:C138"/>
    <mergeCell ref="D137:D138"/>
    <mergeCell ref="E137:E138"/>
    <mergeCell ref="F137:F138"/>
    <mergeCell ref="G137:G138"/>
    <mergeCell ref="H137:H138"/>
    <mergeCell ref="I137:I138"/>
    <mergeCell ref="J137:J138"/>
    <mergeCell ref="K137:K138"/>
    <mergeCell ref="L137:L138"/>
    <mergeCell ref="M137:M138"/>
    <mergeCell ref="N137:N138"/>
    <mergeCell ref="O137:O138"/>
    <mergeCell ref="P137:P138"/>
    <mergeCell ref="Q137:Q138"/>
    <mergeCell ref="R137:R138"/>
    <mergeCell ref="S137:S138"/>
    <mergeCell ref="T137:T138"/>
    <mergeCell ref="U137:U138"/>
    <mergeCell ref="V137:V138"/>
    <mergeCell ref="W137:W138"/>
    <mergeCell ref="X137:X138"/>
    <mergeCell ref="Y137:Y138"/>
    <mergeCell ref="Z137:Z138"/>
    <mergeCell ref="AA137:AA138"/>
    <mergeCell ref="AB137:AB138"/>
    <mergeCell ref="AC137:AC138"/>
    <mergeCell ref="AD137:AD138"/>
    <mergeCell ref="AE137:AE138"/>
    <mergeCell ref="AF137:AF138"/>
    <mergeCell ref="AG137:AG138"/>
    <mergeCell ref="AH137:AH138"/>
    <mergeCell ref="AI137:AI138"/>
    <mergeCell ref="AJ137:AJ138"/>
    <mergeCell ref="AK137:AK138"/>
    <mergeCell ref="AL137:AL138"/>
    <mergeCell ref="AM137:AM138"/>
    <mergeCell ref="AN137:AN138"/>
    <mergeCell ref="AO137:AO138"/>
    <mergeCell ref="AP137:AP138"/>
    <mergeCell ref="AQ137:AQ138"/>
    <mergeCell ref="AR137:AR138"/>
    <mergeCell ref="AS137:AS138"/>
    <mergeCell ref="AT137:AT138"/>
    <mergeCell ref="AU137:AU138"/>
    <mergeCell ref="AV137:AV138"/>
    <mergeCell ref="AW137:AW138"/>
    <mergeCell ref="AX137:AX138"/>
    <mergeCell ref="AY137:AY138"/>
    <mergeCell ref="AZ137:AZ138"/>
    <mergeCell ref="BA137:BA138"/>
    <mergeCell ref="BB137:BB138"/>
    <mergeCell ref="BC137:BC138"/>
    <mergeCell ref="BD137:BD138"/>
    <mergeCell ref="BE137:BE138"/>
    <mergeCell ref="BF137:BF138"/>
    <mergeCell ref="BG137:BG138"/>
    <mergeCell ref="BH137:BH138"/>
    <mergeCell ref="BI137:BI138"/>
    <mergeCell ref="BJ137:BJ138"/>
    <mergeCell ref="BK137:BK138"/>
    <mergeCell ref="BL137:BL138"/>
    <mergeCell ref="BM137:BM138"/>
    <mergeCell ref="BN137:BN138"/>
    <mergeCell ref="BO137:BO138"/>
    <mergeCell ref="BP137:BP138"/>
    <mergeCell ref="BQ137:BQ138"/>
    <mergeCell ref="BR137:BR138"/>
    <mergeCell ref="BS137:BS138"/>
    <mergeCell ref="BT137:BT138"/>
    <mergeCell ref="BU137:BU138"/>
    <mergeCell ref="BV137:BV138"/>
    <mergeCell ref="BW137:BW138"/>
    <mergeCell ref="BX137:BX138"/>
    <mergeCell ref="BY137:BY138"/>
    <mergeCell ref="BZ137:BZ138"/>
    <mergeCell ref="CA137:CA138"/>
    <mergeCell ref="CB137:CB138"/>
    <mergeCell ref="CC137:CC138"/>
    <mergeCell ref="CD137:CD138"/>
    <mergeCell ref="CE137:CE138"/>
    <mergeCell ref="CF137:CF138"/>
    <mergeCell ref="CG137:CG138"/>
    <mergeCell ref="CH137:CH138"/>
    <mergeCell ref="A139:A140"/>
    <mergeCell ref="B139:B140"/>
    <mergeCell ref="C139:C140"/>
    <mergeCell ref="D139:D140"/>
    <mergeCell ref="E139:E140"/>
    <mergeCell ref="F139:F140"/>
    <mergeCell ref="G139:G140"/>
    <mergeCell ref="H139:H140"/>
    <mergeCell ref="I139:I140"/>
    <mergeCell ref="J139:J140"/>
    <mergeCell ref="K139:K140"/>
    <mergeCell ref="L139:L140"/>
    <mergeCell ref="M139:M140"/>
    <mergeCell ref="N139:N140"/>
    <mergeCell ref="O139:O140"/>
    <mergeCell ref="P139:P140"/>
    <mergeCell ref="Q139:Q140"/>
    <mergeCell ref="R139:R140"/>
    <mergeCell ref="S139:S140"/>
    <mergeCell ref="T139:T140"/>
    <mergeCell ref="U139:U140"/>
    <mergeCell ref="V139:V140"/>
    <mergeCell ref="W139:W140"/>
    <mergeCell ref="X139:X140"/>
    <mergeCell ref="Y139:Y140"/>
    <mergeCell ref="Z139:Z140"/>
    <mergeCell ref="AA139:AA140"/>
    <mergeCell ref="AB139:AB140"/>
    <mergeCell ref="AC139:AC140"/>
    <mergeCell ref="AD139:AD140"/>
    <mergeCell ref="AE139:AE140"/>
    <mergeCell ref="AF139:AF140"/>
    <mergeCell ref="AG139:AG140"/>
    <mergeCell ref="AH139:AH140"/>
    <mergeCell ref="AI139:AI140"/>
    <mergeCell ref="AJ139:AJ140"/>
    <mergeCell ref="AK139:AK140"/>
    <mergeCell ref="AL139:AL140"/>
    <mergeCell ref="AM139:AM140"/>
    <mergeCell ref="AN139:AN140"/>
    <mergeCell ref="AO139:AO140"/>
    <mergeCell ref="AP139:AP140"/>
    <mergeCell ref="AQ139:AQ140"/>
    <mergeCell ref="AR139:AR140"/>
    <mergeCell ref="AS139:AS140"/>
    <mergeCell ref="AT139:AT140"/>
    <mergeCell ref="AU139:AU140"/>
    <mergeCell ref="AV139:AV140"/>
    <mergeCell ref="AW139:AW140"/>
    <mergeCell ref="AX139:AX140"/>
    <mergeCell ref="AY139:AY140"/>
    <mergeCell ref="AZ139:AZ140"/>
    <mergeCell ref="BA139:BA140"/>
    <mergeCell ref="BB139:BB140"/>
    <mergeCell ref="BC139:BC140"/>
    <mergeCell ref="BD139:BD140"/>
    <mergeCell ref="BE139:BE140"/>
    <mergeCell ref="BF139:BF140"/>
    <mergeCell ref="BG139:BG140"/>
    <mergeCell ref="BH139:BH140"/>
    <mergeCell ref="BI139:BI140"/>
    <mergeCell ref="BJ139:BJ140"/>
    <mergeCell ref="BK139:BK140"/>
    <mergeCell ref="BL139:BL140"/>
    <mergeCell ref="BM139:BM140"/>
    <mergeCell ref="BN139:BN140"/>
    <mergeCell ref="BO139:BO140"/>
    <mergeCell ref="BP139:BP140"/>
    <mergeCell ref="BQ139:BQ140"/>
    <mergeCell ref="BR139:BR140"/>
    <mergeCell ref="BS139:BS140"/>
    <mergeCell ref="BT139:BT140"/>
    <mergeCell ref="BU139:BU140"/>
    <mergeCell ref="BV139:BV140"/>
    <mergeCell ref="BW139:BW140"/>
    <mergeCell ref="BX139:BX140"/>
    <mergeCell ref="BY139:BY140"/>
    <mergeCell ref="BZ139:BZ140"/>
    <mergeCell ref="CA139:CA140"/>
    <mergeCell ref="CB139:CB140"/>
    <mergeCell ref="CC139:CC140"/>
    <mergeCell ref="CD139:CD140"/>
    <mergeCell ref="CE139:CE140"/>
    <mergeCell ref="CF139:CF140"/>
    <mergeCell ref="CG139:CG140"/>
    <mergeCell ref="CH139:CH140"/>
    <mergeCell ref="A141:A142"/>
    <mergeCell ref="B141:B142"/>
    <mergeCell ref="C141:C142"/>
    <mergeCell ref="D141:D142"/>
    <mergeCell ref="E141:E142"/>
    <mergeCell ref="F141:F142"/>
    <mergeCell ref="G141:G142"/>
    <mergeCell ref="H141:H142"/>
    <mergeCell ref="I141:I142"/>
    <mergeCell ref="J141:J142"/>
    <mergeCell ref="K141:K142"/>
    <mergeCell ref="L141:L142"/>
    <mergeCell ref="M141:M142"/>
    <mergeCell ref="N141:N142"/>
    <mergeCell ref="O141:O142"/>
    <mergeCell ref="P141:P142"/>
    <mergeCell ref="Q141:Q142"/>
    <mergeCell ref="R141:R142"/>
    <mergeCell ref="S141:S142"/>
    <mergeCell ref="T141:T142"/>
    <mergeCell ref="U141:U142"/>
    <mergeCell ref="V141:V142"/>
    <mergeCell ref="W141:W142"/>
    <mergeCell ref="X141:X142"/>
    <mergeCell ref="Y141:Y142"/>
    <mergeCell ref="Z141:Z142"/>
    <mergeCell ref="AA141:AA142"/>
    <mergeCell ref="AB141:AB142"/>
    <mergeCell ref="AC141:AC142"/>
    <mergeCell ref="AD141:AD142"/>
    <mergeCell ref="AE141:AE142"/>
    <mergeCell ref="AF141:AF142"/>
    <mergeCell ref="AG141:AG142"/>
    <mergeCell ref="AH141:AH142"/>
    <mergeCell ref="AI141:AI142"/>
    <mergeCell ref="AJ141:AJ142"/>
    <mergeCell ref="AK141:AK142"/>
    <mergeCell ref="AL141:AL142"/>
    <mergeCell ref="AM141:AM142"/>
    <mergeCell ref="AN141:AN142"/>
    <mergeCell ref="AO141:AO142"/>
    <mergeCell ref="AP141:AP142"/>
    <mergeCell ref="AQ141:AQ142"/>
    <mergeCell ref="AR141:AR142"/>
    <mergeCell ref="AS141:AS142"/>
    <mergeCell ref="AT141:AT142"/>
    <mergeCell ref="AU141:AU142"/>
    <mergeCell ref="AV141:AV142"/>
    <mergeCell ref="AW141:AW142"/>
    <mergeCell ref="AX141:AX142"/>
    <mergeCell ref="AY141:AY142"/>
    <mergeCell ref="AZ141:AZ142"/>
    <mergeCell ref="BA141:BA142"/>
    <mergeCell ref="BB141:BB142"/>
    <mergeCell ref="BC141:BC142"/>
    <mergeCell ref="BD141:BD142"/>
    <mergeCell ref="BE141:BE142"/>
    <mergeCell ref="BF141:BF142"/>
    <mergeCell ref="BG141:BG142"/>
    <mergeCell ref="BH141:BH142"/>
    <mergeCell ref="BI141:BI142"/>
    <mergeCell ref="BJ141:BJ142"/>
    <mergeCell ref="BK141:BK142"/>
    <mergeCell ref="BL141:BL142"/>
    <mergeCell ref="BM141:BM142"/>
    <mergeCell ref="BN141:BN142"/>
    <mergeCell ref="BO141:BO142"/>
    <mergeCell ref="BP141:BP142"/>
    <mergeCell ref="BQ141:BQ142"/>
    <mergeCell ref="BR141:BR142"/>
    <mergeCell ref="BS141:BS142"/>
    <mergeCell ref="BT141:BT142"/>
    <mergeCell ref="BU141:BU142"/>
    <mergeCell ref="BV141:BV142"/>
    <mergeCell ref="BW141:BW142"/>
    <mergeCell ref="BX141:BX142"/>
    <mergeCell ref="BY141:BY142"/>
    <mergeCell ref="BZ141:BZ142"/>
    <mergeCell ref="CA141:CA142"/>
    <mergeCell ref="CB141:CB142"/>
    <mergeCell ref="CC141:CC142"/>
    <mergeCell ref="CD141:CD142"/>
    <mergeCell ref="CE141:CE142"/>
    <mergeCell ref="CF141:CF142"/>
    <mergeCell ref="CG141:CG142"/>
    <mergeCell ref="CH141:CH142"/>
    <mergeCell ref="A143:A144"/>
    <mergeCell ref="B143:B144"/>
    <mergeCell ref="C143:C144"/>
    <mergeCell ref="D143:D144"/>
    <mergeCell ref="E143:E144"/>
    <mergeCell ref="F143:F144"/>
    <mergeCell ref="G143:G144"/>
    <mergeCell ref="H143:H144"/>
    <mergeCell ref="I143:I144"/>
    <mergeCell ref="J143:J144"/>
    <mergeCell ref="K143:K144"/>
    <mergeCell ref="L143:L144"/>
    <mergeCell ref="M143:M144"/>
    <mergeCell ref="N143:N144"/>
    <mergeCell ref="O143:O144"/>
    <mergeCell ref="P143:P144"/>
    <mergeCell ref="Q143:Q144"/>
    <mergeCell ref="R143:R144"/>
    <mergeCell ref="S143:S144"/>
    <mergeCell ref="T143:T144"/>
    <mergeCell ref="U143:U144"/>
    <mergeCell ref="V143:V144"/>
    <mergeCell ref="W143:W144"/>
    <mergeCell ref="X143:X144"/>
    <mergeCell ref="Y143:Y144"/>
    <mergeCell ref="Z143:Z144"/>
    <mergeCell ref="AA143:AA144"/>
    <mergeCell ref="AB143:AB144"/>
    <mergeCell ref="AC143:AC144"/>
    <mergeCell ref="AD143:AD144"/>
    <mergeCell ref="AE143:AE144"/>
    <mergeCell ref="AF143:AF144"/>
    <mergeCell ref="AG143:AG144"/>
    <mergeCell ref="AH143:AH144"/>
    <mergeCell ref="AI143:AI144"/>
    <mergeCell ref="AJ143:AJ144"/>
    <mergeCell ref="AK143:AK144"/>
    <mergeCell ref="AL143:AL144"/>
    <mergeCell ref="AM143:AM144"/>
    <mergeCell ref="AN143:AN144"/>
    <mergeCell ref="AO143:AO144"/>
    <mergeCell ref="AP143:AP144"/>
    <mergeCell ref="AQ143:AQ144"/>
    <mergeCell ref="AR143:AR144"/>
    <mergeCell ref="AS143:AS144"/>
    <mergeCell ref="AT143:AT144"/>
    <mergeCell ref="AU143:AU144"/>
    <mergeCell ref="AV143:AV144"/>
    <mergeCell ref="AW143:AW144"/>
    <mergeCell ref="AX143:AX144"/>
    <mergeCell ref="AY143:AY144"/>
    <mergeCell ref="AZ143:AZ144"/>
    <mergeCell ref="BA143:BA144"/>
    <mergeCell ref="BB143:BB144"/>
    <mergeCell ref="BC143:BC144"/>
    <mergeCell ref="BD143:BD144"/>
    <mergeCell ref="BE143:BE144"/>
    <mergeCell ref="BF143:BF144"/>
    <mergeCell ref="BG143:BG144"/>
    <mergeCell ref="BH143:BH144"/>
    <mergeCell ref="BI143:BI144"/>
    <mergeCell ref="BJ143:BJ144"/>
    <mergeCell ref="BK143:BK144"/>
    <mergeCell ref="BL143:BL144"/>
    <mergeCell ref="BM143:BM144"/>
    <mergeCell ref="BN143:BN144"/>
    <mergeCell ref="BO143:BO144"/>
    <mergeCell ref="BP143:BP144"/>
    <mergeCell ref="BQ143:BQ144"/>
    <mergeCell ref="BR143:BR144"/>
    <mergeCell ref="BS143:BS144"/>
    <mergeCell ref="BT143:BT144"/>
    <mergeCell ref="BU143:BU144"/>
    <mergeCell ref="BV143:BV144"/>
    <mergeCell ref="BW143:BW144"/>
    <mergeCell ref="BX143:BX144"/>
    <mergeCell ref="BY143:BY144"/>
    <mergeCell ref="BZ143:BZ144"/>
    <mergeCell ref="CA143:CA144"/>
    <mergeCell ref="CB143:CB144"/>
    <mergeCell ref="CC143:CC144"/>
    <mergeCell ref="CD143:CD144"/>
    <mergeCell ref="CE143:CE144"/>
    <mergeCell ref="CF143:CF144"/>
    <mergeCell ref="CG143:CG144"/>
    <mergeCell ref="CH143:CH144"/>
    <mergeCell ref="A145:A146"/>
    <mergeCell ref="B145:B146"/>
    <mergeCell ref="C145:C146"/>
    <mergeCell ref="D145:D146"/>
    <mergeCell ref="E145:E146"/>
    <mergeCell ref="F145:F146"/>
    <mergeCell ref="G145:G146"/>
    <mergeCell ref="H145:H146"/>
    <mergeCell ref="I145:I146"/>
    <mergeCell ref="J145:J146"/>
    <mergeCell ref="K145:K146"/>
    <mergeCell ref="L145:L146"/>
    <mergeCell ref="M145:M146"/>
    <mergeCell ref="N145:N146"/>
    <mergeCell ref="O145:O146"/>
    <mergeCell ref="P145:P146"/>
    <mergeCell ref="Q145:Q146"/>
    <mergeCell ref="R145:R146"/>
    <mergeCell ref="S145:S146"/>
    <mergeCell ref="T145:T146"/>
    <mergeCell ref="U145:U146"/>
    <mergeCell ref="V145:V146"/>
    <mergeCell ref="W145:W146"/>
    <mergeCell ref="X145:X146"/>
    <mergeCell ref="Y145:Y146"/>
    <mergeCell ref="Z145:Z146"/>
    <mergeCell ref="AA145:AA146"/>
    <mergeCell ref="AB145:AB146"/>
    <mergeCell ref="AC145:AC146"/>
    <mergeCell ref="AD145:AD146"/>
    <mergeCell ref="AE145:AE146"/>
    <mergeCell ref="AF145:AF146"/>
    <mergeCell ref="AG145:AG146"/>
    <mergeCell ref="AH145:AH146"/>
    <mergeCell ref="AI145:AI146"/>
    <mergeCell ref="AJ145:AJ146"/>
    <mergeCell ref="AK145:AK146"/>
    <mergeCell ref="AL145:AL146"/>
    <mergeCell ref="AM145:AM146"/>
    <mergeCell ref="AN145:AN146"/>
    <mergeCell ref="AO145:AO146"/>
    <mergeCell ref="AP145:AP146"/>
    <mergeCell ref="AQ145:AQ146"/>
    <mergeCell ref="AR145:AR146"/>
    <mergeCell ref="AS145:AS146"/>
    <mergeCell ref="AT145:AT146"/>
    <mergeCell ref="AU145:AU146"/>
    <mergeCell ref="AV145:AV146"/>
    <mergeCell ref="AW145:AW146"/>
    <mergeCell ref="AX145:AX146"/>
    <mergeCell ref="AY145:AY146"/>
    <mergeCell ref="AZ145:AZ146"/>
    <mergeCell ref="BA145:BA146"/>
    <mergeCell ref="BB145:BB146"/>
    <mergeCell ref="BC145:BC146"/>
    <mergeCell ref="BD145:BD146"/>
    <mergeCell ref="BE145:BE146"/>
    <mergeCell ref="BF145:BF146"/>
    <mergeCell ref="BG145:BG146"/>
    <mergeCell ref="BH145:BH146"/>
    <mergeCell ref="BI145:BI146"/>
    <mergeCell ref="BJ145:BJ146"/>
    <mergeCell ref="BK145:BK146"/>
    <mergeCell ref="BL145:BL146"/>
    <mergeCell ref="BM145:BM146"/>
    <mergeCell ref="BN145:BN146"/>
    <mergeCell ref="BO145:BO146"/>
    <mergeCell ref="BP145:BP146"/>
    <mergeCell ref="BQ145:BQ146"/>
    <mergeCell ref="BR145:BR146"/>
    <mergeCell ref="BS145:BS146"/>
    <mergeCell ref="BT145:BT146"/>
    <mergeCell ref="BU145:BU146"/>
    <mergeCell ref="BV145:BV146"/>
    <mergeCell ref="BW145:BW146"/>
    <mergeCell ref="BX145:BX146"/>
    <mergeCell ref="BY145:BY146"/>
    <mergeCell ref="BZ145:BZ146"/>
    <mergeCell ref="CA145:CA146"/>
    <mergeCell ref="CB145:CB146"/>
    <mergeCell ref="CC145:CC146"/>
    <mergeCell ref="CD145:CD146"/>
    <mergeCell ref="CE145:CE146"/>
    <mergeCell ref="CF145:CF146"/>
    <mergeCell ref="CG145:CG146"/>
    <mergeCell ref="CH145:CH146"/>
    <mergeCell ref="A147:A148"/>
    <mergeCell ref="B147:B148"/>
    <mergeCell ref="C147:C148"/>
    <mergeCell ref="D147:D148"/>
    <mergeCell ref="E147:E148"/>
    <mergeCell ref="F147:F148"/>
    <mergeCell ref="G147:G148"/>
    <mergeCell ref="H147:H148"/>
    <mergeCell ref="I147:I148"/>
    <mergeCell ref="J147:J148"/>
    <mergeCell ref="K147:K148"/>
    <mergeCell ref="L147:L148"/>
    <mergeCell ref="M147:M148"/>
    <mergeCell ref="N147:N148"/>
    <mergeCell ref="O147:O148"/>
    <mergeCell ref="P147:P148"/>
    <mergeCell ref="Q147:Q148"/>
    <mergeCell ref="R147:R148"/>
    <mergeCell ref="S147:S148"/>
    <mergeCell ref="T147:T148"/>
    <mergeCell ref="U147:U148"/>
    <mergeCell ref="V147:V148"/>
    <mergeCell ref="W147:W148"/>
    <mergeCell ref="X147:X148"/>
    <mergeCell ref="Y147:Y148"/>
    <mergeCell ref="Z147:Z148"/>
    <mergeCell ref="AA147:AA148"/>
    <mergeCell ref="AB147:AB148"/>
    <mergeCell ref="AC147:AC148"/>
    <mergeCell ref="AD147:AD148"/>
    <mergeCell ref="AE147:AE148"/>
    <mergeCell ref="AF147:AF148"/>
    <mergeCell ref="AG147:AG148"/>
    <mergeCell ref="AH147:AH148"/>
    <mergeCell ref="AI147:AI148"/>
    <mergeCell ref="AJ147:AJ148"/>
    <mergeCell ref="AK147:AK148"/>
    <mergeCell ref="AL147:AL148"/>
    <mergeCell ref="AM147:AM148"/>
    <mergeCell ref="AN147:AN148"/>
    <mergeCell ref="AO147:AO148"/>
    <mergeCell ref="AP147:AP148"/>
    <mergeCell ref="AQ147:AQ148"/>
    <mergeCell ref="AR147:AR148"/>
    <mergeCell ref="AS147:AS148"/>
    <mergeCell ref="AT147:AT148"/>
    <mergeCell ref="AU147:AU148"/>
    <mergeCell ref="AV147:AV148"/>
    <mergeCell ref="AW147:AW148"/>
    <mergeCell ref="AX147:AX148"/>
    <mergeCell ref="AY147:AY148"/>
    <mergeCell ref="AZ147:AZ148"/>
    <mergeCell ref="BA147:BA148"/>
    <mergeCell ref="BB147:BB148"/>
    <mergeCell ref="BC147:BC148"/>
    <mergeCell ref="BD147:BD148"/>
    <mergeCell ref="BE147:BE148"/>
    <mergeCell ref="BF147:BF148"/>
    <mergeCell ref="BG147:BG148"/>
    <mergeCell ref="BH147:BH148"/>
    <mergeCell ref="BI147:BI148"/>
    <mergeCell ref="BJ147:BJ148"/>
    <mergeCell ref="BK147:BK148"/>
    <mergeCell ref="BL147:BL148"/>
    <mergeCell ref="BM147:BM148"/>
    <mergeCell ref="BN147:BN148"/>
    <mergeCell ref="BO147:BO148"/>
    <mergeCell ref="BP147:BP148"/>
    <mergeCell ref="BQ147:BQ148"/>
    <mergeCell ref="BR147:BR148"/>
    <mergeCell ref="BS147:BS148"/>
    <mergeCell ref="BT147:BT148"/>
    <mergeCell ref="BU147:BU148"/>
    <mergeCell ref="BV147:BV148"/>
    <mergeCell ref="BW147:BW148"/>
    <mergeCell ref="BX147:BX148"/>
    <mergeCell ref="BY147:BY148"/>
    <mergeCell ref="BZ147:BZ148"/>
    <mergeCell ref="CA147:CA148"/>
    <mergeCell ref="CB147:CB148"/>
    <mergeCell ref="CC147:CC148"/>
    <mergeCell ref="CD147:CD148"/>
    <mergeCell ref="CE147:CE148"/>
    <mergeCell ref="CF147:CF148"/>
    <mergeCell ref="CG147:CG148"/>
    <mergeCell ref="CH147:CH148"/>
    <mergeCell ref="A149:A150"/>
    <mergeCell ref="B149:B150"/>
    <mergeCell ref="C149:C150"/>
    <mergeCell ref="D149:D150"/>
    <mergeCell ref="E149:E150"/>
    <mergeCell ref="F149:F150"/>
    <mergeCell ref="G149:G150"/>
    <mergeCell ref="H149:H150"/>
    <mergeCell ref="I149:I150"/>
    <mergeCell ref="J149:J150"/>
    <mergeCell ref="K149:K150"/>
    <mergeCell ref="L149:L150"/>
    <mergeCell ref="M149:M150"/>
    <mergeCell ref="N149:N150"/>
    <mergeCell ref="O149:O150"/>
    <mergeCell ref="P149:P150"/>
    <mergeCell ref="Q149:Q150"/>
    <mergeCell ref="R149:R150"/>
    <mergeCell ref="S149:S150"/>
    <mergeCell ref="T149:T150"/>
    <mergeCell ref="U149:U150"/>
    <mergeCell ref="V149:V150"/>
    <mergeCell ref="W149:W150"/>
    <mergeCell ref="X149:X150"/>
    <mergeCell ref="Y149:Y150"/>
    <mergeCell ref="Z149:Z150"/>
    <mergeCell ref="AA149:AA150"/>
    <mergeCell ref="AB149:AB150"/>
    <mergeCell ref="AC149:AC150"/>
    <mergeCell ref="AD149:AD150"/>
    <mergeCell ref="AE149:AE150"/>
    <mergeCell ref="AF149:AF150"/>
    <mergeCell ref="AG149:AG150"/>
    <mergeCell ref="AH149:AH150"/>
    <mergeCell ref="AI149:AI150"/>
    <mergeCell ref="AJ149:AJ150"/>
    <mergeCell ref="AK149:AK150"/>
    <mergeCell ref="AL149:AL150"/>
    <mergeCell ref="AM149:AM150"/>
    <mergeCell ref="AN149:AN150"/>
    <mergeCell ref="AO149:AO150"/>
    <mergeCell ref="AP149:AP150"/>
    <mergeCell ref="AQ149:AQ150"/>
    <mergeCell ref="AR149:AR150"/>
    <mergeCell ref="AS149:AS150"/>
    <mergeCell ref="AT149:AT150"/>
    <mergeCell ref="AU149:AU150"/>
    <mergeCell ref="AV149:AV150"/>
    <mergeCell ref="AW149:AW150"/>
    <mergeCell ref="AX149:AX150"/>
    <mergeCell ref="AY149:AY150"/>
    <mergeCell ref="AZ149:AZ150"/>
    <mergeCell ref="BA149:BA150"/>
    <mergeCell ref="BB149:BB150"/>
    <mergeCell ref="BC149:BC150"/>
    <mergeCell ref="BD149:BD150"/>
    <mergeCell ref="BE149:BE150"/>
    <mergeCell ref="BF149:BF150"/>
    <mergeCell ref="BG149:BG150"/>
    <mergeCell ref="BH149:BH150"/>
    <mergeCell ref="BI149:BI150"/>
    <mergeCell ref="BJ149:BJ150"/>
    <mergeCell ref="BK149:BK150"/>
    <mergeCell ref="BL149:BL150"/>
    <mergeCell ref="BM149:BM150"/>
    <mergeCell ref="BN149:BN150"/>
    <mergeCell ref="BO149:BO150"/>
    <mergeCell ref="BP149:BP150"/>
    <mergeCell ref="BQ149:BQ150"/>
    <mergeCell ref="BR149:BR150"/>
    <mergeCell ref="BS149:BS150"/>
    <mergeCell ref="BT149:BT150"/>
    <mergeCell ref="BU149:BU150"/>
    <mergeCell ref="BV149:BV150"/>
    <mergeCell ref="BW149:BW150"/>
    <mergeCell ref="BX149:BX150"/>
    <mergeCell ref="BY149:BY150"/>
    <mergeCell ref="BZ149:BZ150"/>
    <mergeCell ref="CA149:CA150"/>
    <mergeCell ref="CB149:CB150"/>
    <mergeCell ref="CC149:CC150"/>
    <mergeCell ref="CD149:CD150"/>
    <mergeCell ref="CE149:CE150"/>
    <mergeCell ref="CF149:CF150"/>
    <mergeCell ref="CG149:CG150"/>
    <mergeCell ref="CH149:CH150"/>
    <mergeCell ref="A151:A152"/>
    <mergeCell ref="B151:B152"/>
    <mergeCell ref="C151:C152"/>
    <mergeCell ref="D151:D152"/>
    <mergeCell ref="E151:E152"/>
    <mergeCell ref="F151:F152"/>
    <mergeCell ref="G151:G152"/>
    <mergeCell ref="H151:H152"/>
    <mergeCell ref="I151:I152"/>
    <mergeCell ref="J151:J152"/>
    <mergeCell ref="K151:K152"/>
    <mergeCell ref="L151:L152"/>
    <mergeCell ref="M151:M152"/>
    <mergeCell ref="N151:N152"/>
    <mergeCell ref="O151:O152"/>
    <mergeCell ref="P151:P152"/>
    <mergeCell ref="Q151:Q152"/>
    <mergeCell ref="R151:R152"/>
    <mergeCell ref="S151:S152"/>
    <mergeCell ref="T151:T152"/>
    <mergeCell ref="U151:U152"/>
    <mergeCell ref="V151:V152"/>
    <mergeCell ref="W151:W152"/>
    <mergeCell ref="X151:X152"/>
    <mergeCell ref="Y151:Y152"/>
    <mergeCell ref="Z151:Z152"/>
    <mergeCell ref="AA151:AA152"/>
    <mergeCell ref="AB151:AB152"/>
    <mergeCell ref="AC151:AC152"/>
    <mergeCell ref="AD151:AD152"/>
    <mergeCell ref="AE151:AE152"/>
    <mergeCell ref="AF151:AF152"/>
    <mergeCell ref="AG151:AG152"/>
    <mergeCell ref="AH151:AH152"/>
    <mergeCell ref="AI151:AI152"/>
    <mergeCell ref="AJ151:AJ152"/>
    <mergeCell ref="AK151:AK152"/>
    <mergeCell ref="AL151:AL152"/>
    <mergeCell ref="AM151:AM152"/>
    <mergeCell ref="AN151:AN152"/>
    <mergeCell ref="AO151:AO152"/>
    <mergeCell ref="AP151:AP152"/>
    <mergeCell ref="AQ151:AQ152"/>
    <mergeCell ref="AR151:AR152"/>
    <mergeCell ref="AS151:AS152"/>
    <mergeCell ref="AT151:AT152"/>
    <mergeCell ref="AU151:AU152"/>
    <mergeCell ref="AV151:AV152"/>
    <mergeCell ref="AW151:AW152"/>
    <mergeCell ref="AX151:AX152"/>
    <mergeCell ref="AY151:AY152"/>
    <mergeCell ref="AZ151:AZ152"/>
    <mergeCell ref="BA151:BA152"/>
    <mergeCell ref="BB151:BB152"/>
    <mergeCell ref="BC151:BC152"/>
    <mergeCell ref="BD151:BD152"/>
    <mergeCell ref="BE151:BE152"/>
    <mergeCell ref="BF151:BF152"/>
    <mergeCell ref="BG151:BG152"/>
    <mergeCell ref="BH151:BH152"/>
    <mergeCell ref="BI151:BI152"/>
    <mergeCell ref="BJ151:BJ152"/>
    <mergeCell ref="BK151:BK152"/>
    <mergeCell ref="BL151:BL152"/>
    <mergeCell ref="BM151:BM152"/>
    <mergeCell ref="BN151:BN152"/>
    <mergeCell ref="BO151:BO152"/>
    <mergeCell ref="BP151:BP152"/>
    <mergeCell ref="BQ151:BQ152"/>
    <mergeCell ref="BR151:BR152"/>
    <mergeCell ref="BS151:BS152"/>
    <mergeCell ref="BT151:BT152"/>
    <mergeCell ref="BU151:BU152"/>
    <mergeCell ref="BV151:BV152"/>
    <mergeCell ref="BW151:BW152"/>
    <mergeCell ref="BX151:BX152"/>
    <mergeCell ref="BY151:BY152"/>
    <mergeCell ref="BZ151:BZ152"/>
    <mergeCell ref="CA151:CA152"/>
    <mergeCell ref="CB151:CB152"/>
    <mergeCell ref="CC151:CC152"/>
    <mergeCell ref="CD151:CD152"/>
    <mergeCell ref="CE151:CE152"/>
    <mergeCell ref="CF151:CF152"/>
    <mergeCell ref="CG151:CG152"/>
    <mergeCell ref="CH151:CH152"/>
    <mergeCell ref="A153:A154"/>
    <mergeCell ref="B153:B154"/>
    <mergeCell ref="C153:C154"/>
    <mergeCell ref="D153:D154"/>
    <mergeCell ref="E153:E154"/>
    <mergeCell ref="F153:F154"/>
    <mergeCell ref="G153:G154"/>
    <mergeCell ref="H153:H154"/>
    <mergeCell ref="I153:I154"/>
    <mergeCell ref="J153:J154"/>
    <mergeCell ref="K153:K154"/>
    <mergeCell ref="L153:L154"/>
    <mergeCell ref="M153:M154"/>
    <mergeCell ref="N153:N154"/>
    <mergeCell ref="O153:O154"/>
    <mergeCell ref="P153:P154"/>
    <mergeCell ref="Q153:Q154"/>
    <mergeCell ref="R153:R154"/>
    <mergeCell ref="S153:S154"/>
    <mergeCell ref="T153:T154"/>
    <mergeCell ref="U153:U154"/>
    <mergeCell ref="V153:V154"/>
    <mergeCell ref="W153:W154"/>
    <mergeCell ref="X153:X154"/>
    <mergeCell ref="Y153:Y154"/>
    <mergeCell ref="Z153:Z154"/>
    <mergeCell ref="AA153:AA154"/>
    <mergeCell ref="AB153:AB154"/>
    <mergeCell ref="AC153:AC154"/>
    <mergeCell ref="AD153:AD154"/>
    <mergeCell ref="AE153:AE154"/>
    <mergeCell ref="AF153:AF154"/>
    <mergeCell ref="AG153:AG154"/>
    <mergeCell ref="AH153:AH154"/>
    <mergeCell ref="AI153:AI154"/>
    <mergeCell ref="AJ153:AJ154"/>
    <mergeCell ref="AK153:AK154"/>
    <mergeCell ref="AL153:AL154"/>
    <mergeCell ref="AM153:AM154"/>
    <mergeCell ref="AN153:AN154"/>
    <mergeCell ref="AO153:AO154"/>
    <mergeCell ref="AP153:AP154"/>
    <mergeCell ref="AQ153:AQ154"/>
    <mergeCell ref="AR153:AR154"/>
    <mergeCell ref="AS153:AS154"/>
    <mergeCell ref="AT153:AT154"/>
    <mergeCell ref="AU153:AU154"/>
    <mergeCell ref="AV153:AV154"/>
    <mergeCell ref="AW153:AW154"/>
    <mergeCell ref="AX153:AX154"/>
    <mergeCell ref="AY153:AY154"/>
    <mergeCell ref="AZ153:AZ154"/>
    <mergeCell ref="BA153:BA154"/>
    <mergeCell ref="BB153:BB154"/>
    <mergeCell ref="BC153:BC154"/>
    <mergeCell ref="BD153:BD154"/>
    <mergeCell ref="BE153:BE154"/>
    <mergeCell ref="BF153:BF154"/>
    <mergeCell ref="BG153:BG154"/>
    <mergeCell ref="BH153:BH154"/>
    <mergeCell ref="BI153:BI154"/>
    <mergeCell ref="BJ153:BJ154"/>
    <mergeCell ref="BK153:BK154"/>
    <mergeCell ref="BL153:BL154"/>
    <mergeCell ref="BM153:BM154"/>
    <mergeCell ref="BN153:BN154"/>
    <mergeCell ref="BO153:BO154"/>
    <mergeCell ref="BP153:BP154"/>
    <mergeCell ref="BQ153:BQ154"/>
    <mergeCell ref="BR153:BR154"/>
    <mergeCell ref="BS153:BS154"/>
    <mergeCell ref="BT153:BT154"/>
    <mergeCell ref="BU153:BU154"/>
    <mergeCell ref="BV153:BV154"/>
    <mergeCell ref="BW153:BW154"/>
    <mergeCell ref="BX153:BX154"/>
    <mergeCell ref="BY153:BY154"/>
    <mergeCell ref="BZ153:BZ154"/>
    <mergeCell ref="CA153:CA154"/>
    <mergeCell ref="CB153:CB154"/>
    <mergeCell ref="CC153:CC154"/>
    <mergeCell ref="CD153:CD154"/>
    <mergeCell ref="CE153:CE154"/>
    <mergeCell ref="CF153:CF154"/>
    <mergeCell ref="CG153:CG154"/>
    <mergeCell ref="CH153:CH154"/>
    <mergeCell ref="A155:A156"/>
    <mergeCell ref="B155:B156"/>
    <mergeCell ref="C155:C156"/>
    <mergeCell ref="D155:D156"/>
    <mergeCell ref="E155:E156"/>
    <mergeCell ref="F155:F156"/>
    <mergeCell ref="G155:G156"/>
    <mergeCell ref="H155:H156"/>
    <mergeCell ref="I155:I156"/>
    <mergeCell ref="J155:J156"/>
    <mergeCell ref="K155:K156"/>
    <mergeCell ref="L155:L156"/>
    <mergeCell ref="M155:M156"/>
    <mergeCell ref="N155:N156"/>
    <mergeCell ref="O155:O156"/>
    <mergeCell ref="P155:P156"/>
    <mergeCell ref="Q155:Q156"/>
    <mergeCell ref="R155:R156"/>
    <mergeCell ref="S155:S156"/>
    <mergeCell ref="T155:T156"/>
    <mergeCell ref="U155:U156"/>
    <mergeCell ref="V155:V156"/>
    <mergeCell ref="W155:W156"/>
    <mergeCell ref="X155:X156"/>
    <mergeCell ref="Y155:Y156"/>
    <mergeCell ref="Z155:Z156"/>
    <mergeCell ref="AA155:AA156"/>
    <mergeCell ref="AB155:AB156"/>
    <mergeCell ref="AC155:AC156"/>
    <mergeCell ref="AD155:AD156"/>
    <mergeCell ref="AE155:AE156"/>
    <mergeCell ref="AF155:AF156"/>
    <mergeCell ref="AG155:AG156"/>
    <mergeCell ref="AH155:AH156"/>
    <mergeCell ref="AI155:AI156"/>
    <mergeCell ref="AJ155:AJ156"/>
    <mergeCell ref="AK155:AK156"/>
    <mergeCell ref="AL155:AL156"/>
    <mergeCell ref="AM155:AM156"/>
    <mergeCell ref="AN155:AN156"/>
    <mergeCell ref="AO155:AO156"/>
    <mergeCell ref="AP155:AP156"/>
    <mergeCell ref="AQ155:AQ156"/>
    <mergeCell ref="AR155:AR156"/>
    <mergeCell ref="AS155:AS156"/>
    <mergeCell ref="AT155:AT156"/>
    <mergeCell ref="AU155:AU156"/>
    <mergeCell ref="AV155:AV156"/>
    <mergeCell ref="AW155:AW156"/>
    <mergeCell ref="AX155:AX156"/>
    <mergeCell ref="AY155:AY156"/>
    <mergeCell ref="AZ155:AZ156"/>
    <mergeCell ref="BA155:BA156"/>
    <mergeCell ref="BB155:BB156"/>
    <mergeCell ref="BC155:BC156"/>
    <mergeCell ref="BD155:BD156"/>
    <mergeCell ref="BE155:BE156"/>
    <mergeCell ref="BF155:BF156"/>
    <mergeCell ref="BG155:BG156"/>
    <mergeCell ref="BH155:BH156"/>
    <mergeCell ref="BI155:BI156"/>
    <mergeCell ref="BJ155:BJ156"/>
    <mergeCell ref="BK155:BK156"/>
    <mergeCell ref="BL155:BL156"/>
    <mergeCell ref="BM155:BM156"/>
    <mergeCell ref="BN155:BN156"/>
    <mergeCell ref="BO155:BO156"/>
    <mergeCell ref="BP155:BP156"/>
    <mergeCell ref="BQ155:BQ156"/>
    <mergeCell ref="BR155:BR156"/>
    <mergeCell ref="BS155:BS156"/>
    <mergeCell ref="BT155:BT156"/>
    <mergeCell ref="BU155:BU156"/>
    <mergeCell ref="BV155:BV156"/>
    <mergeCell ref="BW155:BW156"/>
    <mergeCell ref="BX155:BX156"/>
    <mergeCell ref="BY155:BY156"/>
    <mergeCell ref="BZ155:BZ156"/>
    <mergeCell ref="CA155:CA156"/>
    <mergeCell ref="CB155:CB156"/>
    <mergeCell ref="CC155:CC156"/>
    <mergeCell ref="CD155:CD156"/>
    <mergeCell ref="CE155:CE156"/>
    <mergeCell ref="CF155:CF156"/>
    <mergeCell ref="CG155:CG156"/>
    <mergeCell ref="CH155:CH156"/>
    <mergeCell ref="A157:A158"/>
    <mergeCell ref="B157:B158"/>
    <mergeCell ref="C157:C158"/>
    <mergeCell ref="D157:D158"/>
    <mergeCell ref="E157:E158"/>
    <mergeCell ref="F157:F158"/>
    <mergeCell ref="G157:G158"/>
    <mergeCell ref="H157:H158"/>
    <mergeCell ref="I157:I158"/>
    <mergeCell ref="J157:J158"/>
    <mergeCell ref="K157:K158"/>
    <mergeCell ref="L157:L158"/>
    <mergeCell ref="M157:M158"/>
    <mergeCell ref="N157:N158"/>
    <mergeCell ref="O157:O158"/>
    <mergeCell ref="P157:P158"/>
    <mergeCell ref="Q157:Q158"/>
    <mergeCell ref="R157:R158"/>
    <mergeCell ref="S157:S158"/>
    <mergeCell ref="T157:T158"/>
    <mergeCell ref="U157:U158"/>
    <mergeCell ref="V157:V158"/>
    <mergeCell ref="W157:W158"/>
    <mergeCell ref="X157:X158"/>
    <mergeCell ref="Y157:Y158"/>
    <mergeCell ref="Z157:Z158"/>
    <mergeCell ref="AA157:AA158"/>
    <mergeCell ref="AB157:AB158"/>
    <mergeCell ref="AC157:AC158"/>
    <mergeCell ref="AD157:AD158"/>
    <mergeCell ref="AE157:AE158"/>
    <mergeCell ref="AF157:AF158"/>
    <mergeCell ref="AG157:AG158"/>
    <mergeCell ref="AH157:AH158"/>
    <mergeCell ref="AI157:AI158"/>
    <mergeCell ref="AJ157:AJ158"/>
    <mergeCell ref="AK157:AK158"/>
    <mergeCell ref="AL157:AL158"/>
    <mergeCell ref="AM157:AM158"/>
    <mergeCell ref="AN157:AN158"/>
    <mergeCell ref="AO157:AO158"/>
    <mergeCell ref="AP157:AP158"/>
    <mergeCell ref="AQ157:AQ158"/>
    <mergeCell ref="AR157:AR158"/>
    <mergeCell ref="AS157:AS158"/>
    <mergeCell ref="AT157:AT158"/>
    <mergeCell ref="AU157:AU158"/>
    <mergeCell ref="AV157:AV158"/>
    <mergeCell ref="AW157:AW158"/>
    <mergeCell ref="AX157:AX158"/>
    <mergeCell ref="AY157:AY158"/>
    <mergeCell ref="AZ157:AZ158"/>
    <mergeCell ref="BA157:BA158"/>
    <mergeCell ref="BB157:BB158"/>
    <mergeCell ref="BC157:BC158"/>
    <mergeCell ref="BD157:BD158"/>
    <mergeCell ref="BE157:BE158"/>
    <mergeCell ref="BF157:BF158"/>
    <mergeCell ref="BG157:BG158"/>
    <mergeCell ref="BH157:BH158"/>
    <mergeCell ref="BI157:BI158"/>
    <mergeCell ref="BJ157:BJ158"/>
    <mergeCell ref="BK157:BK158"/>
    <mergeCell ref="BL157:BL158"/>
    <mergeCell ref="BM157:BM158"/>
    <mergeCell ref="BN157:BN158"/>
    <mergeCell ref="BO157:BO158"/>
    <mergeCell ref="BP157:BP158"/>
    <mergeCell ref="BQ157:BQ158"/>
    <mergeCell ref="BR157:BR158"/>
    <mergeCell ref="BS157:BS158"/>
    <mergeCell ref="BT157:BT158"/>
    <mergeCell ref="BU157:BU158"/>
    <mergeCell ref="BV157:BV158"/>
    <mergeCell ref="BW157:BW158"/>
    <mergeCell ref="BX157:BX158"/>
    <mergeCell ref="BY157:BY158"/>
    <mergeCell ref="BZ157:BZ158"/>
    <mergeCell ref="CA157:CA158"/>
    <mergeCell ref="CB157:CB158"/>
    <mergeCell ref="CC157:CC158"/>
    <mergeCell ref="CD157:CD158"/>
    <mergeCell ref="CE157:CE158"/>
    <mergeCell ref="CF157:CF158"/>
    <mergeCell ref="CG157:CG158"/>
    <mergeCell ref="CH157:CH158"/>
    <mergeCell ref="A159:A160"/>
    <mergeCell ref="B159:B160"/>
    <mergeCell ref="C159:C160"/>
    <mergeCell ref="D159:D160"/>
    <mergeCell ref="E159:E160"/>
    <mergeCell ref="F159:F160"/>
    <mergeCell ref="G159:G160"/>
    <mergeCell ref="H159:H160"/>
    <mergeCell ref="I159:I160"/>
    <mergeCell ref="J159:J160"/>
    <mergeCell ref="K159:K160"/>
    <mergeCell ref="L159:L160"/>
    <mergeCell ref="M159:M160"/>
    <mergeCell ref="N159:N160"/>
    <mergeCell ref="O159:O160"/>
    <mergeCell ref="P159:P160"/>
    <mergeCell ref="Q159:Q160"/>
    <mergeCell ref="R159:R160"/>
    <mergeCell ref="S159:S160"/>
    <mergeCell ref="T159:T160"/>
    <mergeCell ref="U159:U160"/>
    <mergeCell ref="V159:V160"/>
    <mergeCell ref="W159:W160"/>
    <mergeCell ref="X159:X160"/>
    <mergeCell ref="Y159:Y160"/>
    <mergeCell ref="Z159:Z160"/>
    <mergeCell ref="AA159:AA160"/>
    <mergeCell ref="AB159:AB160"/>
    <mergeCell ref="AC159:AC160"/>
    <mergeCell ref="AD159:AD160"/>
    <mergeCell ref="AE159:AE160"/>
    <mergeCell ref="AF159:AF160"/>
    <mergeCell ref="AG159:AG160"/>
    <mergeCell ref="AH159:AH160"/>
    <mergeCell ref="AI159:AI160"/>
    <mergeCell ref="AJ159:AJ160"/>
    <mergeCell ref="AK159:AK160"/>
    <mergeCell ref="AL159:AL160"/>
    <mergeCell ref="AM159:AM160"/>
    <mergeCell ref="AN159:AN160"/>
    <mergeCell ref="AO159:AO160"/>
    <mergeCell ref="AP159:AP160"/>
    <mergeCell ref="AQ159:AQ160"/>
    <mergeCell ref="AR159:AR160"/>
    <mergeCell ref="AS159:AS160"/>
    <mergeCell ref="AT159:AT160"/>
    <mergeCell ref="AU159:AU160"/>
    <mergeCell ref="AV159:AV160"/>
    <mergeCell ref="AW159:AW160"/>
    <mergeCell ref="AX159:AX160"/>
    <mergeCell ref="AY159:AY160"/>
    <mergeCell ref="AZ159:AZ160"/>
    <mergeCell ref="BA159:BA160"/>
    <mergeCell ref="BB159:BB160"/>
    <mergeCell ref="BC159:BC160"/>
    <mergeCell ref="BD159:BD160"/>
    <mergeCell ref="BE159:BE160"/>
    <mergeCell ref="BF159:BF160"/>
    <mergeCell ref="BG159:BG160"/>
    <mergeCell ref="BH159:BH160"/>
    <mergeCell ref="BI159:BI160"/>
    <mergeCell ref="BJ159:BJ160"/>
    <mergeCell ref="BK159:BK160"/>
    <mergeCell ref="BL159:BL160"/>
    <mergeCell ref="BM159:BM160"/>
    <mergeCell ref="BN159:BN160"/>
    <mergeCell ref="BO159:BO160"/>
    <mergeCell ref="BP159:BP160"/>
    <mergeCell ref="BQ159:BQ160"/>
    <mergeCell ref="BR159:BR160"/>
    <mergeCell ref="BS159:BS160"/>
    <mergeCell ref="BT159:BT160"/>
    <mergeCell ref="BU159:BU160"/>
    <mergeCell ref="BV159:BV160"/>
    <mergeCell ref="BW159:BW160"/>
    <mergeCell ref="BX159:BX160"/>
    <mergeCell ref="BY159:BY160"/>
    <mergeCell ref="BZ159:BZ160"/>
    <mergeCell ref="CA159:CA160"/>
    <mergeCell ref="CB159:CB160"/>
    <mergeCell ref="CC159:CC160"/>
    <mergeCell ref="CD159:CD160"/>
    <mergeCell ref="CE159:CE160"/>
    <mergeCell ref="CF159:CF160"/>
    <mergeCell ref="CG159:CG160"/>
    <mergeCell ref="CH159:CH160"/>
    <mergeCell ref="A161:A162"/>
    <mergeCell ref="B161:B162"/>
    <mergeCell ref="C161:C162"/>
    <mergeCell ref="D161:D162"/>
    <mergeCell ref="E161:E162"/>
    <mergeCell ref="F161:F162"/>
    <mergeCell ref="G161:G162"/>
    <mergeCell ref="H161:H162"/>
    <mergeCell ref="I161:I162"/>
    <mergeCell ref="J161:J162"/>
    <mergeCell ref="K161:K162"/>
    <mergeCell ref="L161:L162"/>
    <mergeCell ref="M161:M162"/>
    <mergeCell ref="N161:N162"/>
    <mergeCell ref="O161:O162"/>
    <mergeCell ref="P161:P162"/>
    <mergeCell ref="Q161:Q162"/>
    <mergeCell ref="R161:R162"/>
    <mergeCell ref="S161:S162"/>
    <mergeCell ref="T161:T162"/>
    <mergeCell ref="U161:U162"/>
    <mergeCell ref="V161:V162"/>
    <mergeCell ref="W161:W162"/>
    <mergeCell ref="X161:X162"/>
    <mergeCell ref="Y161:Y162"/>
    <mergeCell ref="Z161:Z162"/>
    <mergeCell ref="AA161:AA162"/>
    <mergeCell ref="AB161:AB162"/>
    <mergeCell ref="AC161:AC162"/>
    <mergeCell ref="AD161:AD162"/>
    <mergeCell ref="AE161:AE162"/>
    <mergeCell ref="AF161:AF162"/>
    <mergeCell ref="AG161:AG162"/>
    <mergeCell ref="AH161:AH162"/>
    <mergeCell ref="AI161:AI162"/>
    <mergeCell ref="AJ161:AJ162"/>
    <mergeCell ref="AK161:AK162"/>
    <mergeCell ref="AL161:AL162"/>
    <mergeCell ref="AM161:AM162"/>
    <mergeCell ref="AN161:AN162"/>
    <mergeCell ref="AO161:AO162"/>
    <mergeCell ref="AP161:AP162"/>
    <mergeCell ref="AQ161:AQ162"/>
    <mergeCell ref="AR161:AR162"/>
    <mergeCell ref="AS161:AS162"/>
    <mergeCell ref="AT161:AT162"/>
    <mergeCell ref="AU161:AU162"/>
    <mergeCell ref="AV161:AV162"/>
    <mergeCell ref="AW161:AW162"/>
    <mergeCell ref="AX161:AX162"/>
    <mergeCell ref="AY161:AY162"/>
    <mergeCell ref="AZ161:AZ162"/>
    <mergeCell ref="BA161:BA162"/>
    <mergeCell ref="BB161:BB162"/>
    <mergeCell ref="BC161:BC162"/>
    <mergeCell ref="BD161:BD162"/>
    <mergeCell ref="BE161:BE162"/>
    <mergeCell ref="BF161:BF162"/>
    <mergeCell ref="BG161:BG162"/>
    <mergeCell ref="BH161:BH162"/>
    <mergeCell ref="BI161:BI162"/>
    <mergeCell ref="BJ161:BJ162"/>
    <mergeCell ref="BK161:BK162"/>
    <mergeCell ref="BL161:BL162"/>
    <mergeCell ref="BM161:BM162"/>
    <mergeCell ref="BN161:BN162"/>
    <mergeCell ref="BO161:BO162"/>
    <mergeCell ref="BP161:BP162"/>
    <mergeCell ref="BQ161:BQ162"/>
    <mergeCell ref="BR161:BR162"/>
    <mergeCell ref="BS161:BS162"/>
    <mergeCell ref="BT161:BT162"/>
    <mergeCell ref="BU161:BU162"/>
    <mergeCell ref="BV161:BV162"/>
    <mergeCell ref="BW161:BW162"/>
    <mergeCell ref="BX161:BX162"/>
    <mergeCell ref="BY161:BY162"/>
    <mergeCell ref="BZ161:BZ162"/>
    <mergeCell ref="CA161:CA162"/>
    <mergeCell ref="CB161:CB162"/>
    <mergeCell ref="CC161:CC162"/>
    <mergeCell ref="CD161:CD162"/>
    <mergeCell ref="CE161:CE162"/>
    <mergeCell ref="CF161:CF162"/>
    <mergeCell ref="CG161:CG162"/>
    <mergeCell ref="CH161:CH162"/>
    <mergeCell ref="A163:A164"/>
    <mergeCell ref="B163:B164"/>
    <mergeCell ref="C163:C164"/>
    <mergeCell ref="D163:D164"/>
    <mergeCell ref="E163:E164"/>
    <mergeCell ref="F163:F164"/>
    <mergeCell ref="G163:G164"/>
    <mergeCell ref="H163:H164"/>
    <mergeCell ref="I163:I164"/>
    <mergeCell ref="J163:J164"/>
    <mergeCell ref="K163:K164"/>
    <mergeCell ref="L163:L164"/>
    <mergeCell ref="M163:M164"/>
    <mergeCell ref="N163:N164"/>
    <mergeCell ref="O163:O164"/>
    <mergeCell ref="P163:P164"/>
    <mergeCell ref="Q163:Q164"/>
    <mergeCell ref="R163:R164"/>
    <mergeCell ref="S163:S164"/>
    <mergeCell ref="T163:T164"/>
    <mergeCell ref="U163:U164"/>
    <mergeCell ref="V163:V164"/>
    <mergeCell ref="W163:W164"/>
    <mergeCell ref="X163:X164"/>
    <mergeCell ref="Y163:Y164"/>
    <mergeCell ref="Z163:Z164"/>
    <mergeCell ref="AA163:AA164"/>
    <mergeCell ref="AB163:AB164"/>
    <mergeCell ref="AC163:AC164"/>
    <mergeCell ref="AD163:AD164"/>
    <mergeCell ref="AE163:AE164"/>
    <mergeCell ref="AF163:AF164"/>
    <mergeCell ref="AG163:AG164"/>
    <mergeCell ref="AH163:AH164"/>
    <mergeCell ref="AI163:AI164"/>
    <mergeCell ref="AJ163:AJ164"/>
    <mergeCell ref="AK163:AK164"/>
    <mergeCell ref="AL163:AL164"/>
    <mergeCell ref="AM163:AM164"/>
    <mergeCell ref="AN163:AN164"/>
    <mergeCell ref="AO163:AO164"/>
    <mergeCell ref="AP163:AP164"/>
    <mergeCell ref="AQ163:AQ164"/>
    <mergeCell ref="AR163:AR164"/>
    <mergeCell ref="AS163:AS164"/>
    <mergeCell ref="AT163:AT164"/>
    <mergeCell ref="AU163:AU164"/>
    <mergeCell ref="AV163:AV164"/>
    <mergeCell ref="AW163:AW164"/>
    <mergeCell ref="AX163:AX164"/>
    <mergeCell ref="AY163:AY164"/>
    <mergeCell ref="AZ163:AZ164"/>
    <mergeCell ref="BA163:BA164"/>
    <mergeCell ref="BB163:BB164"/>
    <mergeCell ref="BC163:BC164"/>
    <mergeCell ref="BD163:BD164"/>
    <mergeCell ref="BE163:BE164"/>
    <mergeCell ref="BF163:BF164"/>
    <mergeCell ref="BG163:BG164"/>
    <mergeCell ref="BH163:BH164"/>
    <mergeCell ref="BI163:BI164"/>
    <mergeCell ref="BJ163:BJ164"/>
    <mergeCell ref="BK163:BK164"/>
    <mergeCell ref="BL163:BL164"/>
    <mergeCell ref="BM163:BM164"/>
    <mergeCell ref="BN163:BN164"/>
    <mergeCell ref="BO163:BO164"/>
    <mergeCell ref="BP163:BP164"/>
    <mergeCell ref="BQ163:BQ164"/>
    <mergeCell ref="BR163:BR164"/>
    <mergeCell ref="BS163:BS164"/>
    <mergeCell ref="BT163:BT164"/>
    <mergeCell ref="BU163:BU164"/>
    <mergeCell ref="BV163:BV164"/>
    <mergeCell ref="BW163:BW164"/>
    <mergeCell ref="BX163:BX164"/>
    <mergeCell ref="BY163:BY164"/>
    <mergeCell ref="BZ163:BZ164"/>
    <mergeCell ref="CA163:CA164"/>
    <mergeCell ref="CB163:CB164"/>
    <mergeCell ref="CC163:CC164"/>
    <mergeCell ref="CD163:CD164"/>
    <mergeCell ref="CE163:CE164"/>
    <mergeCell ref="CF163:CF164"/>
    <mergeCell ref="CG163:CG164"/>
    <mergeCell ref="CH163:CH164"/>
    <mergeCell ref="A165:A166"/>
    <mergeCell ref="B165:B166"/>
    <mergeCell ref="C165:C166"/>
    <mergeCell ref="D165:D166"/>
    <mergeCell ref="E165:E166"/>
    <mergeCell ref="F165:F166"/>
    <mergeCell ref="G165:G166"/>
    <mergeCell ref="H165:H166"/>
    <mergeCell ref="I165:I166"/>
    <mergeCell ref="J165:J166"/>
    <mergeCell ref="K165:K166"/>
    <mergeCell ref="L165:L166"/>
    <mergeCell ref="M165:M166"/>
    <mergeCell ref="N165:N166"/>
    <mergeCell ref="O165:O166"/>
    <mergeCell ref="P165:P166"/>
    <mergeCell ref="Q165:Q166"/>
    <mergeCell ref="R165:R166"/>
    <mergeCell ref="S165:S166"/>
    <mergeCell ref="T165:T166"/>
    <mergeCell ref="U165:U166"/>
    <mergeCell ref="V165:V166"/>
    <mergeCell ref="W165:W166"/>
    <mergeCell ref="X165:X166"/>
    <mergeCell ref="Y165:Y166"/>
    <mergeCell ref="Z165:Z166"/>
    <mergeCell ref="AA165:AA166"/>
    <mergeCell ref="AB165:AB166"/>
    <mergeCell ref="AC165:AC166"/>
    <mergeCell ref="AD165:AD166"/>
    <mergeCell ref="AE165:AE166"/>
    <mergeCell ref="AF165:AF166"/>
    <mergeCell ref="AG165:AG166"/>
    <mergeCell ref="AH165:AH166"/>
    <mergeCell ref="AI165:AI166"/>
    <mergeCell ref="AJ165:AJ166"/>
    <mergeCell ref="AK165:AK166"/>
    <mergeCell ref="AL165:AL166"/>
    <mergeCell ref="AM165:AM166"/>
    <mergeCell ref="AN165:AN166"/>
    <mergeCell ref="AO165:AO166"/>
    <mergeCell ref="AP165:AP166"/>
    <mergeCell ref="AQ165:AQ166"/>
    <mergeCell ref="AR165:AR166"/>
    <mergeCell ref="AS165:AS166"/>
    <mergeCell ref="AT165:AT166"/>
    <mergeCell ref="AU165:AU166"/>
    <mergeCell ref="AV165:AV166"/>
    <mergeCell ref="AW165:AW166"/>
    <mergeCell ref="AX165:AX166"/>
    <mergeCell ref="AY165:AY166"/>
    <mergeCell ref="AZ165:AZ166"/>
    <mergeCell ref="BA165:BA166"/>
    <mergeCell ref="BB165:BB166"/>
    <mergeCell ref="BC165:BC166"/>
    <mergeCell ref="BD165:BD166"/>
    <mergeCell ref="BE165:BE166"/>
    <mergeCell ref="BF165:BF166"/>
    <mergeCell ref="BG165:BG166"/>
    <mergeCell ref="BH165:BH166"/>
    <mergeCell ref="BI165:BI166"/>
    <mergeCell ref="BJ165:BJ166"/>
    <mergeCell ref="BK165:BK166"/>
    <mergeCell ref="BL165:BL166"/>
    <mergeCell ref="BM165:BM166"/>
    <mergeCell ref="BN165:BN166"/>
    <mergeCell ref="BO165:BO166"/>
    <mergeCell ref="BP165:BP166"/>
    <mergeCell ref="BQ165:BQ166"/>
    <mergeCell ref="BR165:BR166"/>
    <mergeCell ref="BS165:BS166"/>
    <mergeCell ref="BT165:BT166"/>
    <mergeCell ref="BU165:BU166"/>
    <mergeCell ref="BV165:BV166"/>
    <mergeCell ref="BW165:BW166"/>
    <mergeCell ref="BX165:BX166"/>
    <mergeCell ref="BY165:BY166"/>
    <mergeCell ref="BZ165:BZ166"/>
    <mergeCell ref="CA165:CA166"/>
    <mergeCell ref="CB165:CB166"/>
    <mergeCell ref="CC165:CC166"/>
    <mergeCell ref="CD165:CD166"/>
    <mergeCell ref="CE165:CE166"/>
    <mergeCell ref="CF165:CF166"/>
    <mergeCell ref="CG165:CG166"/>
    <mergeCell ref="CH165:CH166"/>
    <mergeCell ref="A167:A168"/>
    <mergeCell ref="B167:B168"/>
    <mergeCell ref="C167:C168"/>
    <mergeCell ref="D167:D168"/>
    <mergeCell ref="E167:E168"/>
    <mergeCell ref="F167:F168"/>
    <mergeCell ref="G167:G168"/>
    <mergeCell ref="H167:H168"/>
    <mergeCell ref="I167:I168"/>
    <mergeCell ref="J167:J168"/>
    <mergeCell ref="K167:K168"/>
    <mergeCell ref="L167:L168"/>
    <mergeCell ref="M167:M168"/>
    <mergeCell ref="N167:N168"/>
    <mergeCell ref="O167:O168"/>
    <mergeCell ref="P167:P168"/>
    <mergeCell ref="Q167:Q168"/>
    <mergeCell ref="R167:R168"/>
    <mergeCell ref="S167:S168"/>
    <mergeCell ref="T167:T168"/>
    <mergeCell ref="U167:U168"/>
    <mergeCell ref="V167:V168"/>
    <mergeCell ref="W167:W168"/>
    <mergeCell ref="X167:X168"/>
    <mergeCell ref="Y167:Y168"/>
    <mergeCell ref="Z167:Z168"/>
    <mergeCell ref="AA167:AA168"/>
    <mergeCell ref="AB167:AB168"/>
    <mergeCell ref="AC167:AC168"/>
    <mergeCell ref="AD167:AD168"/>
    <mergeCell ref="AE167:AE168"/>
    <mergeCell ref="AF167:AF168"/>
    <mergeCell ref="AG167:AG168"/>
    <mergeCell ref="AH167:AH168"/>
    <mergeCell ref="AI167:AI168"/>
    <mergeCell ref="AJ167:AJ168"/>
    <mergeCell ref="AK167:AK168"/>
    <mergeCell ref="AL167:AL168"/>
    <mergeCell ref="AM167:AM168"/>
    <mergeCell ref="AN167:AN168"/>
    <mergeCell ref="AO167:AO168"/>
    <mergeCell ref="AP167:AP168"/>
    <mergeCell ref="AQ167:AQ168"/>
    <mergeCell ref="AR167:AR168"/>
    <mergeCell ref="AS167:AS168"/>
    <mergeCell ref="AT167:AT168"/>
    <mergeCell ref="AU167:AU168"/>
    <mergeCell ref="AV167:AV168"/>
    <mergeCell ref="AW167:AW168"/>
    <mergeCell ref="AX167:AX168"/>
    <mergeCell ref="AY167:AY168"/>
    <mergeCell ref="AZ167:AZ168"/>
    <mergeCell ref="BA167:BA168"/>
    <mergeCell ref="BB167:BB168"/>
    <mergeCell ref="BC167:BC168"/>
    <mergeCell ref="BD167:BD168"/>
    <mergeCell ref="BE167:BE168"/>
    <mergeCell ref="BF167:BF168"/>
    <mergeCell ref="BG167:BG168"/>
    <mergeCell ref="BH167:BH168"/>
    <mergeCell ref="BI167:BI168"/>
    <mergeCell ref="BJ167:BJ168"/>
    <mergeCell ref="BK167:BK168"/>
    <mergeCell ref="BL167:BL168"/>
    <mergeCell ref="BM167:BM168"/>
    <mergeCell ref="BN167:BN168"/>
    <mergeCell ref="BO167:BO168"/>
    <mergeCell ref="BP167:BP168"/>
    <mergeCell ref="BQ167:BQ168"/>
    <mergeCell ref="BR167:BR168"/>
    <mergeCell ref="BS167:BS168"/>
    <mergeCell ref="BT167:BT168"/>
    <mergeCell ref="BU167:BU168"/>
    <mergeCell ref="BV167:BV168"/>
    <mergeCell ref="BW167:BW168"/>
    <mergeCell ref="BX167:BX168"/>
    <mergeCell ref="BY167:BY168"/>
    <mergeCell ref="BZ167:BZ168"/>
    <mergeCell ref="CA167:CA168"/>
    <mergeCell ref="CB167:CB168"/>
    <mergeCell ref="CC167:CC168"/>
    <mergeCell ref="CD167:CD168"/>
    <mergeCell ref="CE167:CE168"/>
    <mergeCell ref="CF167:CF168"/>
    <mergeCell ref="CG167:CG168"/>
    <mergeCell ref="CH167:CH168"/>
    <mergeCell ref="A169:A170"/>
    <mergeCell ref="B169:B170"/>
    <mergeCell ref="C169:C170"/>
    <mergeCell ref="D169:D170"/>
    <mergeCell ref="E169:E170"/>
    <mergeCell ref="F169:F170"/>
    <mergeCell ref="G169:G170"/>
    <mergeCell ref="H169:H170"/>
    <mergeCell ref="I169:I170"/>
    <mergeCell ref="J169:J170"/>
    <mergeCell ref="K169:K170"/>
    <mergeCell ref="L169:L170"/>
    <mergeCell ref="M169:M170"/>
    <mergeCell ref="N169:N170"/>
    <mergeCell ref="O169:O170"/>
    <mergeCell ref="P169:P170"/>
    <mergeCell ref="Q169:Q170"/>
    <mergeCell ref="R169:R170"/>
    <mergeCell ref="S169:S170"/>
    <mergeCell ref="T169:T170"/>
    <mergeCell ref="U169:U170"/>
    <mergeCell ref="V169:V170"/>
    <mergeCell ref="W169:W170"/>
    <mergeCell ref="X169:X170"/>
    <mergeCell ref="Y169:Y170"/>
    <mergeCell ref="Z169:Z170"/>
    <mergeCell ref="AA169:AA170"/>
    <mergeCell ref="AB169:AB170"/>
    <mergeCell ref="AC169:AC170"/>
    <mergeCell ref="AD169:AD170"/>
    <mergeCell ref="AE169:AE170"/>
    <mergeCell ref="AF169:AF170"/>
    <mergeCell ref="AG169:AG170"/>
    <mergeCell ref="AH169:AH170"/>
    <mergeCell ref="AI169:AI170"/>
    <mergeCell ref="AJ169:AJ170"/>
    <mergeCell ref="AK169:AK170"/>
    <mergeCell ref="AL169:AL170"/>
    <mergeCell ref="AM169:AM170"/>
    <mergeCell ref="AN169:AN170"/>
    <mergeCell ref="AO169:AO170"/>
    <mergeCell ref="AP169:AP170"/>
    <mergeCell ref="AQ169:AQ170"/>
    <mergeCell ref="AR169:AR170"/>
    <mergeCell ref="AS169:AS170"/>
    <mergeCell ref="AT169:AT170"/>
    <mergeCell ref="AU169:AU170"/>
    <mergeCell ref="AV169:AV170"/>
    <mergeCell ref="AW169:AW170"/>
    <mergeCell ref="AX169:AX170"/>
    <mergeCell ref="AY169:AY170"/>
    <mergeCell ref="AZ169:AZ170"/>
    <mergeCell ref="BA169:BA170"/>
    <mergeCell ref="BB169:BB170"/>
    <mergeCell ref="BC169:BC170"/>
    <mergeCell ref="BD169:BD170"/>
    <mergeCell ref="BE169:BE170"/>
    <mergeCell ref="BF169:BF170"/>
    <mergeCell ref="BG169:BG170"/>
    <mergeCell ref="BH169:BH170"/>
    <mergeCell ref="BI169:BI170"/>
    <mergeCell ref="BJ169:BJ170"/>
    <mergeCell ref="BK169:BK170"/>
    <mergeCell ref="BL169:BL170"/>
    <mergeCell ref="BM169:BM170"/>
    <mergeCell ref="BN169:BN170"/>
    <mergeCell ref="BO169:BO170"/>
    <mergeCell ref="BP169:BP170"/>
    <mergeCell ref="BQ169:BQ170"/>
    <mergeCell ref="BR169:BR170"/>
    <mergeCell ref="BS169:BS170"/>
    <mergeCell ref="BT169:BT170"/>
    <mergeCell ref="BU169:BU170"/>
    <mergeCell ref="BV169:BV170"/>
    <mergeCell ref="BW169:BW170"/>
    <mergeCell ref="BX169:BX170"/>
    <mergeCell ref="BY169:BY170"/>
    <mergeCell ref="BZ169:BZ170"/>
    <mergeCell ref="CA169:CA170"/>
    <mergeCell ref="CB169:CB170"/>
    <mergeCell ref="CC169:CC170"/>
    <mergeCell ref="CD169:CD170"/>
    <mergeCell ref="CE169:CE170"/>
    <mergeCell ref="CF169:CF170"/>
    <mergeCell ref="CG169:CG170"/>
    <mergeCell ref="CH169:CH170"/>
    <mergeCell ref="A171:A172"/>
    <mergeCell ref="B171:B172"/>
    <mergeCell ref="C171:C172"/>
    <mergeCell ref="D171:D172"/>
    <mergeCell ref="E171:E172"/>
    <mergeCell ref="F171:F172"/>
    <mergeCell ref="G171:G172"/>
    <mergeCell ref="H171:H172"/>
    <mergeCell ref="I171:I172"/>
    <mergeCell ref="J171:J172"/>
    <mergeCell ref="K171:K172"/>
    <mergeCell ref="L171:L172"/>
    <mergeCell ref="M171:M172"/>
    <mergeCell ref="N171:N172"/>
    <mergeCell ref="O171:O172"/>
    <mergeCell ref="P171:P172"/>
    <mergeCell ref="Q171:Q172"/>
    <mergeCell ref="R171:R172"/>
    <mergeCell ref="S171:S172"/>
    <mergeCell ref="T171:T172"/>
    <mergeCell ref="U171:U172"/>
    <mergeCell ref="V171:V172"/>
    <mergeCell ref="W171:W172"/>
    <mergeCell ref="X171:X172"/>
    <mergeCell ref="Y171:Y172"/>
    <mergeCell ref="Z171:Z172"/>
    <mergeCell ref="AA171:AA172"/>
    <mergeCell ref="AB171:AB172"/>
    <mergeCell ref="AC171:AC172"/>
    <mergeCell ref="AD171:AD172"/>
    <mergeCell ref="AE171:AE172"/>
    <mergeCell ref="AF171:AF172"/>
    <mergeCell ref="AG171:AG172"/>
    <mergeCell ref="AH171:AH172"/>
    <mergeCell ref="AI171:AI172"/>
    <mergeCell ref="AJ171:AJ172"/>
    <mergeCell ref="AK171:AK172"/>
    <mergeCell ref="AL171:AL172"/>
    <mergeCell ref="AM171:AM172"/>
    <mergeCell ref="AN171:AN172"/>
    <mergeCell ref="AO171:AO172"/>
    <mergeCell ref="AP171:AP172"/>
    <mergeCell ref="AQ171:AQ172"/>
    <mergeCell ref="AR171:AR172"/>
    <mergeCell ref="AS171:AS172"/>
    <mergeCell ref="AT171:AT172"/>
    <mergeCell ref="AU171:AU172"/>
    <mergeCell ref="AV171:AV172"/>
    <mergeCell ref="AW171:AW172"/>
    <mergeCell ref="AX171:AX172"/>
    <mergeCell ref="AY171:AY172"/>
    <mergeCell ref="AZ171:AZ172"/>
    <mergeCell ref="BA171:BA172"/>
    <mergeCell ref="BB171:BB172"/>
    <mergeCell ref="BC171:BC172"/>
    <mergeCell ref="BD171:BD172"/>
    <mergeCell ref="BE171:BE172"/>
    <mergeCell ref="BF171:BF172"/>
    <mergeCell ref="BG171:BG172"/>
    <mergeCell ref="BH171:BH172"/>
    <mergeCell ref="BI171:BI172"/>
    <mergeCell ref="BJ171:BJ172"/>
    <mergeCell ref="BK171:BK172"/>
    <mergeCell ref="BL171:BL172"/>
    <mergeCell ref="BM171:BM172"/>
    <mergeCell ref="BN171:BN172"/>
    <mergeCell ref="BO171:BO172"/>
    <mergeCell ref="BP171:BP172"/>
    <mergeCell ref="BQ171:BQ172"/>
    <mergeCell ref="BR171:BR172"/>
    <mergeCell ref="BS171:BS172"/>
    <mergeCell ref="BT171:BT172"/>
    <mergeCell ref="BU171:BU172"/>
    <mergeCell ref="BV171:BV172"/>
    <mergeCell ref="BW171:BW172"/>
    <mergeCell ref="BX171:BX172"/>
    <mergeCell ref="BY171:BY172"/>
    <mergeCell ref="BZ171:BZ172"/>
    <mergeCell ref="CA171:CA172"/>
    <mergeCell ref="CB171:CB172"/>
    <mergeCell ref="CC171:CC172"/>
    <mergeCell ref="CD171:CD172"/>
    <mergeCell ref="CE171:CE172"/>
    <mergeCell ref="CF171:CF172"/>
    <mergeCell ref="CG171:CG172"/>
    <mergeCell ref="CH171:CH172"/>
    <mergeCell ref="A174:A175"/>
    <mergeCell ref="B174:B175"/>
    <mergeCell ref="C174:C175"/>
    <mergeCell ref="D174:D175"/>
    <mergeCell ref="E174:E175"/>
    <mergeCell ref="F174:F175"/>
    <mergeCell ref="G174:G175"/>
    <mergeCell ref="H174:H175"/>
    <mergeCell ref="I174:I175"/>
    <mergeCell ref="J174:J175"/>
    <mergeCell ref="K174:K175"/>
    <mergeCell ref="L174:L175"/>
    <mergeCell ref="M174:M175"/>
    <mergeCell ref="N174:N175"/>
    <mergeCell ref="O174:O175"/>
    <mergeCell ref="P174:P175"/>
    <mergeCell ref="Q174:Q175"/>
    <mergeCell ref="R174:R175"/>
    <mergeCell ref="S174:S175"/>
    <mergeCell ref="T174:T175"/>
    <mergeCell ref="U174:U175"/>
    <mergeCell ref="V174:V175"/>
    <mergeCell ref="W174:W175"/>
    <mergeCell ref="X174:X175"/>
    <mergeCell ref="Y174:Y175"/>
    <mergeCell ref="Z174:Z175"/>
    <mergeCell ref="AA174:AA175"/>
    <mergeCell ref="AB174:AB175"/>
    <mergeCell ref="AC174:AC175"/>
    <mergeCell ref="AD174:AD175"/>
    <mergeCell ref="AE174:AE175"/>
    <mergeCell ref="AF174:AF175"/>
    <mergeCell ref="AG174:AG175"/>
    <mergeCell ref="AH174:AH175"/>
    <mergeCell ref="AI174:AI175"/>
    <mergeCell ref="AJ174:AJ175"/>
    <mergeCell ref="AK174:AK175"/>
    <mergeCell ref="AL174:AL175"/>
    <mergeCell ref="AM174:AM175"/>
    <mergeCell ref="AN174:AN175"/>
    <mergeCell ref="AO174:AO175"/>
    <mergeCell ref="AP174:AP175"/>
    <mergeCell ref="AQ174:AQ175"/>
    <mergeCell ref="AR174:AR175"/>
    <mergeCell ref="AS174:AS175"/>
    <mergeCell ref="AT174:AT175"/>
    <mergeCell ref="AU174:AU175"/>
    <mergeCell ref="AV174:AV175"/>
    <mergeCell ref="AW174:AW175"/>
    <mergeCell ref="AX174:AX175"/>
    <mergeCell ref="AY174:AY175"/>
    <mergeCell ref="AZ174:AZ175"/>
    <mergeCell ref="BA174:BA175"/>
    <mergeCell ref="BB174:BB175"/>
    <mergeCell ref="BC174:BC175"/>
    <mergeCell ref="BD174:BD175"/>
    <mergeCell ref="BE174:BE175"/>
    <mergeCell ref="BF174:BF175"/>
    <mergeCell ref="BG174:BG175"/>
    <mergeCell ref="BH174:BH175"/>
    <mergeCell ref="BI174:BI175"/>
    <mergeCell ref="BJ174:BJ175"/>
    <mergeCell ref="BK174:BK175"/>
    <mergeCell ref="BL174:BL175"/>
    <mergeCell ref="BM174:BM175"/>
    <mergeCell ref="BN174:BN175"/>
    <mergeCell ref="BO174:BO175"/>
    <mergeCell ref="BP174:BP175"/>
    <mergeCell ref="BQ174:BQ175"/>
    <mergeCell ref="BR174:BR175"/>
    <mergeCell ref="BS174:BS175"/>
    <mergeCell ref="BT174:BT175"/>
    <mergeCell ref="BU174:BU175"/>
    <mergeCell ref="BV174:BV175"/>
    <mergeCell ref="BW174:BW175"/>
    <mergeCell ref="BX174:BX175"/>
    <mergeCell ref="BY174:BY175"/>
    <mergeCell ref="BZ174:BZ175"/>
    <mergeCell ref="CA174:CA175"/>
    <mergeCell ref="CB174:CB175"/>
    <mergeCell ref="CC174:CC175"/>
    <mergeCell ref="CD174:CD175"/>
    <mergeCell ref="CE174:CE175"/>
    <mergeCell ref="CF174:CF175"/>
    <mergeCell ref="CG174:CG175"/>
    <mergeCell ref="CH174:CH175"/>
    <mergeCell ref="A176:A177"/>
    <mergeCell ref="B176:B177"/>
    <mergeCell ref="C176:C177"/>
    <mergeCell ref="D176:D177"/>
    <mergeCell ref="E176:E177"/>
    <mergeCell ref="F176:F177"/>
    <mergeCell ref="G176:G177"/>
    <mergeCell ref="H176:H177"/>
    <mergeCell ref="I176:I177"/>
    <mergeCell ref="J176:J177"/>
    <mergeCell ref="K176:K177"/>
    <mergeCell ref="L176:L177"/>
    <mergeCell ref="M176:M177"/>
    <mergeCell ref="N176:N177"/>
    <mergeCell ref="O176:O177"/>
    <mergeCell ref="P176:P177"/>
    <mergeCell ref="Q176:Q177"/>
    <mergeCell ref="R176:R177"/>
    <mergeCell ref="S176:S177"/>
    <mergeCell ref="T176:T177"/>
    <mergeCell ref="U176:U177"/>
    <mergeCell ref="V176:V177"/>
    <mergeCell ref="W176:W177"/>
    <mergeCell ref="X176:X177"/>
    <mergeCell ref="Y176:Y177"/>
    <mergeCell ref="Z176:Z177"/>
    <mergeCell ref="AA176:AA177"/>
    <mergeCell ref="AB176:AB177"/>
    <mergeCell ref="AC176:AC177"/>
    <mergeCell ref="AD176:AD177"/>
    <mergeCell ref="AE176:AE177"/>
    <mergeCell ref="AF176:AF177"/>
    <mergeCell ref="AG176:AG177"/>
    <mergeCell ref="AH176:AH177"/>
    <mergeCell ref="AI176:AI177"/>
    <mergeCell ref="AJ176:AJ177"/>
    <mergeCell ref="AK176:AK177"/>
    <mergeCell ref="AL176:AL177"/>
    <mergeCell ref="AM176:AM177"/>
    <mergeCell ref="AN176:AN177"/>
    <mergeCell ref="AO176:AO177"/>
    <mergeCell ref="AP176:AP177"/>
    <mergeCell ref="AQ176:AQ177"/>
    <mergeCell ref="AR176:AR177"/>
    <mergeCell ref="AS176:AS177"/>
    <mergeCell ref="AT176:AT177"/>
    <mergeCell ref="AU176:AU177"/>
    <mergeCell ref="AV176:AV177"/>
    <mergeCell ref="AW176:AW177"/>
    <mergeCell ref="AX176:AX177"/>
    <mergeCell ref="AY176:AY177"/>
    <mergeCell ref="AZ176:AZ177"/>
    <mergeCell ref="BA176:BA177"/>
    <mergeCell ref="BB176:BB177"/>
    <mergeCell ref="BC176:BC177"/>
    <mergeCell ref="BD176:BD177"/>
    <mergeCell ref="BE176:BE177"/>
    <mergeCell ref="BF176:BF177"/>
    <mergeCell ref="BG176:BG177"/>
    <mergeCell ref="BH176:BH177"/>
    <mergeCell ref="BI176:BI177"/>
    <mergeCell ref="BJ176:BJ177"/>
    <mergeCell ref="BK176:BK177"/>
    <mergeCell ref="BL176:BL177"/>
    <mergeCell ref="BM176:BM177"/>
    <mergeCell ref="BN176:BN177"/>
    <mergeCell ref="BO176:BO177"/>
    <mergeCell ref="BP176:BP177"/>
    <mergeCell ref="BQ176:BQ177"/>
    <mergeCell ref="BR176:BR177"/>
    <mergeCell ref="BS176:BS177"/>
    <mergeCell ref="BT176:BT177"/>
    <mergeCell ref="BU176:BU177"/>
    <mergeCell ref="BV176:BV177"/>
    <mergeCell ref="BW176:BW177"/>
    <mergeCell ref="BX176:BX177"/>
    <mergeCell ref="BY176:BY177"/>
    <mergeCell ref="BZ176:BZ177"/>
    <mergeCell ref="CA176:CA177"/>
    <mergeCell ref="CB176:CB177"/>
    <mergeCell ref="CC176:CC177"/>
    <mergeCell ref="CD176:CD177"/>
    <mergeCell ref="CE176:CE177"/>
    <mergeCell ref="CF176:CF177"/>
    <mergeCell ref="CG176:CG177"/>
    <mergeCell ref="CH176:CH177"/>
    <mergeCell ref="A178:A179"/>
    <mergeCell ref="B178:B179"/>
    <mergeCell ref="C178:C179"/>
    <mergeCell ref="D178:D179"/>
    <mergeCell ref="E178:E179"/>
    <mergeCell ref="F178:F179"/>
    <mergeCell ref="G178:G179"/>
    <mergeCell ref="H178:H179"/>
    <mergeCell ref="I178:I179"/>
    <mergeCell ref="J178:J179"/>
    <mergeCell ref="K178:K179"/>
    <mergeCell ref="L178:L179"/>
    <mergeCell ref="M178:M179"/>
    <mergeCell ref="N178:N179"/>
    <mergeCell ref="O178:O179"/>
    <mergeCell ref="P178:P179"/>
    <mergeCell ref="Q178:Q179"/>
    <mergeCell ref="R178:R179"/>
    <mergeCell ref="S178:S179"/>
    <mergeCell ref="T178:T179"/>
    <mergeCell ref="U178:U179"/>
    <mergeCell ref="V178:V179"/>
    <mergeCell ref="W178:W179"/>
    <mergeCell ref="X178:X179"/>
    <mergeCell ref="Y178:Y179"/>
    <mergeCell ref="Z178:Z179"/>
    <mergeCell ref="AA178:AA179"/>
    <mergeCell ref="AB178:AB179"/>
    <mergeCell ref="AC178:AC179"/>
    <mergeCell ref="AD178:AD179"/>
    <mergeCell ref="AE178:AE179"/>
    <mergeCell ref="AF178:AF179"/>
    <mergeCell ref="AG178:AG179"/>
    <mergeCell ref="AH178:AH179"/>
    <mergeCell ref="AI178:AI179"/>
    <mergeCell ref="AJ178:AJ179"/>
    <mergeCell ref="AK178:AK179"/>
    <mergeCell ref="AL178:AL179"/>
    <mergeCell ref="AM178:AM179"/>
    <mergeCell ref="AN178:AN179"/>
    <mergeCell ref="AO178:AO179"/>
    <mergeCell ref="AP178:AP179"/>
    <mergeCell ref="AQ178:AQ179"/>
    <mergeCell ref="AR178:AR179"/>
    <mergeCell ref="AS178:AS179"/>
    <mergeCell ref="AT178:AT179"/>
    <mergeCell ref="AU178:AU179"/>
    <mergeCell ref="AV178:AV179"/>
    <mergeCell ref="AW178:AW179"/>
    <mergeCell ref="AX178:AX179"/>
    <mergeCell ref="AY178:AY179"/>
    <mergeCell ref="AZ178:AZ179"/>
    <mergeCell ref="BA178:BA179"/>
    <mergeCell ref="BB178:BB179"/>
    <mergeCell ref="BC178:BC179"/>
    <mergeCell ref="BD178:BD179"/>
    <mergeCell ref="BE178:BE179"/>
    <mergeCell ref="BF178:BF179"/>
    <mergeCell ref="BG178:BG179"/>
    <mergeCell ref="BH178:BH179"/>
    <mergeCell ref="BI178:BI179"/>
    <mergeCell ref="BJ178:BJ179"/>
    <mergeCell ref="BK178:BK179"/>
    <mergeCell ref="BL178:BL179"/>
    <mergeCell ref="BM178:BM179"/>
    <mergeCell ref="BN178:BN179"/>
    <mergeCell ref="BO178:BO179"/>
    <mergeCell ref="BP178:BP179"/>
    <mergeCell ref="BQ178:BQ179"/>
    <mergeCell ref="BR178:BR179"/>
    <mergeCell ref="BS178:BS179"/>
    <mergeCell ref="BT178:BT179"/>
    <mergeCell ref="BU178:BU179"/>
    <mergeCell ref="BV178:BV179"/>
    <mergeCell ref="BW178:BW179"/>
    <mergeCell ref="BX178:BX179"/>
    <mergeCell ref="BY178:BY179"/>
    <mergeCell ref="BZ178:BZ179"/>
    <mergeCell ref="CA178:CA179"/>
    <mergeCell ref="CB178:CB179"/>
    <mergeCell ref="CC178:CC179"/>
    <mergeCell ref="CD178:CD179"/>
    <mergeCell ref="CE178:CE179"/>
    <mergeCell ref="CF178:CF179"/>
    <mergeCell ref="CG178:CG179"/>
    <mergeCell ref="CH178:CH179"/>
    <mergeCell ref="A180:A181"/>
    <mergeCell ref="B180:B181"/>
    <mergeCell ref="C180:C181"/>
    <mergeCell ref="D180:D181"/>
    <mergeCell ref="E180:E181"/>
    <mergeCell ref="F180:F181"/>
    <mergeCell ref="G180:G181"/>
    <mergeCell ref="H180:H181"/>
    <mergeCell ref="I180:I181"/>
    <mergeCell ref="J180:J181"/>
    <mergeCell ref="K180:K181"/>
    <mergeCell ref="L180:L181"/>
    <mergeCell ref="M180:M181"/>
    <mergeCell ref="N180:N181"/>
    <mergeCell ref="O180:O181"/>
    <mergeCell ref="P180:P181"/>
    <mergeCell ref="Q180:Q181"/>
    <mergeCell ref="R180:R181"/>
    <mergeCell ref="S180:S181"/>
    <mergeCell ref="T180:T181"/>
    <mergeCell ref="U180:U181"/>
    <mergeCell ref="V180:V181"/>
    <mergeCell ref="W180:W181"/>
    <mergeCell ref="X180:X181"/>
    <mergeCell ref="Y180:Y181"/>
    <mergeCell ref="Z180:Z181"/>
    <mergeCell ref="AA180:AA181"/>
    <mergeCell ref="AB180:AB181"/>
    <mergeCell ref="AC180:AC181"/>
    <mergeCell ref="AD180:AD181"/>
    <mergeCell ref="AE180:AE181"/>
    <mergeCell ref="AF180:AF181"/>
    <mergeCell ref="AG180:AG181"/>
    <mergeCell ref="AH180:AH181"/>
    <mergeCell ref="AI180:AI181"/>
    <mergeCell ref="AJ180:AJ181"/>
    <mergeCell ref="AK180:AK181"/>
    <mergeCell ref="AL180:AL181"/>
    <mergeCell ref="AM180:AM181"/>
    <mergeCell ref="AN180:AN181"/>
    <mergeCell ref="AO180:AO181"/>
    <mergeCell ref="AP180:AP181"/>
    <mergeCell ref="AQ180:AQ181"/>
    <mergeCell ref="AR180:AR181"/>
    <mergeCell ref="AS180:AS181"/>
    <mergeCell ref="AT180:AT181"/>
    <mergeCell ref="AU180:AU181"/>
    <mergeCell ref="AV180:AV181"/>
    <mergeCell ref="AW180:AW181"/>
    <mergeCell ref="AX180:AX181"/>
    <mergeCell ref="AY180:AY181"/>
    <mergeCell ref="AZ180:AZ181"/>
    <mergeCell ref="BA180:BA181"/>
    <mergeCell ref="BB180:BB181"/>
    <mergeCell ref="BC180:BC181"/>
    <mergeCell ref="BD180:BD181"/>
    <mergeCell ref="BE180:BE181"/>
    <mergeCell ref="BF180:BF181"/>
    <mergeCell ref="BG180:BG181"/>
    <mergeCell ref="BH180:BH181"/>
    <mergeCell ref="BI180:BI181"/>
    <mergeCell ref="BJ180:BJ181"/>
    <mergeCell ref="BK180:BK181"/>
    <mergeCell ref="BL180:BL181"/>
    <mergeCell ref="BM180:BM181"/>
    <mergeCell ref="BN180:BN181"/>
    <mergeCell ref="BO180:BO181"/>
    <mergeCell ref="BP180:BP181"/>
    <mergeCell ref="BQ180:BQ181"/>
    <mergeCell ref="BR180:BR181"/>
    <mergeCell ref="BS180:BS181"/>
    <mergeCell ref="BT180:BT181"/>
    <mergeCell ref="BU180:BU181"/>
    <mergeCell ref="BV180:BV181"/>
    <mergeCell ref="BW180:BW181"/>
    <mergeCell ref="BX180:BX181"/>
    <mergeCell ref="BY180:BY181"/>
    <mergeCell ref="BZ180:BZ181"/>
    <mergeCell ref="CA180:CA181"/>
    <mergeCell ref="CB180:CB181"/>
    <mergeCell ref="CC180:CC181"/>
    <mergeCell ref="CD180:CD181"/>
    <mergeCell ref="CE180:CE181"/>
    <mergeCell ref="CF180:CF181"/>
    <mergeCell ref="CG180:CG181"/>
    <mergeCell ref="CH180:CH181"/>
    <mergeCell ref="A182:A183"/>
    <mergeCell ref="B182:B183"/>
    <mergeCell ref="C182:C183"/>
    <mergeCell ref="D182:D183"/>
    <mergeCell ref="E182:E183"/>
    <mergeCell ref="F182:F183"/>
    <mergeCell ref="G182:G183"/>
    <mergeCell ref="H182:H183"/>
    <mergeCell ref="I182:I183"/>
    <mergeCell ref="J182:J183"/>
    <mergeCell ref="K182:K183"/>
    <mergeCell ref="L182:L183"/>
    <mergeCell ref="M182:M183"/>
    <mergeCell ref="N182:N183"/>
    <mergeCell ref="O182:O183"/>
    <mergeCell ref="P182:P183"/>
    <mergeCell ref="Q182:Q183"/>
    <mergeCell ref="R182:R183"/>
    <mergeCell ref="S182:S183"/>
    <mergeCell ref="T182:T183"/>
    <mergeCell ref="U182:U183"/>
    <mergeCell ref="V182:V183"/>
    <mergeCell ref="W182:W183"/>
    <mergeCell ref="X182:X183"/>
    <mergeCell ref="Y182:Y183"/>
    <mergeCell ref="Z182:Z183"/>
    <mergeCell ref="AA182:AA183"/>
    <mergeCell ref="AB182:AB183"/>
    <mergeCell ref="AC182:AC183"/>
    <mergeCell ref="AD182:AD183"/>
    <mergeCell ref="AE182:AE183"/>
    <mergeCell ref="AF182:AF183"/>
    <mergeCell ref="AG182:AG183"/>
    <mergeCell ref="AH182:AH183"/>
    <mergeCell ref="AI182:AI183"/>
    <mergeCell ref="AJ182:AJ183"/>
    <mergeCell ref="AK182:AK183"/>
    <mergeCell ref="AL182:AL183"/>
    <mergeCell ref="AM182:AM183"/>
    <mergeCell ref="AN182:AN183"/>
    <mergeCell ref="AO182:AO183"/>
    <mergeCell ref="AP182:AP183"/>
    <mergeCell ref="AQ182:AQ183"/>
    <mergeCell ref="AR182:AR183"/>
    <mergeCell ref="AS182:AS183"/>
    <mergeCell ref="AT182:AT183"/>
    <mergeCell ref="AU182:AU183"/>
    <mergeCell ref="AV182:AV183"/>
    <mergeCell ref="AW182:AW183"/>
    <mergeCell ref="AX182:AX183"/>
    <mergeCell ref="AY182:AY183"/>
    <mergeCell ref="AZ182:AZ183"/>
    <mergeCell ref="BA182:BA183"/>
    <mergeCell ref="BB182:BB183"/>
    <mergeCell ref="BC182:BC183"/>
    <mergeCell ref="BD182:BD183"/>
    <mergeCell ref="BE182:BE183"/>
    <mergeCell ref="BF182:BF183"/>
    <mergeCell ref="BG182:BG183"/>
    <mergeCell ref="BH182:BH183"/>
    <mergeCell ref="BI182:BI183"/>
    <mergeCell ref="BJ182:BJ183"/>
    <mergeCell ref="BK182:BK183"/>
    <mergeCell ref="BL182:BL183"/>
    <mergeCell ref="BM182:BM183"/>
    <mergeCell ref="BN182:BN183"/>
    <mergeCell ref="BO182:BO183"/>
    <mergeCell ref="BP182:BP183"/>
    <mergeCell ref="BQ182:BQ183"/>
    <mergeCell ref="BR182:BR183"/>
    <mergeCell ref="BS182:BS183"/>
    <mergeCell ref="BT182:BT183"/>
    <mergeCell ref="BU182:BU183"/>
    <mergeCell ref="BV182:BV183"/>
    <mergeCell ref="BW182:BW183"/>
    <mergeCell ref="BX182:BX183"/>
    <mergeCell ref="BY182:BY183"/>
    <mergeCell ref="BZ182:BZ183"/>
    <mergeCell ref="CA182:CA183"/>
    <mergeCell ref="CB182:CB183"/>
    <mergeCell ref="CC182:CC183"/>
    <mergeCell ref="CD182:CD183"/>
    <mergeCell ref="CE182:CE183"/>
    <mergeCell ref="CF182:CF183"/>
    <mergeCell ref="CG182:CG183"/>
    <mergeCell ref="CH182:CH183"/>
    <mergeCell ref="A184:A185"/>
    <mergeCell ref="B184:B185"/>
    <mergeCell ref="C184:C185"/>
    <mergeCell ref="D184:D185"/>
    <mergeCell ref="E184:E185"/>
    <mergeCell ref="F184:F185"/>
    <mergeCell ref="G184:G185"/>
    <mergeCell ref="H184:H185"/>
    <mergeCell ref="I184:I185"/>
    <mergeCell ref="J184:J185"/>
    <mergeCell ref="K184:K185"/>
    <mergeCell ref="L184:L185"/>
    <mergeCell ref="M184:M185"/>
    <mergeCell ref="N184:N185"/>
    <mergeCell ref="O184:O185"/>
    <mergeCell ref="P184:P185"/>
    <mergeCell ref="Q184:Q185"/>
    <mergeCell ref="R184:R185"/>
    <mergeCell ref="S184:S185"/>
    <mergeCell ref="T184:T185"/>
    <mergeCell ref="U184:U185"/>
    <mergeCell ref="V184:V185"/>
    <mergeCell ref="W184:W185"/>
    <mergeCell ref="X184:X185"/>
    <mergeCell ref="Y184:Y185"/>
    <mergeCell ref="Z184:Z185"/>
    <mergeCell ref="AA184:AA185"/>
    <mergeCell ref="AB184:AB185"/>
    <mergeCell ref="AC184:AC185"/>
    <mergeCell ref="AD184:AD185"/>
    <mergeCell ref="AE184:AE185"/>
    <mergeCell ref="AF184:AF185"/>
    <mergeCell ref="AG184:AG185"/>
    <mergeCell ref="AH184:AH185"/>
    <mergeCell ref="AI184:AI185"/>
    <mergeCell ref="AJ184:AJ185"/>
    <mergeCell ref="AK184:AK185"/>
    <mergeCell ref="AL184:AL185"/>
    <mergeCell ref="AM184:AM185"/>
    <mergeCell ref="AN184:AN185"/>
    <mergeCell ref="AO184:AO185"/>
    <mergeCell ref="AP184:AP185"/>
    <mergeCell ref="AQ184:AQ185"/>
    <mergeCell ref="AR184:AR185"/>
    <mergeCell ref="AS184:AS185"/>
    <mergeCell ref="AT184:AT185"/>
    <mergeCell ref="AU184:AU185"/>
    <mergeCell ref="AV184:AV185"/>
    <mergeCell ref="AW184:AW185"/>
    <mergeCell ref="AX184:AX185"/>
    <mergeCell ref="AY184:AY185"/>
    <mergeCell ref="AZ184:AZ185"/>
    <mergeCell ref="BA184:BA185"/>
    <mergeCell ref="BB184:BB185"/>
    <mergeCell ref="BC184:BC185"/>
    <mergeCell ref="BD184:BD185"/>
    <mergeCell ref="BE184:BE185"/>
    <mergeCell ref="BF184:BF185"/>
    <mergeCell ref="BG184:BG185"/>
    <mergeCell ref="BH184:BH185"/>
    <mergeCell ref="BI184:BI185"/>
    <mergeCell ref="BJ184:BJ185"/>
    <mergeCell ref="BK184:BK185"/>
    <mergeCell ref="BL184:BL185"/>
    <mergeCell ref="BM184:BM185"/>
    <mergeCell ref="BN184:BN185"/>
    <mergeCell ref="BO184:BO185"/>
    <mergeCell ref="BP184:BP185"/>
    <mergeCell ref="BQ184:BQ185"/>
    <mergeCell ref="BR184:BR185"/>
    <mergeCell ref="BS184:BS185"/>
    <mergeCell ref="BT184:BT185"/>
    <mergeCell ref="BU184:BU185"/>
    <mergeCell ref="BV184:BV185"/>
    <mergeCell ref="BW184:BW185"/>
    <mergeCell ref="BX184:BX185"/>
    <mergeCell ref="BY184:BY185"/>
    <mergeCell ref="BZ184:BZ185"/>
    <mergeCell ref="CA184:CA185"/>
    <mergeCell ref="CB184:CB185"/>
    <mergeCell ref="CC184:CC185"/>
    <mergeCell ref="CD184:CD185"/>
    <mergeCell ref="CE184:CE185"/>
    <mergeCell ref="CF184:CF185"/>
    <mergeCell ref="CG184:CG185"/>
    <mergeCell ref="CH184:CH185"/>
    <mergeCell ref="A186:A187"/>
    <mergeCell ref="B186:B187"/>
    <mergeCell ref="C186:C187"/>
    <mergeCell ref="D186:D187"/>
    <mergeCell ref="E186:E187"/>
    <mergeCell ref="F186:F187"/>
    <mergeCell ref="G186:G187"/>
    <mergeCell ref="H186:H187"/>
    <mergeCell ref="I186:I187"/>
    <mergeCell ref="J186:J187"/>
    <mergeCell ref="K186:K187"/>
    <mergeCell ref="L186:L187"/>
    <mergeCell ref="M186:M187"/>
    <mergeCell ref="N186:N187"/>
    <mergeCell ref="O186:O187"/>
    <mergeCell ref="P186:P187"/>
    <mergeCell ref="Q186:Q187"/>
    <mergeCell ref="R186:R187"/>
    <mergeCell ref="S186:S187"/>
    <mergeCell ref="T186:T187"/>
    <mergeCell ref="U186:U187"/>
    <mergeCell ref="V186:V187"/>
    <mergeCell ref="W186:W187"/>
    <mergeCell ref="X186:X187"/>
    <mergeCell ref="Y186:Y187"/>
    <mergeCell ref="Z186:Z187"/>
    <mergeCell ref="AA186:AA187"/>
    <mergeCell ref="AB186:AB187"/>
    <mergeCell ref="AC186:AC187"/>
    <mergeCell ref="AD186:AD187"/>
    <mergeCell ref="AE186:AE187"/>
    <mergeCell ref="AF186:AF187"/>
    <mergeCell ref="AG186:AG187"/>
    <mergeCell ref="AH186:AH187"/>
    <mergeCell ref="AI186:AI187"/>
    <mergeCell ref="AJ186:AJ187"/>
    <mergeCell ref="AK186:AK187"/>
    <mergeCell ref="AL186:AL187"/>
    <mergeCell ref="AM186:AM187"/>
    <mergeCell ref="AN186:AN187"/>
    <mergeCell ref="AO186:AO187"/>
    <mergeCell ref="AP186:AP187"/>
    <mergeCell ref="AQ186:AQ187"/>
    <mergeCell ref="AR186:AR187"/>
    <mergeCell ref="AS186:AS187"/>
    <mergeCell ref="AT186:AT187"/>
    <mergeCell ref="AU186:AU187"/>
    <mergeCell ref="AV186:AV187"/>
    <mergeCell ref="AW186:AW187"/>
    <mergeCell ref="AX186:AX187"/>
    <mergeCell ref="AY186:AY187"/>
    <mergeCell ref="AZ186:AZ187"/>
    <mergeCell ref="BA186:BA187"/>
    <mergeCell ref="BB186:BB187"/>
    <mergeCell ref="BC186:BC187"/>
    <mergeCell ref="BD186:BD187"/>
    <mergeCell ref="BE186:BE187"/>
    <mergeCell ref="BF186:BF187"/>
    <mergeCell ref="BG186:BG187"/>
    <mergeCell ref="BH186:BH187"/>
    <mergeCell ref="BI186:BI187"/>
    <mergeCell ref="BJ186:BJ187"/>
    <mergeCell ref="BK186:BK187"/>
    <mergeCell ref="BL186:BL187"/>
    <mergeCell ref="BM186:BM187"/>
    <mergeCell ref="BN186:BN187"/>
    <mergeCell ref="BO186:BO187"/>
    <mergeCell ref="BP186:BP187"/>
    <mergeCell ref="BQ186:BQ187"/>
    <mergeCell ref="BR186:BR187"/>
    <mergeCell ref="BS186:BS187"/>
    <mergeCell ref="BT186:BT187"/>
    <mergeCell ref="BU186:BU187"/>
    <mergeCell ref="BV186:BV187"/>
    <mergeCell ref="BW186:BW187"/>
    <mergeCell ref="BX186:BX187"/>
    <mergeCell ref="BY186:BY187"/>
    <mergeCell ref="BZ186:BZ187"/>
    <mergeCell ref="CA186:CA187"/>
    <mergeCell ref="CB186:CB187"/>
    <mergeCell ref="CC186:CC187"/>
    <mergeCell ref="CD186:CD187"/>
    <mergeCell ref="CE186:CE187"/>
    <mergeCell ref="CF186:CF187"/>
    <mergeCell ref="CG186:CG187"/>
    <mergeCell ref="CH186:CH187"/>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N188:N189"/>
    <mergeCell ref="O188:O189"/>
    <mergeCell ref="P188:P189"/>
    <mergeCell ref="Q188:Q189"/>
    <mergeCell ref="R188:R189"/>
    <mergeCell ref="S188:S189"/>
    <mergeCell ref="T188:T189"/>
    <mergeCell ref="U188:U189"/>
    <mergeCell ref="V188:V189"/>
    <mergeCell ref="W188:W189"/>
    <mergeCell ref="X188:X189"/>
    <mergeCell ref="Y188:Y189"/>
    <mergeCell ref="Z188:Z189"/>
    <mergeCell ref="AA188:AA189"/>
    <mergeCell ref="AB188:AB189"/>
    <mergeCell ref="AC188:AC189"/>
    <mergeCell ref="AD188:AD189"/>
    <mergeCell ref="AE188:AE189"/>
    <mergeCell ref="AF188:AF189"/>
    <mergeCell ref="AG188:AG189"/>
    <mergeCell ref="AH188:AH189"/>
    <mergeCell ref="AI188:AI189"/>
    <mergeCell ref="AJ188:AJ189"/>
    <mergeCell ref="AK188:AK189"/>
    <mergeCell ref="AL188:AL189"/>
    <mergeCell ref="AM188:AM189"/>
    <mergeCell ref="AN188:AN189"/>
    <mergeCell ref="AO188:AO189"/>
    <mergeCell ref="AP188:AP189"/>
    <mergeCell ref="AQ188:AQ189"/>
    <mergeCell ref="AR188:AR189"/>
    <mergeCell ref="AS188:AS189"/>
    <mergeCell ref="AT188:AT189"/>
    <mergeCell ref="AU188:AU189"/>
    <mergeCell ref="AV188:AV189"/>
    <mergeCell ref="AW188:AW189"/>
    <mergeCell ref="AX188:AX189"/>
    <mergeCell ref="AY188:AY189"/>
    <mergeCell ref="AZ188:AZ189"/>
    <mergeCell ref="BA188:BA189"/>
    <mergeCell ref="BB188:BB189"/>
    <mergeCell ref="BC188:BC189"/>
    <mergeCell ref="BD188:BD189"/>
    <mergeCell ref="BE188:BE189"/>
    <mergeCell ref="BF188:BF189"/>
    <mergeCell ref="BG188:BG189"/>
    <mergeCell ref="BH188:BH189"/>
    <mergeCell ref="BI188:BI189"/>
    <mergeCell ref="BJ188:BJ189"/>
    <mergeCell ref="BK188:BK189"/>
    <mergeCell ref="BL188:BL189"/>
    <mergeCell ref="BM188:BM189"/>
    <mergeCell ref="BN188:BN189"/>
    <mergeCell ref="BO188:BO189"/>
    <mergeCell ref="BP188:BP189"/>
    <mergeCell ref="BQ188:BQ189"/>
    <mergeCell ref="BR188:BR189"/>
    <mergeCell ref="BS188:BS189"/>
    <mergeCell ref="BT188:BT189"/>
    <mergeCell ref="BU188:BU189"/>
    <mergeCell ref="BV188:BV189"/>
    <mergeCell ref="BW188:BW189"/>
    <mergeCell ref="BX188:BX189"/>
    <mergeCell ref="BY188:BY189"/>
    <mergeCell ref="BZ188:BZ189"/>
    <mergeCell ref="CA188:CA189"/>
    <mergeCell ref="CB188:CB189"/>
    <mergeCell ref="CC188:CC189"/>
    <mergeCell ref="CD188:CD189"/>
    <mergeCell ref="CE188:CE189"/>
    <mergeCell ref="CF188:CF189"/>
    <mergeCell ref="CG188:CG189"/>
    <mergeCell ref="CH188:CH189"/>
    <mergeCell ref="A190:A191"/>
    <mergeCell ref="B190:B191"/>
    <mergeCell ref="C190:C191"/>
    <mergeCell ref="D190:D191"/>
    <mergeCell ref="E190:E191"/>
    <mergeCell ref="F190:F191"/>
    <mergeCell ref="G190:G191"/>
    <mergeCell ref="H190:H191"/>
    <mergeCell ref="I190:I191"/>
    <mergeCell ref="J190:J191"/>
    <mergeCell ref="K190:K191"/>
    <mergeCell ref="L190:L191"/>
    <mergeCell ref="M190:M191"/>
    <mergeCell ref="N190:N191"/>
    <mergeCell ref="O190:O191"/>
    <mergeCell ref="P190:P191"/>
    <mergeCell ref="Q190:Q191"/>
    <mergeCell ref="R190:R191"/>
    <mergeCell ref="S190:S191"/>
    <mergeCell ref="T190:T191"/>
    <mergeCell ref="U190:U191"/>
    <mergeCell ref="V190:V191"/>
    <mergeCell ref="W190:W191"/>
    <mergeCell ref="X190:X191"/>
    <mergeCell ref="Y190:Y191"/>
    <mergeCell ref="Z190:Z191"/>
    <mergeCell ref="AA190:AA191"/>
    <mergeCell ref="AB190:AB191"/>
    <mergeCell ref="AC190:AC191"/>
    <mergeCell ref="AD190:AD191"/>
    <mergeCell ref="AE190:AE191"/>
    <mergeCell ref="AF190:AF191"/>
    <mergeCell ref="AG190:AG191"/>
    <mergeCell ref="AH190:AH191"/>
    <mergeCell ref="AI190:AI191"/>
    <mergeCell ref="AJ190:AJ191"/>
    <mergeCell ref="AK190:AK191"/>
    <mergeCell ref="AL190:AL191"/>
    <mergeCell ref="AM190:AM191"/>
    <mergeCell ref="AN190:AN191"/>
    <mergeCell ref="AO190:AO191"/>
    <mergeCell ref="AP190:AP191"/>
    <mergeCell ref="AQ190:AQ191"/>
    <mergeCell ref="AR190:AR191"/>
    <mergeCell ref="AS190:AS191"/>
    <mergeCell ref="AT190:AT191"/>
    <mergeCell ref="AU190:AU191"/>
    <mergeCell ref="AV190:AV191"/>
    <mergeCell ref="AW190:AW191"/>
    <mergeCell ref="AX190:AX191"/>
    <mergeCell ref="AY190:AY191"/>
    <mergeCell ref="AZ190:AZ191"/>
    <mergeCell ref="BA190:BA191"/>
    <mergeCell ref="BB190:BB191"/>
    <mergeCell ref="BC190:BC191"/>
    <mergeCell ref="BD190:BD191"/>
    <mergeCell ref="BE190:BE191"/>
    <mergeCell ref="BF190:BF191"/>
    <mergeCell ref="BG190:BG191"/>
    <mergeCell ref="BH190:BH191"/>
    <mergeCell ref="BI190:BI191"/>
    <mergeCell ref="BJ190:BJ191"/>
    <mergeCell ref="BK190:BK191"/>
    <mergeCell ref="BL190:BL191"/>
    <mergeCell ref="BM190:BM191"/>
    <mergeCell ref="BN190:BN191"/>
    <mergeCell ref="BO190:BO191"/>
    <mergeCell ref="BP190:BP191"/>
    <mergeCell ref="BQ190:BQ191"/>
    <mergeCell ref="BR190:BR191"/>
    <mergeCell ref="BS190:BS191"/>
    <mergeCell ref="BT190:BT191"/>
    <mergeCell ref="BU190:BU191"/>
    <mergeCell ref="BV190:BV191"/>
    <mergeCell ref="BW190:BW191"/>
    <mergeCell ref="BX190:BX191"/>
    <mergeCell ref="BY190:BY191"/>
    <mergeCell ref="BZ190:BZ191"/>
    <mergeCell ref="CA190:CA191"/>
    <mergeCell ref="CB190:CB191"/>
    <mergeCell ref="CC190:CC191"/>
    <mergeCell ref="CD190:CD191"/>
    <mergeCell ref="CE190:CE191"/>
    <mergeCell ref="CF190:CF191"/>
    <mergeCell ref="CG190:CG191"/>
    <mergeCell ref="CH190:CH191"/>
    <mergeCell ref="A192:A193"/>
    <mergeCell ref="B192:B193"/>
    <mergeCell ref="C192:C193"/>
    <mergeCell ref="D192:D193"/>
    <mergeCell ref="E192:E193"/>
    <mergeCell ref="F192:F193"/>
    <mergeCell ref="G192:G193"/>
    <mergeCell ref="H192:H193"/>
    <mergeCell ref="I192:I193"/>
    <mergeCell ref="J192:J193"/>
    <mergeCell ref="K192:K193"/>
    <mergeCell ref="L192:L193"/>
    <mergeCell ref="M192:M193"/>
    <mergeCell ref="N192:N193"/>
    <mergeCell ref="O192:O193"/>
    <mergeCell ref="P192:P193"/>
    <mergeCell ref="Q192:Q193"/>
    <mergeCell ref="R192:R193"/>
    <mergeCell ref="S192:S193"/>
    <mergeCell ref="T192:T193"/>
    <mergeCell ref="U192:U193"/>
    <mergeCell ref="V192:V193"/>
    <mergeCell ref="W192:W193"/>
    <mergeCell ref="X192:X193"/>
    <mergeCell ref="Y192:Y193"/>
    <mergeCell ref="Z192:Z193"/>
    <mergeCell ref="AA192:AA193"/>
    <mergeCell ref="AB192:AB193"/>
    <mergeCell ref="AC192:AC193"/>
    <mergeCell ref="AD192:AD193"/>
    <mergeCell ref="AE192:AE193"/>
    <mergeCell ref="AF192:AF193"/>
    <mergeCell ref="AG192:AG193"/>
    <mergeCell ref="AH192:AH193"/>
    <mergeCell ref="AI192:AI193"/>
    <mergeCell ref="AJ192:AJ193"/>
    <mergeCell ref="AK192:AK193"/>
    <mergeCell ref="AL192:AL193"/>
    <mergeCell ref="AM192:AM193"/>
    <mergeCell ref="AN192:AN193"/>
    <mergeCell ref="AO192:AO193"/>
    <mergeCell ref="AP192:AP193"/>
    <mergeCell ref="AQ192:AQ193"/>
    <mergeCell ref="AR192:AR193"/>
    <mergeCell ref="AS192:AS193"/>
    <mergeCell ref="AT192:AT193"/>
    <mergeCell ref="AU192:AU193"/>
    <mergeCell ref="AV192:AV193"/>
    <mergeCell ref="AW192:AW193"/>
    <mergeCell ref="AX192:AX193"/>
    <mergeCell ref="AY192:AY193"/>
    <mergeCell ref="AZ192:AZ193"/>
    <mergeCell ref="BA192:BA193"/>
    <mergeCell ref="BB192:BB193"/>
    <mergeCell ref="BC192:BC193"/>
    <mergeCell ref="BD192:BD193"/>
    <mergeCell ref="BE192:BE193"/>
    <mergeCell ref="BF192:BF193"/>
    <mergeCell ref="BG192:BG193"/>
    <mergeCell ref="BH192:BH193"/>
    <mergeCell ref="BI192:BI193"/>
    <mergeCell ref="BJ192:BJ193"/>
    <mergeCell ref="BK192:BK193"/>
    <mergeCell ref="BL192:BL193"/>
    <mergeCell ref="BM192:BM193"/>
    <mergeCell ref="BN192:BN193"/>
    <mergeCell ref="BO192:BO193"/>
    <mergeCell ref="BP192:BP193"/>
    <mergeCell ref="BQ192:BQ193"/>
    <mergeCell ref="BR192:BR193"/>
    <mergeCell ref="BS192:BS193"/>
    <mergeCell ref="BT192:BT193"/>
    <mergeCell ref="BU192:BU193"/>
    <mergeCell ref="BV192:BV193"/>
    <mergeCell ref="BW192:BW193"/>
    <mergeCell ref="BX192:BX193"/>
    <mergeCell ref="BY192:BY193"/>
    <mergeCell ref="BZ192:BZ193"/>
    <mergeCell ref="CA192:CA193"/>
    <mergeCell ref="CB192:CB193"/>
    <mergeCell ref="CC192:CC193"/>
    <mergeCell ref="CD192:CD193"/>
    <mergeCell ref="CE192:CE193"/>
    <mergeCell ref="CF192:CF193"/>
    <mergeCell ref="CG192:CG193"/>
    <mergeCell ref="CH192:CH193"/>
    <mergeCell ref="A194:A195"/>
    <mergeCell ref="B194:B195"/>
    <mergeCell ref="C194:C195"/>
    <mergeCell ref="D194:D195"/>
    <mergeCell ref="E194:E195"/>
    <mergeCell ref="F194:F195"/>
    <mergeCell ref="G194:G195"/>
    <mergeCell ref="H194:H195"/>
    <mergeCell ref="I194:I195"/>
    <mergeCell ref="J194:J195"/>
    <mergeCell ref="K194:K195"/>
    <mergeCell ref="L194:L195"/>
    <mergeCell ref="M194:M195"/>
    <mergeCell ref="N194:N195"/>
    <mergeCell ref="O194:O195"/>
    <mergeCell ref="P194:P195"/>
    <mergeCell ref="Q194:Q195"/>
    <mergeCell ref="R194:R195"/>
    <mergeCell ref="S194:S195"/>
    <mergeCell ref="T194:T195"/>
    <mergeCell ref="U194:U195"/>
    <mergeCell ref="V194:V195"/>
    <mergeCell ref="W194:W195"/>
    <mergeCell ref="X194:X195"/>
    <mergeCell ref="Y194:Y195"/>
    <mergeCell ref="Z194:Z195"/>
    <mergeCell ref="AA194:AA195"/>
    <mergeCell ref="AB194:AB195"/>
    <mergeCell ref="AC194:AC195"/>
    <mergeCell ref="AD194:AD195"/>
    <mergeCell ref="AE194:AE195"/>
    <mergeCell ref="AF194:AF195"/>
    <mergeCell ref="AG194:AG195"/>
    <mergeCell ref="AH194:AH195"/>
    <mergeCell ref="AI194:AI195"/>
    <mergeCell ref="AJ194:AJ195"/>
    <mergeCell ref="AK194:AK195"/>
    <mergeCell ref="AL194:AL195"/>
    <mergeCell ref="AM194:AM195"/>
    <mergeCell ref="AN194:AN195"/>
    <mergeCell ref="AO194:AO195"/>
    <mergeCell ref="AP194:AP195"/>
    <mergeCell ref="AQ194:AQ195"/>
    <mergeCell ref="AR194:AR195"/>
    <mergeCell ref="AS194:AS195"/>
    <mergeCell ref="AT194:AT195"/>
    <mergeCell ref="AU194:AU195"/>
    <mergeCell ref="AV194:AV195"/>
    <mergeCell ref="AW194:AW195"/>
    <mergeCell ref="AX194:AX195"/>
    <mergeCell ref="AY194:AY195"/>
    <mergeCell ref="AZ194:AZ195"/>
    <mergeCell ref="BA194:BA195"/>
    <mergeCell ref="BB194:BB195"/>
    <mergeCell ref="BC194:BC195"/>
    <mergeCell ref="BD194:BD195"/>
    <mergeCell ref="BE194:BE195"/>
    <mergeCell ref="BF194:BF195"/>
    <mergeCell ref="BG194:BG195"/>
    <mergeCell ref="BH194:BH195"/>
    <mergeCell ref="BI194:BI195"/>
    <mergeCell ref="BJ194:BJ195"/>
    <mergeCell ref="BK194:BK195"/>
    <mergeCell ref="BL194:BL195"/>
    <mergeCell ref="BM194:BM195"/>
    <mergeCell ref="BN194:BN195"/>
    <mergeCell ref="BO194:BO195"/>
    <mergeCell ref="BP194:BP195"/>
    <mergeCell ref="BQ194:BQ195"/>
    <mergeCell ref="BR194:BR195"/>
    <mergeCell ref="BS194:BS195"/>
    <mergeCell ref="BT194:BT195"/>
    <mergeCell ref="BU194:BU195"/>
    <mergeCell ref="BV194:BV195"/>
    <mergeCell ref="BW194:BW195"/>
    <mergeCell ref="BX194:BX195"/>
    <mergeCell ref="BY194:BY195"/>
    <mergeCell ref="BZ194:BZ195"/>
    <mergeCell ref="CA194:CA195"/>
    <mergeCell ref="CB194:CB195"/>
    <mergeCell ref="CC194:CC195"/>
    <mergeCell ref="CD194:CD195"/>
    <mergeCell ref="CE194:CE195"/>
    <mergeCell ref="CF194:CF195"/>
    <mergeCell ref="CG194:CG195"/>
    <mergeCell ref="CH194:CH195"/>
    <mergeCell ref="A196:A197"/>
    <mergeCell ref="B196:B197"/>
    <mergeCell ref="C196:C197"/>
    <mergeCell ref="D196:D197"/>
    <mergeCell ref="E196:E197"/>
    <mergeCell ref="F196:F197"/>
    <mergeCell ref="G196:G197"/>
    <mergeCell ref="H196:H197"/>
    <mergeCell ref="I196:I197"/>
    <mergeCell ref="J196:J197"/>
    <mergeCell ref="K196:K197"/>
    <mergeCell ref="L196:L197"/>
    <mergeCell ref="M196:M197"/>
    <mergeCell ref="N196:N197"/>
    <mergeCell ref="O196:O197"/>
    <mergeCell ref="P196:P197"/>
    <mergeCell ref="Q196:Q197"/>
    <mergeCell ref="R196:R197"/>
    <mergeCell ref="S196:S197"/>
    <mergeCell ref="T196:T197"/>
    <mergeCell ref="U196:U197"/>
    <mergeCell ref="V196:V197"/>
    <mergeCell ref="W196:W197"/>
    <mergeCell ref="X196:X197"/>
    <mergeCell ref="Y196:Y197"/>
    <mergeCell ref="Z196:Z197"/>
    <mergeCell ref="AA196:AA197"/>
    <mergeCell ref="AB196:AB197"/>
    <mergeCell ref="AC196:AC197"/>
    <mergeCell ref="AD196:AD197"/>
    <mergeCell ref="AE196:AE197"/>
    <mergeCell ref="AF196:AF197"/>
    <mergeCell ref="AG196:AG197"/>
    <mergeCell ref="AH196:AH197"/>
    <mergeCell ref="AI196:AI197"/>
    <mergeCell ref="AJ196:AJ197"/>
    <mergeCell ref="AK196:AK197"/>
    <mergeCell ref="AL196:AL197"/>
    <mergeCell ref="AM196:AM197"/>
    <mergeCell ref="AN196:AN197"/>
    <mergeCell ref="AO196:AO197"/>
    <mergeCell ref="AP196:AP197"/>
    <mergeCell ref="AQ196:AQ197"/>
    <mergeCell ref="AR196:AR197"/>
    <mergeCell ref="AS196:AS197"/>
    <mergeCell ref="AT196:AT197"/>
    <mergeCell ref="AU196:AU197"/>
    <mergeCell ref="AV196:AV197"/>
    <mergeCell ref="AW196:AW197"/>
    <mergeCell ref="AX196:AX197"/>
    <mergeCell ref="AY196:AY197"/>
    <mergeCell ref="AZ196:AZ197"/>
    <mergeCell ref="BA196:BA197"/>
    <mergeCell ref="BB196:BB197"/>
    <mergeCell ref="BC196:BC197"/>
    <mergeCell ref="BD196:BD197"/>
    <mergeCell ref="BE196:BE197"/>
    <mergeCell ref="BF196:BF197"/>
    <mergeCell ref="BG196:BG197"/>
    <mergeCell ref="BH196:BH197"/>
    <mergeCell ref="BI196:BI197"/>
    <mergeCell ref="BJ196:BJ197"/>
    <mergeCell ref="BK196:BK197"/>
    <mergeCell ref="BL196:BL197"/>
    <mergeCell ref="BM196:BM197"/>
    <mergeCell ref="BN196:BN197"/>
    <mergeCell ref="BO196:BO197"/>
    <mergeCell ref="BP196:BP197"/>
    <mergeCell ref="BQ196:BQ197"/>
    <mergeCell ref="BR196:BR197"/>
    <mergeCell ref="BS196:BS197"/>
    <mergeCell ref="BT196:BT197"/>
    <mergeCell ref="BU196:BU197"/>
    <mergeCell ref="BV196:BV197"/>
    <mergeCell ref="BW196:BW197"/>
    <mergeCell ref="BX196:BX197"/>
    <mergeCell ref="BY196:BY197"/>
    <mergeCell ref="BZ196:BZ197"/>
    <mergeCell ref="CA196:CA197"/>
    <mergeCell ref="CB196:CB197"/>
    <mergeCell ref="CC196:CC197"/>
    <mergeCell ref="CD196:CD197"/>
    <mergeCell ref="CE196:CE197"/>
    <mergeCell ref="CF196:CF197"/>
    <mergeCell ref="CG196:CG197"/>
    <mergeCell ref="CH196:CH197"/>
    <mergeCell ref="A198:A199"/>
    <mergeCell ref="B198:B199"/>
    <mergeCell ref="C198:C199"/>
    <mergeCell ref="D198:D199"/>
    <mergeCell ref="E198:E199"/>
    <mergeCell ref="F198:F199"/>
    <mergeCell ref="G198:G199"/>
    <mergeCell ref="H198:H199"/>
    <mergeCell ref="I198:I199"/>
    <mergeCell ref="J198:J199"/>
    <mergeCell ref="K198:K199"/>
    <mergeCell ref="L198:L199"/>
    <mergeCell ref="M198:M199"/>
    <mergeCell ref="N198:N199"/>
    <mergeCell ref="O198:O199"/>
    <mergeCell ref="P198:P199"/>
    <mergeCell ref="Q198:Q199"/>
    <mergeCell ref="R198:R199"/>
    <mergeCell ref="S198:S199"/>
    <mergeCell ref="T198:T199"/>
    <mergeCell ref="U198:U199"/>
    <mergeCell ref="V198:V199"/>
    <mergeCell ref="W198:W199"/>
    <mergeCell ref="X198:X199"/>
    <mergeCell ref="Y198:Y199"/>
    <mergeCell ref="Z198:Z199"/>
    <mergeCell ref="AA198:AA199"/>
    <mergeCell ref="AB198:AB199"/>
    <mergeCell ref="AC198:AC199"/>
    <mergeCell ref="AD198:AD199"/>
    <mergeCell ref="AE198:AE199"/>
    <mergeCell ref="AF198:AF199"/>
    <mergeCell ref="AG198:AG199"/>
    <mergeCell ref="AH198:AH199"/>
    <mergeCell ref="AI198:AI199"/>
    <mergeCell ref="AJ198:AJ199"/>
    <mergeCell ref="AK198:AK199"/>
    <mergeCell ref="AL198:AL199"/>
    <mergeCell ref="AM198:AM199"/>
    <mergeCell ref="AN198:AN199"/>
    <mergeCell ref="AO198:AO199"/>
    <mergeCell ref="AP198:AP199"/>
    <mergeCell ref="AQ198:AQ199"/>
    <mergeCell ref="AR198:AR199"/>
    <mergeCell ref="AS198:AS199"/>
    <mergeCell ref="AT198:AT199"/>
    <mergeCell ref="AU198:AU199"/>
    <mergeCell ref="AV198:AV199"/>
    <mergeCell ref="AW198:AW199"/>
    <mergeCell ref="AX198:AX199"/>
    <mergeCell ref="AY198:AY199"/>
    <mergeCell ref="AZ198:AZ199"/>
    <mergeCell ref="BA198:BA199"/>
    <mergeCell ref="BB198:BB199"/>
    <mergeCell ref="BC198:BC199"/>
    <mergeCell ref="BD198:BD199"/>
    <mergeCell ref="BE198:BE199"/>
    <mergeCell ref="BF198:BF199"/>
    <mergeCell ref="BG198:BG199"/>
    <mergeCell ref="BH198:BH199"/>
    <mergeCell ref="BI198:BI199"/>
    <mergeCell ref="BJ198:BJ199"/>
    <mergeCell ref="BK198:BK199"/>
    <mergeCell ref="BL198:BL199"/>
    <mergeCell ref="BM198:BM199"/>
    <mergeCell ref="BN198:BN199"/>
    <mergeCell ref="BO198:BO199"/>
    <mergeCell ref="BP198:BP199"/>
    <mergeCell ref="BQ198:BQ199"/>
    <mergeCell ref="BR198:BR199"/>
    <mergeCell ref="BS198:BS199"/>
    <mergeCell ref="BT198:BT199"/>
    <mergeCell ref="BU198:BU199"/>
    <mergeCell ref="BV198:BV199"/>
    <mergeCell ref="BW198:BW199"/>
    <mergeCell ref="BX198:BX199"/>
    <mergeCell ref="BY198:BY199"/>
    <mergeCell ref="BZ198:BZ199"/>
    <mergeCell ref="CA198:CA199"/>
    <mergeCell ref="CB198:CB199"/>
    <mergeCell ref="CC198:CC199"/>
    <mergeCell ref="CD198:CD199"/>
    <mergeCell ref="CE198:CE199"/>
    <mergeCell ref="CF198:CF199"/>
    <mergeCell ref="CG198:CG199"/>
    <mergeCell ref="CH198:CH199"/>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O200:O201"/>
    <mergeCell ref="P200:P201"/>
    <mergeCell ref="Q200:Q201"/>
    <mergeCell ref="R200:R201"/>
    <mergeCell ref="S200:S201"/>
    <mergeCell ref="T200:T201"/>
    <mergeCell ref="U200:U201"/>
    <mergeCell ref="V200:V201"/>
    <mergeCell ref="W200:W201"/>
    <mergeCell ref="X200:X201"/>
    <mergeCell ref="Y200:Y201"/>
    <mergeCell ref="Z200:Z201"/>
    <mergeCell ref="AA200:AA201"/>
    <mergeCell ref="AB200:AB201"/>
    <mergeCell ref="AC200:AC201"/>
    <mergeCell ref="AD200:AD201"/>
    <mergeCell ref="AE200:AE201"/>
    <mergeCell ref="AF200:AF201"/>
    <mergeCell ref="AG200:AG201"/>
    <mergeCell ref="AH200:AH201"/>
    <mergeCell ref="AI200:AI201"/>
    <mergeCell ref="AJ200:AJ201"/>
    <mergeCell ref="AK200:AK201"/>
    <mergeCell ref="AL200:AL201"/>
    <mergeCell ref="AM200:AM201"/>
    <mergeCell ref="AN200:AN201"/>
    <mergeCell ref="AO200:AO201"/>
    <mergeCell ref="AP200:AP201"/>
    <mergeCell ref="AQ200:AQ201"/>
    <mergeCell ref="AR200:AR201"/>
    <mergeCell ref="AS200:AS201"/>
    <mergeCell ref="AT200:AT201"/>
    <mergeCell ref="AU200:AU201"/>
    <mergeCell ref="AV200:AV201"/>
    <mergeCell ref="AW200:AW201"/>
    <mergeCell ref="AX200:AX201"/>
    <mergeCell ref="AY200:AY201"/>
    <mergeCell ref="AZ200:AZ201"/>
    <mergeCell ref="BA200:BA201"/>
    <mergeCell ref="BB200:BB201"/>
    <mergeCell ref="BC200:BC201"/>
    <mergeCell ref="BD200:BD201"/>
    <mergeCell ref="BE200:BE201"/>
    <mergeCell ref="BF200:BF201"/>
    <mergeCell ref="BG200:BG201"/>
    <mergeCell ref="BH200:BH201"/>
    <mergeCell ref="BI200:BI201"/>
    <mergeCell ref="BJ200:BJ201"/>
    <mergeCell ref="BK200:BK201"/>
    <mergeCell ref="BL200:BL201"/>
    <mergeCell ref="BM200:BM201"/>
    <mergeCell ref="BN200:BN201"/>
    <mergeCell ref="BO200:BO201"/>
    <mergeCell ref="BP200:BP201"/>
    <mergeCell ref="BQ200:BQ201"/>
    <mergeCell ref="BR200:BR201"/>
    <mergeCell ref="BS200:BS201"/>
    <mergeCell ref="BT200:BT201"/>
    <mergeCell ref="BU200:BU201"/>
    <mergeCell ref="BV200:BV201"/>
    <mergeCell ref="BW200:BW201"/>
    <mergeCell ref="BX200:BX201"/>
    <mergeCell ref="BY200:BY201"/>
    <mergeCell ref="BZ200:BZ201"/>
    <mergeCell ref="CA200:CA201"/>
    <mergeCell ref="CB200:CB201"/>
    <mergeCell ref="CC200:CC201"/>
    <mergeCell ref="CD200:CD201"/>
    <mergeCell ref="CE200:CE201"/>
    <mergeCell ref="CF200:CF201"/>
    <mergeCell ref="CG200:CG201"/>
    <mergeCell ref="CH200:CH201"/>
    <mergeCell ref="A202:A203"/>
    <mergeCell ref="B202:B203"/>
    <mergeCell ref="C202:C203"/>
    <mergeCell ref="D202:D203"/>
    <mergeCell ref="E202:E203"/>
    <mergeCell ref="F202:F203"/>
    <mergeCell ref="G202:G203"/>
    <mergeCell ref="H202:H203"/>
    <mergeCell ref="I202:I203"/>
    <mergeCell ref="J202:J203"/>
    <mergeCell ref="K202:K203"/>
    <mergeCell ref="L202:L203"/>
    <mergeCell ref="M202:M203"/>
    <mergeCell ref="N202:N203"/>
    <mergeCell ref="O202:O203"/>
    <mergeCell ref="P202:P203"/>
    <mergeCell ref="Q202:Q203"/>
    <mergeCell ref="R202:R203"/>
    <mergeCell ref="S202:S203"/>
    <mergeCell ref="T202:T203"/>
    <mergeCell ref="U202:U203"/>
    <mergeCell ref="V202:V203"/>
    <mergeCell ref="W202:W203"/>
    <mergeCell ref="X202:X203"/>
    <mergeCell ref="Y202:Y203"/>
    <mergeCell ref="Z202:Z203"/>
    <mergeCell ref="AA202:AA203"/>
    <mergeCell ref="AB202:AB203"/>
    <mergeCell ref="AC202:AC203"/>
    <mergeCell ref="AD202:AD203"/>
    <mergeCell ref="AE202:AE203"/>
    <mergeCell ref="AF202:AF203"/>
    <mergeCell ref="AG202:AG203"/>
    <mergeCell ref="AH202:AH203"/>
    <mergeCell ref="AI202:AI203"/>
    <mergeCell ref="AJ202:AJ203"/>
    <mergeCell ref="AK202:AK203"/>
    <mergeCell ref="AL202:AL203"/>
    <mergeCell ref="AM202:AM203"/>
    <mergeCell ref="AN202:AN203"/>
    <mergeCell ref="AO202:AO203"/>
    <mergeCell ref="AP202:AP203"/>
    <mergeCell ref="AQ202:AQ203"/>
    <mergeCell ref="AR202:AR203"/>
    <mergeCell ref="AS202:AS203"/>
    <mergeCell ref="AT202:AT203"/>
    <mergeCell ref="AU202:AU203"/>
    <mergeCell ref="AV202:AV203"/>
    <mergeCell ref="AW202:AW203"/>
    <mergeCell ref="AX202:AX203"/>
    <mergeCell ref="AY202:AY203"/>
    <mergeCell ref="AZ202:AZ203"/>
    <mergeCell ref="BA202:BA203"/>
    <mergeCell ref="BB202:BB203"/>
    <mergeCell ref="BC202:BC203"/>
    <mergeCell ref="BD202:BD203"/>
    <mergeCell ref="BE202:BE203"/>
    <mergeCell ref="BF202:BF203"/>
    <mergeCell ref="BG202:BG203"/>
    <mergeCell ref="BH202:BH203"/>
    <mergeCell ref="BI202:BI203"/>
    <mergeCell ref="BJ202:BJ203"/>
    <mergeCell ref="BK202:BK203"/>
    <mergeCell ref="BL202:BL203"/>
    <mergeCell ref="BM202:BM203"/>
    <mergeCell ref="BN202:BN203"/>
    <mergeCell ref="BO202:BO203"/>
    <mergeCell ref="BP202:BP203"/>
    <mergeCell ref="BQ202:BQ203"/>
    <mergeCell ref="BR202:BR203"/>
    <mergeCell ref="BS202:BS203"/>
    <mergeCell ref="BT202:BT203"/>
    <mergeCell ref="BU202:BU203"/>
    <mergeCell ref="BV202:BV203"/>
    <mergeCell ref="BW202:BW203"/>
    <mergeCell ref="BX202:BX203"/>
    <mergeCell ref="BY202:BY203"/>
    <mergeCell ref="BZ202:BZ203"/>
    <mergeCell ref="CA202:CA203"/>
    <mergeCell ref="CB202:CB203"/>
    <mergeCell ref="CC202:CC203"/>
    <mergeCell ref="CD202:CD203"/>
    <mergeCell ref="CE202:CE203"/>
    <mergeCell ref="CF202:CF203"/>
    <mergeCell ref="CG202:CG203"/>
    <mergeCell ref="CH202:CH203"/>
    <mergeCell ref="A204:A205"/>
    <mergeCell ref="B204:B205"/>
    <mergeCell ref="C204:C205"/>
    <mergeCell ref="D204:D205"/>
    <mergeCell ref="E204:E205"/>
    <mergeCell ref="F204:F205"/>
    <mergeCell ref="G204:G205"/>
    <mergeCell ref="H204:H205"/>
    <mergeCell ref="I204:I205"/>
    <mergeCell ref="J204:J205"/>
    <mergeCell ref="K204:K205"/>
    <mergeCell ref="L204:L205"/>
    <mergeCell ref="M204:M205"/>
    <mergeCell ref="N204:N205"/>
    <mergeCell ref="O204:O205"/>
    <mergeCell ref="P204:P205"/>
    <mergeCell ref="Q204:Q205"/>
    <mergeCell ref="R204:R205"/>
    <mergeCell ref="S204:S205"/>
    <mergeCell ref="T204:T205"/>
    <mergeCell ref="U204:U205"/>
    <mergeCell ref="V204:V205"/>
    <mergeCell ref="W204:W205"/>
    <mergeCell ref="X204:X205"/>
    <mergeCell ref="Y204:Y205"/>
    <mergeCell ref="Z204:Z205"/>
    <mergeCell ref="AA204:AA205"/>
    <mergeCell ref="AB204:AB205"/>
    <mergeCell ref="AC204:AC205"/>
    <mergeCell ref="AD204:AD205"/>
    <mergeCell ref="AE204:AE205"/>
    <mergeCell ref="AF204:AF205"/>
    <mergeCell ref="AG204:AG205"/>
    <mergeCell ref="AH204:AH205"/>
    <mergeCell ref="AI204:AI205"/>
    <mergeCell ref="AJ204:AJ205"/>
    <mergeCell ref="AK204:AK205"/>
    <mergeCell ref="AL204:AL205"/>
    <mergeCell ref="AM204:AM205"/>
    <mergeCell ref="AN204:AN205"/>
    <mergeCell ref="AO204:AO205"/>
    <mergeCell ref="AP204:AP205"/>
    <mergeCell ref="AQ204:AQ205"/>
    <mergeCell ref="AR204:AR205"/>
    <mergeCell ref="AS204:AS205"/>
    <mergeCell ref="AT204:AT205"/>
    <mergeCell ref="AU204:AU205"/>
    <mergeCell ref="AV204:AV205"/>
    <mergeCell ref="AW204:AW205"/>
    <mergeCell ref="AX204:AX205"/>
    <mergeCell ref="AY204:AY205"/>
    <mergeCell ref="AZ204:AZ205"/>
    <mergeCell ref="BA204:BA205"/>
    <mergeCell ref="BB204:BB205"/>
    <mergeCell ref="BC204:BC205"/>
    <mergeCell ref="BD204:BD205"/>
    <mergeCell ref="BE204:BE205"/>
    <mergeCell ref="BF204:BF205"/>
    <mergeCell ref="BG204:BG205"/>
    <mergeCell ref="BH204:BH205"/>
    <mergeCell ref="BI204:BI205"/>
    <mergeCell ref="BJ204:BJ205"/>
    <mergeCell ref="BK204:BK205"/>
    <mergeCell ref="BL204:BL205"/>
    <mergeCell ref="BM204:BM205"/>
    <mergeCell ref="BN204:BN205"/>
    <mergeCell ref="BO204:BO205"/>
    <mergeCell ref="BP204:BP205"/>
    <mergeCell ref="BQ204:BQ205"/>
    <mergeCell ref="BR204:BR205"/>
    <mergeCell ref="BS204:BS205"/>
    <mergeCell ref="BT204:BT205"/>
    <mergeCell ref="BU204:BU205"/>
    <mergeCell ref="BV204:BV205"/>
    <mergeCell ref="BW204:BW205"/>
    <mergeCell ref="BX204:BX205"/>
    <mergeCell ref="BY204:BY205"/>
    <mergeCell ref="BZ204:BZ205"/>
    <mergeCell ref="CA204:CA205"/>
    <mergeCell ref="CB204:CB205"/>
    <mergeCell ref="CC204:CC205"/>
    <mergeCell ref="CD204:CD205"/>
    <mergeCell ref="CE204:CE205"/>
    <mergeCell ref="CF204:CF205"/>
    <mergeCell ref="CG204:CG205"/>
    <mergeCell ref="CH204:CH205"/>
    <mergeCell ref="A206:A207"/>
    <mergeCell ref="B206:B207"/>
    <mergeCell ref="C206:C207"/>
    <mergeCell ref="D206:D207"/>
    <mergeCell ref="E206:E207"/>
    <mergeCell ref="F206:F207"/>
    <mergeCell ref="G206:G207"/>
    <mergeCell ref="H206:H207"/>
    <mergeCell ref="I206:I207"/>
    <mergeCell ref="J206:J207"/>
    <mergeCell ref="K206:K207"/>
    <mergeCell ref="L206:L207"/>
    <mergeCell ref="M206:M207"/>
    <mergeCell ref="N206:N207"/>
    <mergeCell ref="O206:O207"/>
    <mergeCell ref="P206:P207"/>
    <mergeCell ref="Q206:Q207"/>
    <mergeCell ref="R206:R207"/>
    <mergeCell ref="S206:S207"/>
    <mergeCell ref="T206:T207"/>
    <mergeCell ref="U206:U207"/>
    <mergeCell ref="V206:V207"/>
    <mergeCell ref="W206:W207"/>
    <mergeCell ref="X206:X207"/>
    <mergeCell ref="Y206:Y207"/>
    <mergeCell ref="Z206:Z207"/>
    <mergeCell ref="AA206:AA207"/>
    <mergeCell ref="AB206:AB207"/>
    <mergeCell ref="AC206:AC207"/>
    <mergeCell ref="AD206:AD207"/>
    <mergeCell ref="AE206:AE207"/>
    <mergeCell ref="AF206:AF207"/>
    <mergeCell ref="AG206:AG207"/>
    <mergeCell ref="AH206:AH207"/>
    <mergeCell ref="AI206:AI207"/>
    <mergeCell ref="AJ206:AJ207"/>
    <mergeCell ref="AK206:AK207"/>
    <mergeCell ref="AL206:AL207"/>
    <mergeCell ref="AM206:AM207"/>
    <mergeCell ref="AN206:AN207"/>
    <mergeCell ref="AO206:AO207"/>
    <mergeCell ref="AP206:AP207"/>
    <mergeCell ref="AQ206:AQ207"/>
    <mergeCell ref="AR206:AR207"/>
    <mergeCell ref="AS206:AS207"/>
    <mergeCell ref="AT206:AT207"/>
    <mergeCell ref="AU206:AU207"/>
    <mergeCell ref="AV206:AV207"/>
    <mergeCell ref="AW206:AW207"/>
    <mergeCell ref="AX206:AX207"/>
    <mergeCell ref="AY206:AY207"/>
    <mergeCell ref="AZ206:AZ207"/>
    <mergeCell ref="BA206:BA207"/>
    <mergeCell ref="BB206:BB207"/>
    <mergeCell ref="BC206:BC207"/>
    <mergeCell ref="BD206:BD207"/>
    <mergeCell ref="BE206:BE207"/>
    <mergeCell ref="BF206:BF207"/>
    <mergeCell ref="BG206:BG207"/>
    <mergeCell ref="BH206:BH207"/>
    <mergeCell ref="BI206:BI207"/>
    <mergeCell ref="BJ206:BJ207"/>
    <mergeCell ref="BK206:BK207"/>
    <mergeCell ref="BL206:BL207"/>
    <mergeCell ref="BM206:BM207"/>
    <mergeCell ref="BN206:BN207"/>
    <mergeCell ref="BO206:BO207"/>
    <mergeCell ref="BP206:BP207"/>
    <mergeCell ref="BQ206:BQ207"/>
    <mergeCell ref="BR206:BR207"/>
    <mergeCell ref="BS206:BS207"/>
    <mergeCell ref="BT206:BT207"/>
    <mergeCell ref="BU206:BU207"/>
    <mergeCell ref="BV206:BV207"/>
    <mergeCell ref="BW206:BW207"/>
    <mergeCell ref="BX206:BX207"/>
    <mergeCell ref="BY206:BY207"/>
    <mergeCell ref="BZ206:BZ207"/>
    <mergeCell ref="CA206:CA207"/>
    <mergeCell ref="CB206:CB207"/>
    <mergeCell ref="CC206:CC207"/>
    <mergeCell ref="CD206:CD207"/>
    <mergeCell ref="CE206:CE207"/>
    <mergeCell ref="CF206:CF207"/>
    <mergeCell ref="CG206:CG207"/>
    <mergeCell ref="CH206:CH207"/>
    <mergeCell ref="A209:A210"/>
    <mergeCell ref="B209:B210"/>
    <mergeCell ref="C209:C210"/>
    <mergeCell ref="D209:D210"/>
    <mergeCell ref="E209:E210"/>
    <mergeCell ref="F209:F210"/>
    <mergeCell ref="G209:G210"/>
    <mergeCell ref="H209:H210"/>
    <mergeCell ref="I209:I210"/>
    <mergeCell ref="J209:J210"/>
    <mergeCell ref="K209:K210"/>
    <mergeCell ref="L209:L210"/>
    <mergeCell ref="M209:M210"/>
    <mergeCell ref="N209:N210"/>
    <mergeCell ref="O209:O210"/>
    <mergeCell ref="P209:P210"/>
    <mergeCell ref="Q209:Q210"/>
    <mergeCell ref="R209:R210"/>
    <mergeCell ref="S209:S210"/>
    <mergeCell ref="T209:T210"/>
    <mergeCell ref="U209:U210"/>
    <mergeCell ref="V209:V210"/>
    <mergeCell ref="W209:W210"/>
    <mergeCell ref="X209:X210"/>
    <mergeCell ref="Y209:Y210"/>
    <mergeCell ref="Z209:Z210"/>
    <mergeCell ref="AA209:AA210"/>
    <mergeCell ref="AB209:AB210"/>
    <mergeCell ref="AC209:AC210"/>
    <mergeCell ref="AD209:AD210"/>
    <mergeCell ref="AE209:AE210"/>
    <mergeCell ref="AF209:AF210"/>
    <mergeCell ref="AG209:AG210"/>
    <mergeCell ref="AH209:AH210"/>
    <mergeCell ref="AI209:AI210"/>
    <mergeCell ref="AJ209:AJ210"/>
    <mergeCell ref="AK209:AK210"/>
    <mergeCell ref="AL209:AL210"/>
    <mergeCell ref="AM209:AM210"/>
    <mergeCell ref="AN209:AN210"/>
    <mergeCell ref="AO209:AO210"/>
    <mergeCell ref="AP209:AP210"/>
    <mergeCell ref="AQ209:AQ210"/>
    <mergeCell ref="AR209:AR210"/>
    <mergeCell ref="AS209:AS210"/>
    <mergeCell ref="AT209:AT210"/>
    <mergeCell ref="AU209:AU210"/>
    <mergeCell ref="AV209:AV210"/>
    <mergeCell ref="AW209:AW210"/>
    <mergeCell ref="AX209:AX210"/>
    <mergeCell ref="AY209:AY210"/>
    <mergeCell ref="AZ209:AZ210"/>
    <mergeCell ref="BA209:BA210"/>
    <mergeCell ref="BB209:BB210"/>
    <mergeCell ref="BC209:BC210"/>
    <mergeCell ref="BD209:BD210"/>
    <mergeCell ref="BE209:BE210"/>
    <mergeCell ref="BF209:BF210"/>
    <mergeCell ref="BG209:BG210"/>
    <mergeCell ref="BH209:BH210"/>
    <mergeCell ref="BI209:BI210"/>
    <mergeCell ref="BJ209:BJ210"/>
    <mergeCell ref="BK209:BK210"/>
    <mergeCell ref="BL209:BL210"/>
    <mergeCell ref="BM209:BM210"/>
    <mergeCell ref="BN209:BN210"/>
    <mergeCell ref="BO209:BO210"/>
    <mergeCell ref="BP209:BP210"/>
    <mergeCell ref="BQ209:BQ210"/>
    <mergeCell ref="BR209:BR210"/>
    <mergeCell ref="BS209:BS210"/>
    <mergeCell ref="BT209:BT210"/>
    <mergeCell ref="BU209:BU210"/>
    <mergeCell ref="BV209:BV210"/>
    <mergeCell ref="BW209:BW210"/>
    <mergeCell ref="BX209:BX210"/>
    <mergeCell ref="BY209:BY210"/>
    <mergeCell ref="BZ209:BZ210"/>
    <mergeCell ref="CA209:CA210"/>
    <mergeCell ref="CB209:CB210"/>
    <mergeCell ref="CC209:CC210"/>
    <mergeCell ref="CD209:CD210"/>
    <mergeCell ref="CE209:CE210"/>
    <mergeCell ref="CF209:CF210"/>
    <mergeCell ref="CG209:CG210"/>
    <mergeCell ref="CH209:CH210"/>
    <mergeCell ref="A213:A214"/>
    <mergeCell ref="B213:B214"/>
    <mergeCell ref="C213:C214"/>
    <mergeCell ref="D213:D214"/>
    <mergeCell ref="E213:E214"/>
    <mergeCell ref="F213:F214"/>
    <mergeCell ref="G213:G214"/>
    <mergeCell ref="H213:H214"/>
    <mergeCell ref="I213:I214"/>
    <mergeCell ref="J213:J214"/>
    <mergeCell ref="K213:K214"/>
    <mergeCell ref="L213:L214"/>
    <mergeCell ref="M213:M214"/>
    <mergeCell ref="N213:N214"/>
    <mergeCell ref="O213:O214"/>
    <mergeCell ref="P213:P214"/>
    <mergeCell ref="Q213:Q214"/>
    <mergeCell ref="R213:R214"/>
    <mergeCell ref="S213:S214"/>
    <mergeCell ref="T213:T214"/>
    <mergeCell ref="U213:U214"/>
    <mergeCell ref="V213:V214"/>
    <mergeCell ref="W213:W214"/>
    <mergeCell ref="X213:X214"/>
    <mergeCell ref="Y213:Y214"/>
    <mergeCell ref="Z213:Z214"/>
    <mergeCell ref="AA213:AA214"/>
    <mergeCell ref="AB213:AB214"/>
    <mergeCell ref="AC213:AC214"/>
    <mergeCell ref="AD213:AD214"/>
    <mergeCell ref="AE213:AE214"/>
    <mergeCell ref="AF213:AF214"/>
    <mergeCell ref="AG213:AG214"/>
    <mergeCell ref="AH213:AH214"/>
    <mergeCell ref="AI213:AI214"/>
    <mergeCell ref="AJ213:AJ214"/>
    <mergeCell ref="AK213:AK214"/>
    <mergeCell ref="AL213:AL214"/>
    <mergeCell ref="AM213:AM214"/>
    <mergeCell ref="AN213:AN214"/>
    <mergeCell ref="AO213:AO214"/>
    <mergeCell ref="AP213:AP214"/>
    <mergeCell ref="AQ213:AQ214"/>
    <mergeCell ref="AR213:AR214"/>
    <mergeCell ref="AS213:AS214"/>
    <mergeCell ref="AT213:AT214"/>
    <mergeCell ref="AU213:AU214"/>
    <mergeCell ref="AV213:AV214"/>
    <mergeCell ref="AW213:AW214"/>
    <mergeCell ref="AX213:AX214"/>
    <mergeCell ref="AY213:AY214"/>
    <mergeCell ref="AZ213:AZ214"/>
    <mergeCell ref="BA213:BA214"/>
    <mergeCell ref="BB213:BB214"/>
    <mergeCell ref="BC213:BC214"/>
    <mergeCell ref="BD213:BD214"/>
    <mergeCell ref="BE213:BE214"/>
    <mergeCell ref="BF213:BF214"/>
    <mergeCell ref="BG213:BG214"/>
    <mergeCell ref="BH213:BH214"/>
    <mergeCell ref="BI213:BI214"/>
    <mergeCell ref="BJ213:BJ214"/>
    <mergeCell ref="BK213:BK214"/>
    <mergeCell ref="BL213:BL214"/>
    <mergeCell ref="BM213:BM214"/>
    <mergeCell ref="BN213:BN214"/>
    <mergeCell ref="BO213:BO214"/>
    <mergeCell ref="BP213:BP214"/>
    <mergeCell ref="BQ213:BQ214"/>
    <mergeCell ref="BR213:BR214"/>
    <mergeCell ref="BS213:BS214"/>
    <mergeCell ref="BT213:BT214"/>
    <mergeCell ref="BU213:BU214"/>
    <mergeCell ref="BV213:BV214"/>
    <mergeCell ref="BW213:BW214"/>
    <mergeCell ref="BX213:BX214"/>
    <mergeCell ref="BY213:BY214"/>
    <mergeCell ref="BZ213:BZ214"/>
    <mergeCell ref="CA213:CA214"/>
    <mergeCell ref="CB213:CB214"/>
    <mergeCell ref="CC213:CC214"/>
    <mergeCell ref="CD213:CD214"/>
    <mergeCell ref="CE213:CE214"/>
    <mergeCell ref="CF213:CF214"/>
    <mergeCell ref="CG213:CG214"/>
    <mergeCell ref="CH213:CH214"/>
    <mergeCell ref="A215:A216"/>
    <mergeCell ref="B215:B216"/>
    <mergeCell ref="C215:C216"/>
    <mergeCell ref="D215:D216"/>
    <mergeCell ref="E215:E216"/>
    <mergeCell ref="F215:F216"/>
    <mergeCell ref="G215:G216"/>
    <mergeCell ref="H215:H216"/>
    <mergeCell ref="I215:I216"/>
    <mergeCell ref="J215:J216"/>
    <mergeCell ref="K215:K216"/>
    <mergeCell ref="L215:L216"/>
    <mergeCell ref="M215:M216"/>
    <mergeCell ref="N215:N216"/>
    <mergeCell ref="O215:O216"/>
    <mergeCell ref="P215:P216"/>
    <mergeCell ref="Q215:Q216"/>
    <mergeCell ref="R215:R216"/>
    <mergeCell ref="S215:S216"/>
    <mergeCell ref="T215:T216"/>
    <mergeCell ref="U215:U216"/>
    <mergeCell ref="V215:V216"/>
    <mergeCell ref="W215:W216"/>
    <mergeCell ref="X215:X216"/>
    <mergeCell ref="Y215:Y216"/>
    <mergeCell ref="Z215:Z216"/>
    <mergeCell ref="AA215:AA216"/>
    <mergeCell ref="AB215:AB216"/>
    <mergeCell ref="AC215:AC216"/>
    <mergeCell ref="AD215:AD216"/>
    <mergeCell ref="AE215:AE216"/>
    <mergeCell ref="AF215:AF216"/>
    <mergeCell ref="AG215:AG216"/>
    <mergeCell ref="AH215:AH216"/>
    <mergeCell ref="AI215:AI216"/>
    <mergeCell ref="AJ215:AJ216"/>
    <mergeCell ref="AK215:AK216"/>
    <mergeCell ref="AL215:AL216"/>
    <mergeCell ref="AM215:AM216"/>
    <mergeCell ref="AN215:AN216"/>
    <mergeCell ref="AO215:AO216"/>
    <mergeCell ref="AP215:AP216"/>
    <mergeCell ref="AQ215:AQ216"/>
    <mergeCell ref="AR215:AR216"/>
    <mergeCell ref="AS215:AS216"/>
    <mergeCell ref="AT215:AT216"/>
    <mergeCell ref="AU215:AU216"/>
    <mergeCell ref="AV215:AV216"/>
    <mergeCell ref="AW215:AW216"/>
    <mergeCell ref="AX215:AX216"/>
    <mergeCell ref="AY215:AY216"/>
    <mergeCell ref="AZ215:AZ216"/>
    <mergeCell ref="BA215:BA216"/>
    <mergeCell ref="BB215:BB216"/>
    <mergeCell ref="BC215:BC216"/>
    <mergeCell ref="BD215:BD216"/>
    <mergeCell ref="BE215:BE216"/>
    <mergeCell ref="BF215:BF216"/>
    <mergeCell ref="BG215:BG216"/>
    <mergeCell ref="BH215:BH216"/>
    <mergeCell ref="BI215:BI216"/>
    <mergeCell ref="BJ215:BJ216"/>
    <mergeCell ref="BK215:BK216"/>
    <mergeCell ref="BL215:BL216"/>
    <mergeCell ref="BM215:BM216"/>
    <mergeCell ref="BN215:BN216"/>
    <mergeCell ref="BO215:BO216"/>
    <mergeCell ref="BP215:BP216"/>
    <mergeCell ref="BQ215:BQ216"/>
    <mergeCell ref="BR215:BR216"/>
    <mergeCell ref="BS215:BS216"/>
    <mergeCell ref="BT215:BT216"/>
    <mergeCell ref="BU215:BU216"/>
    <mergeCell ref="BV215:BV216"/>
    <mergeCell ref="BW215:BW216"/>
    <mergeCell ref="BX215:BX216"/>
    <mergeCell ref="BY215:BY216"/>
    <mergeCell ref="BZ215:BZ216"/>
    <mergeCell ref="CA215:CA216"/>
    <mergeCell ref="CB215:CB216"/>
    <mergeCell ref="CC215:CC216"/>
    <mergeCell ref="CD215:CD216"/>
    <mergeCell ref="CE215:CE216"/>
    <mergeCell ref="CF215:CF216"/>
    <mergeCell ref="CG215:CG216"/>
    <mergeCell ref="CH215:CH216"/>
    <mergeCell ref="A217:A218"/>
    <mergeCell ref="B217:B218"/>
    <mergeCell ref="C217:C218"/>
    <mergeCell ref="D217:D218"/>
    <mergeCell ref="E217:E218"/>
    <mergeCell ref="F217:F218"/>
    <mergeCell ref="G217:G218"/>
    <mergeCell ref="H217:H218"/>
    <mergeCell ref="I217:I218"/>
    <mergeCell ref="J217:J218"/>
    <mergeCell ref="K217:K218"/>
    <mergeCell ref="L217:L218"/>
    <mergeCell ref="M217:M218"/>
    <mergeCell ref="N217:N218"/>
    <mergeCell ref="O217:O218"/>
    <mergeCell ref="P217:P218"/>
    <mergeCell ref="Q217:Q218"/>
    <mergeCell ref="R217:R218"/>
    <mergeCell ref="S217:S218"/>
    <mergeCell ref="T217:T218"/>
    <mergeCell ref="U217:U218"/>
    <mergeCell ref="V217:V218"/>
    <mergeCell ref="W217:W218"/>
    <mergeCell ref="X217:X218"/>
    <mergeCell ref="Y217:Y218"/>
    <mergeCell ref="Z217:Z218"/>
    <mergeCell ref="AA217:AA218"/>
    <mergeCell ref="AB217:AB218"/>
    <mergeCell ref="AC217:AC218"/>
    <mergeCell ref="AD217:AD218"/>
    <mergeCell ref="AE217:AE218"/>
    <mergeCell ref="AF217:AF218"/>
    <mergeCell ref="AG217:AG218"/>
    <mergeCell ref="AH217:AH218"/>
    <mergeCell ref="AI217:AI218"/>
    <mergeCell ref="AJ217:AJ218"/>
    <mergeCell ref="AK217:AK218"/>
    <mergeCell ref="AL217:AL218"/>
    <mergeCell ref="AM217:AM218"/>
    <mergeCell ref="AN217:AN218"/>
    <mergeCell ref="AO217:AO218"/>
    <mergeCell ref="AP217:AP218"/>
    <mergeCell ref="AQ217:AQ218"/>
    <mergeCell ref="AR217:AR218"/>
    <mergeCell ref="AS217:AS218"/>
    <mergeCell ref="AT217:AT218"/>
    <mergeCell ref="AU217:AU218"/>
    <mergeCell ref="AV217:AV218"/>
    <mergeCell ref="AW217:AW218"/>
    <mergeCell ref="AX217:AX218"/>
    <mergeCell ref="AY217:AY218"/>
    <mergeCell ref="AZ217:AZ218"/>
    <mergeCell ref="BA217:BA218"/>
    <mergeCell ref="BB217:BB218"/>
    <mergeCell ref="BC217:BC218"/>
    <mergeCell ref="BD217:BD218"/>
    <mergeCell ref="BE217:BE218"/>
    <mergeCell ref="BF217:BF218"/>
    <mergeCell ref="BG217:BG218"/>
    <mergeCell ref="BH217:BH218"/>
    <mergeCell ref="BI217:BI218"/>
    <mergeCell ref="BJ217:BJ218"/>
    <mergeCell ref="BK217:BK218"/>
    <mergeCell ref="BL217:BL218"/>
    <mergeCell ref="BM217:BM218"/>
    <mergeCell ref="BN217:BN218"/>
    <mergeCell ref="BO217:BO218"/>
    <mergeCell ref="BP217:BP218"/>
    <mergeCell ref="BQ217:BQ218"/>
    <mergeCell ref="BR217:BR218"/>
    <mergeCell ref="BS217:BS218"/>
    <mergeCell ref="BT217:BT218"/>
    <mergeCell ref="BU217:BU218"/>
    <mergeCell ref="BV217:BV218"/>
    <mergeCell ref="BW217:BW218"/>
    <mergeCell ref="BX217:BX218"/>
    <mergeCell ref="BY217:BY218"/>
    <mergeCell ref="BZ217:BZ218"/>
    <mergeCell ref="CA217:CA218"/>
    <mergeCell ref="CB217:CB218"/>
    <mergeCell ref="CC217:CC218"/>
    <mergeCell ref="CD217:CD218"/>
    <mergeCell ref="CE217:CE218"/>
    <mergeCell ref="CF217:CF218"/>
    <mergeCell ref="CG217:CG218"/>
    <mergeCell ref="CH217:CH218"/>
    <mergeCell ref="A219:A220"/>
    <mergeCell ref="B219:B220"/>
    <mergeCell ref="C219:C220"/>
    <mergeCell ref="D219:D220"/>
    <mergeCell ref="E219:E220"/>
    <mergeCell ref="F219:F220"/>
    <mergeCell ref="G219:G220"/>
    <mergeCell ref="H219:H220"/>
    <mergeCell ref="I219:I220"/>
    <mergeCell ref="J219:J220"/>
    <mergeCell ref="K219:K220"/>
    <mergeCell ref="L219:L220"/>
    <mergeCell ref="M219:M220"/>
    <mergeCell ref="N219:N220"/>
    <mergeCell ref="O219:O220"/>
    <mergeCell ref="P219:P220"/>
    <mergeCell ref="Q219:Q220"/>
    <mergeCell ref="R219:R220"/>
    <mergeCell ref="S219:S220"/>
    <mergeCell ref="T219:T220"/>
    <mergeCell ref="U219:U220"/>
    <mergeCell ref="V219:V220"/>
    <mergeCell ref="W219:W220"/>
    <mergeCell ref="X219:X220"/>
    <mergeCell ref="Y219:Y220"/>
    <mergeCell ref="Z219:Z220"/>
    <mergeCell ref="AA219:AA220"/>
    <mergeCell ref="AB219:AB220"/>
    <mergeCell ref="AC219:AC220"/>
    <mergeCell ref="AD219:AD220"/>
    <mergeCell ref="AE219:AE220"/>
    <mergeCell ref="AF219:AF220"/>
    <mergeCell ref="AG219:AG220"/>
    <mergeCell ref="AH219:AH220"/>
    <mergeCell ref="AI219:AI220"/>
    <mergeCell ref="AJ219:AJ220"/>
    <mergeCell ref="AK219:AK220"/>
    <mergeCell ref="AL219:AL220"/>
    <mergeCell ref="AM219:AM220"/>
    <mergeCell ref="AN219:AN220"/>
    <mergeCell ref="AO219:AO220"/>
    <mergeCell ref="AP219:AP220"/>
    <mergeCell ref="AQ219:AQ220"/>
    <mergeCell ref="AR219:AR220"/>
    <mergeCell ref="AS219:AS220"/>
    <mergeCell ref="AT219:AT220"/>
    <mergeCell ref="AU219:AU220"/>
    <mergeCell ref="AV219:AV220"/>
    <mergeCell ref="AW219:AW220"/>
    <mergeCell ref="AX219:AX220"/>
    <mergeCell ref="AY219:AY220"/>
    <mergeCell ref="AZ219:AZ220"/>
    <mergeCell ref="BA219:BA220"/>
    <mergeCell ref="BB219:BB220"/>
    <mergeCell ref="BC219:BC220"/>
    <mergeCell ref="BD219:BD220"/>
    <mergeCell ref="BE219:BE220"/>
    <mergeCell ref="BF219:BF220"/>
    <mergeCell ref="BG219:BG220"/>
    <mergeCell ref="BH219:BH220"/>
    <mergeCell ref="BI219:BI220"/>
    <mergeCell ref="BJ219:BJ220"/>
    <mergeCell ref="BK219:BK220"/>
    <mergeCell ref="BL219:BL220"/>
    <mergeCell ref="BM219:BM220"/>
    <mergeCell ref="BN219:BN220"/>
    <mergeCell ref="BO219:BO220"/>
    <mergeCell ref="BP219:BP220"/>
    <mergeCell ref="BQ219:BQ220"/>
    <mergeCell ref="BR219:BR220"/>
    <mergeCell ref="BS219:BS220"/>
    <mergeCell ref="BT219:BT220"/>
    <mergeCell ref="BU219:BU220"/>
    <mergeCell ref="BV219:BV220"/>
    <mergeCell ref="BW219:BW220"/>
    <mergeCell ref="BX219:BX220"/>
    <mergeCell ref="BY219:BY220"/>
    <mergeCell ref="BZ219:BZ220"/>
    <mergeCell ref="CA219:CA220"/>
    <mergeCell ref="CB219:CB220"/>
    <mergeCell ref="CC219:CC220"/>
    <mergeCell ref="CD219:CD220"/>
    <mergeCell ref="CE219:CE220"/>
    <mergeCell ref="CF219:CF220"/>
    <mergeCell ref="CG219:CG220"/>
    <mergeCell ref="CH219:CH220"/>
    <mergeCell ref="A221:A222"/>
    <mergeCell ref="B221:B222"/>
    <mergeCell ref="C221:C222"/>
    <mergeCell ref="D221:D222"/>
    <mergeCell ref="E221:E222"/>
    <mergeCell ref="F221:F222"/>
    <mergeCell ref="G221:G222"/>
    <mergeCell ref="H221:H222"/>
    <mergeCell ref="I221:I222"/>
    <mergeCell ref="J221:J222"/>
    <mergeCell ref="K221:K222"/>
    <mergeCell ref="L221:L222"/>
    <mergeCell ref="M221:M222"/>
    <mergeCell ref="N221:N222"/>
    <mergeCell ref="O221:O222"/>
    <mergeCell ref="P221:P222"/>
    <mergeCell ref="Q221:Q222"/>
    <mergeCell ref="R221:R222"/>
    <mergeCell ref="S221:S222"/>
    <mergeCell ref="T221:T222"/>
    <mergeCell ref="U221:U222"/>
    <mergeCell ref="V221:V222"/>
    <mergeCell ref="W221:W222"/>
    <mergeCell ref="X221:X222"/>
    <mergeCell ref="Y221:Y222"/>
    <mergeCell ref="Z221:Z222"/>
    <mergeCell ref="AA221:AA222"/>
    <mergeCell ref="AB221:AB222"/>
    <mergeCell ref="AC221:AC222"/>
    <mergeCell ref="AD221:AD222"/>
    <mergeCell ref="AE221:AE222"/>
    <mergeCell ref="AF221:AF222"/>
    <mergeCell ref="AG221:AG222"/>
    <mergeCell ref="AH221:AH222"/>
    <mergeCell ref="AI221:AI222"/>
    <mergeCell ref="AJ221:AJ222"/>
    <mergeCell ref="AK221:AK222"/>
    <mergeCell ref="AL221:AL222"/>
    <mergeCell ref="AM221:AM222"/>
    <mergeCell ref="AN221:AN222"/>
    <mergeCell ref="AO221:AO222"/>
    <mergeCell ref="AP221:AP222"/>
    <mergeCell ref="AQ221:AQ222"/>
    <mergeCell ref="AR221:AR222"/>
    <mergeCell ref="AS221:AS222"/>
    <mergeCell ref="AT221:AT222"/>
    <mergeCell ref="AU221:AU222"/>
    <mergeCell ref="AV221:AV222"/>
    <mergeCell ref="AW221:AW222"/>
    <mergeCell ref="AX221:AX222"/>
    <mergeCell ref="AY221:AY222"/>
    <mergeCell ref="AZ221:AZ222"/>
    <mergeCell ref="BA221:BA222"/>
    <mergeCell ref="BB221:BB222"/>
    <mergeCell ref="BC221:BC222"/>
    <mergeCell ref="BD221:BD222"/>
    <mergeCell ref="BE221:BE222"/>
    <mergeCell ref="BF221:BF222"/>
    <mergeCell ref="BG221:BG222"/>
    <mergeCell ref="BH221:BH222"/>
    <mergeCell ref="BI221:BI222"/>
    <mergeCell ref="BJ221:BJ222"/>
    <mergeCell ref="BK221:BK222"/>
    <mergeCell ref="BL221:BL222"/>
    <mergeCell ref="BM221:BM222"/>
    <mergeCell ref="BN221:BN222"/>
    <mergeCell ref="BO221:BO222"/>
    <mergeCell ref="BP221:BP222"/>
    <mergeCell ref="BQ221:BQ222"/>
    <mergeCell ref="BR221:BR222"/>
    <mergeCell ref="BS221:BS222"/>
    <mergeCell ref="BT221:BT222"/>
    <mergeCell ref="BU221:BU222"/>
    <mergeCell ref="BV221:BV222"/>
    <mergeCell ref="BW221:BW222"/>
    <mergeCell ref="BX221:BX222"/>
    <mergeCell ref="BY221:BY222"/>
    <mergeCell ref="BZ221:BZ222"/>
    <mergeCell ref="CA221:CA222"/>
    <mergeCell ref="CB221:CB222"/>
    <mergeCell ref="CC221:CC222"/>
    <mergeCell ref="CD221:CD222"/>
    <mergeCell ref="CE221:CE222"/>
    <mergeCell ref="CF221:CF222"/>
    <mergeCell ref="CG221:CG222"/>
    <mergeCell ref="CH221:CH222"/>
    <mergeCell ref="A223:A224"/>
    <mergeCell ref="B223:B224"/>
    <mergeCell ref="C223:C224"/>
    <mergeCell ref="D223:D224"/>
    <mergeCell ref="E223:E224"/>
    <mergeCell ref="F223:F224"/>
    <mergeCell ref="G223:G224"/>
    <mergeCell ref="H223:H224"/>
    <mergeCell ref="I223:I224"/>
    <mergeCell ref="J223:J224"/>
    <mergeCell ref="K223:K224"/>
    <mergeCell ref="L223:L224"/>
    <mergeCell ref="M223:M224"/>
    <mergeCell ref="N223:N224"/>
    <mergeCell ref="O223:O224"/>
    <mergeCell ref="P223:P224"/>
    <mergeCell ref="Q223:Q224"/>
    <mergeCell ref="R223:R224"/>
    <mergeCell ref="S223:S224"/>
    <mergeCell ref="T223:T224"/>
    <mergeCell ref="U223:U224"/>
    <mergeCell ref="V223:V224"/>
    <mergeCell ref="W223:W224"/>
    <mergeCell ref="X223:X224"/>
    <mergeCell ref="Y223:Y224"/>
    <mergeCell ref="Z223:Z224"/>
    <mergeCell ref="AA223:AA224"/>
    <mergeCell ref="AB223:AB224"/>
    <mergeCell ref="AC223:AC224"/>
    <mergeCell ref="AD223:AD224"/>
    <mergeCell ref="AE223:AE224"/>
    <mergeCell ref="AF223:AF224"/>
    <mergeCell ref="AG223:AG224"/>
    <mergeCell ref="AH223:AH224"/>
    <mergeCell ref="AI223:AI224"/>
    <mergeCell ref="AJ223:AJ224"/>
    <mergeCell ref="AK223:AK224"/>
    <mergeCell ref="AL223:AL224"/>
    <mergeCell ref="AM223:AM224"/>
    <mergeCell ref="AN223:AN224"/>
    <mergeCell ref="AO223:AO224"/>
    <mergeCell ref="AP223:AP224"/>
    <mergeCell ref="AQ223:AQ224"/>
    <mergeCell ref="AR223:AR224"/>
    <mergeCell ref="AS223:AS224"/>
    <mergeCell ref="AT223:AT224"/>
    <mergeCell ref="AU223:AU224"/>
    <mergeCell ref="AV223:AV224"/>
    <mergeCell ref="AW223:AW224"/>
    <mergeCell ref="AX223:AX224"/>
    <mergeCell ref="AY223:AY224"/>
    <mergeCell ref="AZ223:AZ224"/>
    <mergeCell ref="BA223:BA224"/>
    <mergeCell ref="BB223:BB224"/>
    <mergeCell ref="BC223:BC224"/>
    <mergeCell ref="BD223:BD224"/>
    <mergeCell ref="BE223:BE224"/>
    <mergeCell ref="BF223:BF224"/>
    <mergeCell ref="BG223:BG224"/>
    <mergeCell ref="BH223:BH224"/>
    <mergeCell ref="BI223:BI224"/>
    <mergeCell ref="BJ223:BJ224"/>
    <mergeCell ref="BK223:BK224"/>
    <mergeCell ref="BL223:BL224"/>
    <mergeCell ref="BM223:BM224"/>
    <mergeCell ref="BN223:BN224"/>
    <mergeCell ref="BO223:BO224"/>
    <mergeCell ref="BP223:BP224"/>
    <mergeCell ref="BQ223:BQ224"/>
    <mergeCell ref="BR223:BR224"/>
    <mergeCell ref="BS223:BS224"/>
    <mergeCell ref="BT223:BT224"/>
    <mergeCell ref="BU223:BU224"/>
    <mergeCell ref="BV223:BV224"/>
    <mergeCell ref="BW223:BW224"/>
    <mergeCell ref="BX223:BX224"/>
    <mergeCell ref="BY223:BY224"/>
    <mergeCell ref="BZ223:BZ224"/>
    <mergeCell ref="CA223:CA224"/>
    <mergeCell ref="CB223:CB224"/>
    <mergeCell ref="CC223:CC224"/>
    <mergeCell ref="CD223:CD224"/>
    <mergeCell ref="CE223:CE224"/>
    <mergeCell ref="CF223:CF224"/>
    <mergeCell ref="CG223:CG224"/>
    <mergeCell ref="CH223:CH224"/>
  </mergeCells>
  <dataValidations disablePrompts="0" count="49">
    <dataValidation type="decimal" errorStyle="stop" imeMode="noControl" operator="between" allowBlank="1" showDropDown="0" showInputMessage="0" showErrorMessage="1" sqref="AV3:AV224">
      <formula1><![CDATA[-999999999999.99]]></formula1>
      <formula2><![CDATA[999999999999.99]]></formula2>
    </dataValidation>
    <dataValidation type="decimal" errorStyle="stop" imeMode="noControl" operator="between" allowBlank="1" showDropDown="0" showInputMessage="0" showErrorMessage="1" sqref="AW3:AW224">
      <formula1><![CDATA[-999999999999.99]]></formula1>
      <formula2><![CDATA[999999999999.99]]></formula2>
    </dataValidation>
    <dataValidation type="decimal" errorStyle="stop" imeMode="noControl" operator="between" allowBlank="1" showDropDown="0" showInputMessage="0" showErrorMessage="1" sqref="AX3:AX224">
      <formula1><![CDATA[-999999999999.99]]></formula1>
      <formula2><![CDATA[999999999999.99]]></formula2>
    </dataValidation>
    <dataValidation type="decimal" errorStyle="stop" imeMode="noControl" operator="between" allowBlank="1" showDropDown="0" showInputMessage="0" showErrorMessage="1" sqref="BA3:BA224">
      <formula1><![CDATA[-999999999999.99]]></formula1>
      <formula2><![CDATA[999999999999.99]]></formula2>
    </dataValidation>
    <dataValidation type="decimal" errorStyle="stop" imeMode="noControl" operator="between" allowBlank="1" showDropDown="0" showInputMessage="0" showErrorMessage="1" sqref="BB3:BB224">
      <formula1><![CDATA[-999999999999.99]]></formula1>
      <formula2><![CDATA[999999999999.99]]></formula2>
    </dataValidation>
    <dataValidation type="decimal" errorStyle="stop" imeMode="noControl" operator="between" allowBlank="1" showDropDown="0" showInputMessage="0" showErrorMessage="1" sqref="BC3:BC224">
      <formula1><![CDATA[-999999999999.99]]></formula1>
      <formula2><![CDATA[999999999999.99]]></formula2>
    </dataValidation>
    <dataValidation type="decimal" errorStyle="stop" imeMode="noControl" operator="between" allowBlank="1" showDropDown="0" showInputMessage="0" showErrorMessage="1" sqref="BD3:BD224">
      <formula1><![CDATA[-999999999999.99]]></formula1>
      <formula2><![CDATA[999999999999.99]]></formula2>
    </dataValidation>
    <dataValidation type="decimal" errorStyle="stop" imeMode="noControl" operator="between" allowBlank="1" showDropDown="0" showInputMessage="0" showErrorMessage="1" sqref="BE3:BE224">
      <formula1><![CDATA[-999999999999.99]]></formula1>
      <formula2><![CDATA[999999999999.99]]></formula2>
    </dataValidation>
    <dataValidation type="decimal" errorStyle="stop" imeMode="noControl" operator="between" allowBlank="1" showDropDown="0" showInputMessage="0" showErrorMessage="1" sqref="BF3:BF224">
      <formula1><![CDATA[-999999999999.99]]></formula1>
      <formula2><![CDATA[999999999999.99]]></formula2>
    </dataValidation>
    <dataValidation type="decimal" errorStyle="stop" imeMode="noControl" operator="between" allowBlank="1" showDropDown="0" showInputMessage="0" showErrorMessage="1" sqref="BG3:BG224">
      <formula1><![CDATA[-999999999999.99]]></formula1>
      <formula2><![CDATA[999999999999.99]]></formula2>
    </dataValidation>
    <dataValidation type="decimal" errorStyle="stop" imeMode="noControl" operator="between" allowBlank="1" showDropDown="0" showInputMessage="0" showErrorMessage="1" sqref="BH3:BH224">
      <formula1><![CDATA[-999999999999.99]]></formula1>
      <formula2><![CDATA[999999999999.99]]></formula2>
    </dataValidation>
    <dataValidation type="decimal" errorStyle="stop" imeMode="noControl" operator="between" allowBlank="1" showDropDown="0" showInputMessage="0" showErrorMessage="1" sqref="BI3:BI224">
      <formula1><![CDATA[-999999999999.99]]></formula1>
      <formula2><![CDATA[999999999999.99]]></formula2>
    </dataValidation>
    <dataValidation type="decimal" errorStyle="stop" imeMode="noControl" operator="between" allowBlank="1" showDropDown="0" showInputMessage="0" showErrorMessage="1" sqref="BJ3:BJ224">
      <formula1><![CDATA[-999999999999.99]]></formula1>
      <formula2><![CDATA[999999999999.99]]></formula2>
    </dataValidation>
    <dataValidation type="decimal" errorStyle="stop" imeMode="noControl" operator="between" allowBlank="1" showDropDown="0" showInputMessage="0" showErrorMessage="1" sqref="BK3:BK224">
      <formula1><![CDATA[-999999999999.99]]></formula1>
      <formula2><![CDATA[999999999999.99]]></formula2>
    </dataValidation>
    <dataValidation type="decimal" errorStyle="stop" imeMode="noControl" operator="between" allowBlank="1" showDropDown="0" showInputMessage="0" showErrorMessage="1" sqref="BL3:BL224">
      <formula1><![CDATA[-999999999999.99]]></formula1>
      <formula2><![CDATA[999999999999.99]]></formula2>
    </dataValidation>
    <dataValidation type="decimal" errorStyle="stop" imeMode="noControl" operator="between" allowBlank="1" showDropDown="0" showInputMessage="0" showErrorMessage="1" sqref="BM3:BM224">
      <formula1><![CDATA[-999999999999.99]]></formula1>
      <formula2><![CDATA[999999999999.99]]></formula2>
    </dataValidation>
    <dataValidation type="decimal" errorStyle="stop" imeMode="noControl" operator="between" allowBlank="1" showDropDown="0" showInputMessage="0" showErrorMessage="1" sqref="BN3:BN224">
      <formula1><![CDATA[-999999999999.99]]></formula1>
      <formula2><![CDATA[999999999999.99]]></formula2>
    </dataValidation>
    <dataValidation type="decimal" errorStyle="stop" imeMode="noControl" operator="between" allowBlank="1" showDropDown="0" showInputMessage="0" showErrorMessage="1" sqref="BO3:BO224">
      <formula1><![CDATA[-999999999999.99]]></formula1>
      <formula2><![CDATA[999999999999.99]]></formula2>
    </dataValidation>
    <dataValidation type="decimal" errorStyle="stop" imeMode="noControl" operator="between" allowBlank="1" showDropDown="0" showInputMessage="0" showErrorMessage="1" sqref="BP3:BP224">
      <formula1><![CDATA[-999999999999.99]]></formula1>
      <formula2><![CDATA[999999999999.99]]></formula2>
    </dataValidation>
    <dataValidation type="decimal" errorStyle="stop" imeMode="noControl" operator="between" allowBlank="1" showDropDown="0" showInputMessage="0" showErrorMessage="1" sqref="BQ3:BQ224">
      <formula1><![CDATA[-999999999999.99]]></formula1>
      <formula2><![CDATA[999999999999.99]]></formula2>
    </dataValidation>
    <dataValidation type="decimal" errorStyle="stop" imeMode="noControl" operator="between" allowBlank="1" showDropDown="0" showInputMessage="0" showErrorMessage="1" sqref="BR3:BR224">
      <formula1><![CDATA[-999999999999.99]]></formula1>
      <formula2><![CDATA[999999999999.99]]></formula2>
    </dataValidation>
    <dataValidation type="decimal" errorStyle="stop" imeMode="noControl" operator="between" allowBlank="1" showDropDown="0" showInputMessage="0" showErrorMessage="1" sqref="BS3:BS224">
      <formula1><![CDATA[-999999999999.99]]></formula1>
      <formula2><![CDATA[999999999999.99]]></formula2>
    </dataValidation>
    <dataValidation type="decimal" errorStyle="stop" imeMode="noControl" operator="between" allowBlank="1" showDropDown="0" showInputMessage="0" showErrorMessage="1" sqref="BT3:BT224">
      <formula1><![CDATA[-999999999999.99]]></formula1>
      <formula2><![CDATA[999999999999.99]]></formula2>
    </dataValidation>
    <dataValidation type="decimal" errorStyle="stop" imeMode="noControl" operator="between" allowBlank="1" showDropDown="0" showInputMessage="0" showErrorMessage="1" sqref="BU3:BU224">
      <formula1><![CDATA[-999999999999.99]]></formula1>
      <formula2><![CDATA[999999999999.99]]></formula2>
    </dataValidation>
    <dataValidation type="decimal" errorStyle="stop" imeMode="noControl" operator="between" allowBlank="1" showDropDown="0" showInputMessage="0" showErrorMessage="1" sqref="CJ3:CJ224">
      <formula1><![CDATA[-999999999999.99]]></formula1>
      <formula2><![CDATA[999999999999.99]]></formula2>
    </dataValidation>
    <dataValidation type="list" errorStyle="stop" imeMode="noControl" operator="between" allowBlank="1" showDropDown="0" showInputMessage="0" showErrorMessage="1" errorTitle="输入错误" error="请从下拉项中选择" sqref="B3:B224">
      <formula1><![CDATA[StatusOptions_1]]></formula1>
    </dataValidation>
    <dataValidation type="list" errorStyle="stop" imeMode="noControl" operator="between" allowBlank="1" showDropDown="0" showInputMessage="0" showErrorMessage="1" errorTitle="输入错误" error="请从下拉项中选择" sqref="X3:X224">
      <formula1><![CDATA[StatusOptions_23]]></formula1>
    </dataValidation>
    <dataValidation type="list" errorStyle="stop" imeMode="noControl" operator="between" allowBlank="1" showDropDown="0" showInputMessage="0" showErrorMessage="1" errorTitle="输入错误" error="请从下拉项中选择" sqref="Y3:Y224">
      <formula1><![CDATA[StatusOptions_24]]></formula1>
    </dataValidation>
    <dataValidation type="list" errorStyle="stop" imeMode="noControl" operator="between" allowBlank="1" showDropDown="0" showInputMessage="0" showErrorMessage="1" errorTitle="输入错误" error="请从下拉项中选择" sqref="Z3:Z224">
      <formula1><![CDATA[StatusOptions_25]]></formula1>
    </dataValidation>
    <dataValidation type="list" errorStyle="stop" imeMode="noControl" operator="between" allowBlank="1" showDropDown="0" showInputMessage="0" showErrorMessage="1" errorTitle="输入错误" error="请从下拉项中选择" sqref="AA3:AA224">
      <formula1><![CDATA[StatusOptions_26]]></formula1>
    </dataValidation>
    <dataValidation type="list" errorStyle="stop" imeMode="noControl" operator="between" allowBlank="1" showDropDown="0" showInputMessage="0" showErrorMessage="1" errorTitle="输入错误" error="请从下拉项中选择" sqref="AB3:AB224">
      <formula1><![CDATA[StatusOptions_27]]></formula1>
    </dataValidation>
    <dataValidation type="list" errorStyle="stop" imeMode="noControl" operator="between" allowBlank="1" showDropDown="0" showInputMessage="0" showErrorMessage="1" errorTitle="输入错误" error="请从下拉项中选择" sqref="AC3:AC224">
      <formula1><![CDATA[StatusOptions_28]]></formula1>
    </dataValidation>
    <dataValidation type="list" errorStyle="stop" imeMode="noControl" operator="between" allowBlank="1" showDropDown="0" showInputMessage="0" showErrorMessage="1" errorTitle="输入错误" error="请从下拉项中选择" sqref="AD3:AD224">
      <formula1><![CDATA[StatusOptions_29]]></formula1>
    </dataValidation>
    <dataValidation type="list" errorStyle="stop" imeMode="noControl" operator="between" allowBlank="1" showDropDown="0" showInputMessage="0" showErrorMessage="1" errorTitle="输入错误" error="请从下拉项中选择" sqref="AE3:AE224">
      <formula1><![CDATA[StatusOptions_30]]></formula1>
    </dataValidation>
    <dataValidation type="list" errorStyle="stop" imeMode="noControl" operator="between" allowBlank="1" showDropDown="0" showInputMessage="0" showErrorMessage="1" errorTitle="输入错误" error="请从下拉项中选择" sqref="AF3:AF224">
      <formula1><![CDATA[StatusOptions_31]]></formula1>
    </dataValidation>
    <dataValidation type="list" errorStyle="stop" imeMode="noControl" operator="between" allowBlank="1" showDropDown="0" showInputMessage="0" showErrorMessage="1" errorTitle="输入错误" error="请从下拉项中选择" sqref="AG3:AG224">
      <formula1><![CDATA[StatusOptions_32]]></formula1>
    </dataValidation>
    <dataValidation type="list" errorStyle="stop" imeMode="noControl" operator="between" allowBlank="1" showDropDown="0" showInputMessage="0" showErrorMessage="1" errorTitle="输入错误" error="请从下拉项中选择" sqref="AH3:AH224">
      <formula1><![CDATA[StatusOptions_33]]></formula1>
    </dataValidation>
    <dataValidation type="list" errorStyle="stop" imeMode="noControl" operator="between" allowBlank="1" showDropDown="0" showInputMessage="0" showErrorMessage="1" errorTitle="输入错误" error="请从下拉项中选择" sqref="AI3:AI224">
      <formula1><![CDATA[StatusOptions_34]]></formula1>
    </dataValidation>
    <dataValidation type="list" errorStyle="stop" imeMode="noControl" operator="between" allowBlank="1" showDropDown="0" showInputMessage="0" showErrorMessage="1" errorTitle="输入错误" error="请从下拉项中选择" sqref="AJ3:AJ224">
      <formula1><![CDATA[StatusOptions_35]]></formula1>
    </dataValidation>
    <dataValidation type="list" errorStyle="stop" imeMode="noControl" operator="between" allowBlank="1" showDropDown="0" showInputMessage="0" showErrorMessage="1" errorTitle="输入错误" error="请从下拉项中选择" sqref="AK3:AK224">
      <formula1><![CDATA[StatusOptions_36]]></formula1>
    </dataValidation>
    <dataValidation type="list" errorStyle="stop" imeMode="noControl" operator="between" allowBlank="1" showDropDown="0" showInputMessage="0" showErrorMessage="1" errorTitle="输入错误" error="请从下拉项中选择" sqref="AL3:AL224">
      <formula1><![CDATA[StatusOptions_37]]></formula1>
    </dataValidation>
    <dataValidation type="list" errorStyle="stop" imeMode="noControl" operator="between" allowBlank="1" showDropDown="0" showInputMessage="0" showErrorMessage="1" errorTitle="输入错误" error="请从下拉项中选择" sqref="AM3:AM224">
      <formula1><![CDATA[StatusOptions_38]]></formula1>
    </dataValidation>
    <dataValidation type="list" errorStyle="stop" imeMode="noControl" operator="between" allowBlank="1" showDropDown="0" showInputMessage="0" showErrorMessage="1" errorTitle="输入错误" error="请从下拉项中选择" sqref="AN3:AN224">
      <formula1><![CDATA[StatusOptions_39]]></formula1>
    </dataValidation>
    <dataValidation type="list" errorStyle="stop" imeMode="noControl" operator="between" allowBlank="1" showDropDown="0" showInputMessage="0" showErrorMessage="1" errorTitle="输入错误" error="请从下拉项中选择" sqref="AO3:AO224">
      <formula1><![CDATA[StatusOptions_40]]></formula1>
    </dataValidation>
    <dataValidation type="list" errorStyle="stop" imeMode="noControl" operator="between" allowBlank="1" showDropDown="0" showInputMessage="0" showErrorMessage="1" errorTitle="输入错误" error="请从下拉项中选择" sqref="AP3:AP224">
      <formula1><![CDATA[StatusOptions_41]]></formula1>
    </dataValidation>
    <dataValidation type="list" errorStyle="stop" imeMode="noControl" operator="between" allowBlank="1" showDropDown="0" showInputMessage="0" showErrorMessage="1" errorTitle="输入错误" error="请从下拉项中选择" sqref="AU3:AU224">
      <formula1><![CDATA[StatusOptions_46]]></formula1>
    </dataValidation>
    <dataValidation type="list" errorStyle="stop" imeMode="noControl" operator="between" allowBlank="1" showDropDown="0" showInputMessage="0" showErrorMessage="1" errorTitle="输入错误" error="请从下拉项中选择" sqref="BV3:BV224">
      <formula1><![CDATA[StatusOptions_73]]></formula1>
    </dataValidation>
    <dataValidation type="list" errorStyle="stop" imeMode="noControl" operator="between" allowBlank="1" showDropDown="0" showInputMessage="0" showErrorMessage="1" errorTitle="输入错误" error="请从下拉项中选择" sqref="CA3:CA224">
      <formula1><![CDATA[StatusOptions_78]]></formula1>
    </dataValidation>
    <dataValidation type="list" errorStyle="stop" imeMode="noControl" operator="between" allowBlank="1" showDropDown="0" showInputMessage="0" showErrorMessage="1" errorTitle="输入错误" error="请从下拉项中选择" sqref="CO3:CO224">
      <formula1><![CDATA[StatusOptions_9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A.超负荷，平时工作就很忙，经常还要加班</t>
        </is>
      </c>
    </row>
    <row r="2">
      <c r="A2" t="inlineStr">
        <is>
          <t>B.满负荷，平时工作就很忙，偶尔因为非突发时间也要加班</t>
        </is>
      </c>
    </row>
    <row r="3">
      <c r="A3" t="inlineStr">
        <is>
          <t>C.均衡，工作负荷一般，按部就班完成工作，除了突发时间几乎不用加班</t>
        </is>
      </c>
    </row>
    <row r="4">
      <c r="A4" t="inlineStr">
        <is>
          <t>D.欠饱和，没想起来给他布置工作的话很可能就是闲着</t>
        </is>
      </c>
    </row>
    <row r="5">
      <c r="A5" t="inlineStr">
        <is>
          <t>E.非饱和，事情很少，也不好怎么给他布置工作</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A.积极高效：经常提前完成，且质量超出预期。</t>
        </is>
      </c>
    </row>
    <row r="2">
      <c r="A2" t="inlineStr">
        <is>
          <t>B.按时推进：基本能卡着时间点完成，不掉链子。</t>
        </is>
      </c>
    </row>
    <row r="3">
      <c r="A3" t="inlineStr">
        <is>
          <t>C.拖沓被动：需要主管反复催促，才能勉强按时交差。</t>
        </is>
      </c>
    </row>
    <row r="4">
      <c r="A4" t="inlineStr">
        <is>
          <t>D.经常延误：严重缺乏时间观念，无法按时交付。</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A.始终如一：无论任务大小，交付件标准都很高。</t>
        </is>
      </c>
    </row>
    <row r="2">
      <c r="A2" t="inlineStr">
        <is>
          <t>B.基本稳定：偶有小瑕疵，但不影响整体使用。</t>
        </is>
      </c>
    </row>
    <row r="3">
      <c r="A3" t="inlineStr">
        <is>
          <t>C.看心情/状态：状态好时不错，状态差时漏洞百出。</t>
        </is>
      </c>
    </row>
    <row r="4">
      <c r="A4" t="inlineStr">
        <is>
          <t>D.质量堪忧：经常需要返工，返工率较高。</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A.极其省心：只需交代目标，剩下的一律不用管，最后不仅能准时交付，甚至能超出预期。</t>
        </is>
      </c>
    </row>
    <row r="2">
      <c r="A2" t="inlineStr">
        <is>
          <t>B.比较省心：只需定期同步一下进度，不需要主管盯着细节，能独立把事情办成。</t>
        </is>
      </c>
    </row>
    <row r="3">
      <c r="A3" t="inlineStr">
        <is>
          <t>C.正常跟进：需要主管盯着节点、偶尔提醒进度，或者在跑偏时帮着拽回来。</t>
        </is>
      </c>
    </row>
    <row r="4">
      <c r="A4" t="inlineStr">
        <is>
          <t>D.费心费力：必须主管手把手教、盯着改，占用了主管大量的精力和时间。</t>
        </is>
      </c>
    </row>
    <row r="5">
      <c r="A5" t="inlineStr">
        <is>
          <t>E.严重负担：教了也不会或者把事儿做乱了，最后往往需要主管亲自上手收拾残局。</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A.全局视野：了解上下游，能站在全业务链条考虑问题。</t>
        </is>
      </c>
    </row>
    <row r="2">
      <c r="A2" t="inlineStr">
        <is>
          <t>B.清楚岗位：对自己岗位的活儿很门清，略知上下游。</t>
        </is>
      </c>
    </row>
    <row r="3">
      <c r="A3" t="inlineStr">
        <is>
          <t>C.只知其一：只知道自己怎么操作，不知道为什么要这么做。</t>
        </is>
      </c>
    </row>
    <row r="4">
      <c r="A4" t="inlineStr">
        <is>
          <t>D.一问三不知：对业务实际情况模糊不清，经常出错。</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A.攻坚克难：会想尽一切办法钻研，直至彻底解决。</t>
        </is>
      </c>
    </row>
    <row r="2">
      <c r="A2" t="inlineStr">
        <is>
          <t>B.尽力而为：能解决大部分问题，解决不了的会及时求助。</t>
        </is>
      </c>
    </row>
    <row r="3">
      <c r="A3" t="inlineStr">
        <is>
          <t>C.容易放弃：尝试一下发现不行，就停在那等着主管给方案。</t>
        </is>
      </c>
    </row>
    <row r="4">
      <c r="A4" t="inlineStr">
        <is>
          <t>D.绕着走：刻意回避难题，把麻烦推给别人。</t>
        </is>
      </c>
    </row>
    <row r="5">
      <c r="A5" t="inlineStr">
        <is>
          <t>E.过去一年未曾安排其执行过较难的收尾工作。</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A.模范标兵：严于律己，从未在琐事上让主管费心。</t>
        </is>
      </c>
    </row>
    <row r="2">
      <c r="A2" t="inlineStr">
        <is>
          <t>B.基本合规：偶尔迟到或忘打卡，提醒后能迅速改正。</t>
        </is>
      </c>
    </row>
    <row r="3">
      <c r="A3" t="inlineStr">
        <is>
          <t>C.散漫随意：纪律意识淡薄，经常在小事上违规。</t>
        </is>
      </c>
    </row>
    <row r="4">
      <c r="A4" t="inlineStr">
        <is>
          <t>D.屡教不改：多次违反红线，是管理上的刺头。</t>
        </is>
      </c>
    </row>
    <row r="5">
      <c r="A5" t="inlineStr">
        <is>
          <t>E.该员工未建立可以书面追溯的考勤体系。</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A.持续优化：经常提出改进流程、提升效率的实用建议</t>
        </is>
      </c>
    </row>
    <row r="2">
      <c r="A2" t="inlineStr">
        <is>
          <t>B.偶尔思考：在主管启发下，能提出一些优化想法</t>
        </is>
      </c>
    </row>
    <row r="3">
      <c r="A3" t="inlineStr">
        <is>
          <t xml:space="preserve">C.照章办事：给多少干多少，完全按老规矩来，从不思考变革 </t>
        </is>
      </c>
    </row>
    <row r="4">
      <c r="A4" t="inlineStr">
        <is>
          <t>D.机械执行：甚至连老规矩都执行不到位，更谈不上优化</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A.推进力极强：能搞定不同性格的人，让对方配合。</t>
        </is>
      </c>
    </row>
    <row r="2">
      <c r="A2" t="inlineStr">
        <is>
          <t>B.正常沟通：能清晰表达需求，维持基本的协作。</t>
        </is>
      </c>
    </row>
    <row r="3">
      <c r="A3" t="inlineStr">
        <is>
          <t>C.沟通被动：你不催他不去，去了也带不回明确结果。</t>
        </is>
      </c>
    </row>
    <row r="4">
      <c r="A4" t="inlineStr">
        <is>
          <t>D.部门公敌：沟通态度或方式有问题，容易引起跨部门投诉。</t>
        </is>
      </c>
    </row>
    <row r="5">
      <c r="A5" t="inlineStr">
        <is>
          <t>E.过去一年该员工不存在跨部门工作事宜。</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A.完美闭环：进展、难点、结果都会主动汇报，无需催促。</t>
        </is>
      </c>
    </row>
    <row r="2">
      <c r="A2" t="inlineStr">
        <is>
          <t>B.有问有答：问到时能说清楚进度，基本能做到及时反馈。</t>
        </is>
      </c>
    </row>
    <row r="3">
      <c r="A3" t="inlineStr">
        <is>
          <t>C.偶尔断片：答应得好好的，但中间不反馈，非得主管去追。</t>
        </is>
      </c>
    </row>
    <row r="4">
      <c r="A4" t="inlineStr">
        <is>
          <t>D.泥牛入海：说完了没动静，最后得主管自己去查才知道没做。</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A.动力源：像小太阳，主动分享、帮人解惑，带活团队。</t>
        </is>
      </c>
    </row>
    <row r="2">
      <c r="A2" t="inlineStr">
        <is>
          <t>B.稳定器：做好自己，不给团队添乱，是可靠的一员。</t>
        </is>
      </c>
    </row>
    <row r="3">
      <c r="A3" t="inlineStr">
        <is>
          <t>C.旁观者：不关心团队，只关心自己的工作。</t>
        </is>
      </c>
    </row>
    <row r="4">
      <c r="A4" t="inlineStr">
        <is>
          <t>D.负能量源：爱传播负面情绪，影响团队士气。</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A.整合高手：能迅速找到能帮上忙的人和资源，借力打力解决问题。</t>
        </is>
      </c>
    </row>
    <row r="2">
      <c r="A2" t="inlineStr">
        <is>
          <t>B.懂得求助：在尝试后会及时向主管或同事反馈，寻求资源支持。</t>
        </is>
      </c>
    </row>
    <row r="3">
      <c r="A3" t="inlineStr">
        <is>
          <t>C.闷头苦干：效率极低也不求助，最后事情耽误在手里。</t>
        </is>
      </c>
    </row>
    <row r="4">
      <c r="A4" t="inlineStr">
        <is>
          <t>D.乱找一通：没头苍蝇一样到处问，反而干扰了别人的工作。</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 主动揽活：只要对团队有利，先接过来干了再说。</t>
        </is>
      </c>
    </row>
    <row r="2">
      <c r="A2" t="inlineStr">
        <is>
          <t>B. 配合接受：主管安排了就干，不推辞。</t>
        </is>
      </c>
    </row>
    <row r="3">
      <c r="A3" t="inlineStr">
        <is>
          <t>C. 守好地盘：只管自己那一块，多一点都不想碰。</t>
        </is>
      </c>
    </row>
    <row r="4">
      <c r="A4" t="inlineStr">
        <is>
          <t>D. 明确推诿：常以“这不在我职责内”为由拒绝协作。</t>
        </is>
      </c>
    </row>
    <row r="5">
      <c r="A5" t="inlineStr">
        <is>
          <t>E. 负面抵触：不仅不干，还散布负面情绪，认为额外安排是在针对自己。</t>
        </is>
      </c>
    </row>
    <row r="6">
      <c r="A6" t="inlineStr">
        <is>
          <t>F.过去一年未安排过边缘性质任务。</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A.越战越勇：能扛住压力，保持冷静，高效处理紧急事务。</t>
        </is>
      </c>
    </row>
    <row r="2">
      <c r="A2" t="inlineStr">
        <is>
          <t>B.配合度高：虽然有压力，但能服从大局，咬牙顶上去，且质量尚可。</t>
        </is>
      </c>
    </row>
    <row r="3">
      <c r="A3" t="inlineStr">
        <is>
          <t>C.较为配合：不抱怨，但压力较大时，工作质量会随之下滑。</t>
        </is>
      </c>
    </row>
    <row r="4">
      <c r="A4" t="inlineStr">
        <is>
          <t>D.情绪波动：压力大时容易抱怨或发牢骚，甚至影响他人。</t>
        </is>
      </c>
    </row>
    <row r="5">
      <c r="A5" t="inlineStr">
        <is>
          <t>E.直接掉链子：压力稍大就申请休假、逃避或工作完全失控。</t>
        </is>
      </c>
    </row>
    <row r="6">
      <c r="A6" t="inlineStr">
        <is>
          <t>F.过去一年没有过这种连轴转等情况</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A.虚心求教：能听进去，并积极探讨更科学的方法。</t>
        </is>
      </c>
    </row>
    <row r="2">
      <c r="A2" t="inlineStr">
        <is>
          <t>B.照单全收：态度很好，虽然不一定完全理解，但会按要求改。</t>
        </is>
      </c>
    </row>
    <row r="3">
      <c r="A3" t="inlineStr">
        <is>
          <t>C.自我辩解：第一反应是找借口证明自己没错。</t>
        </is>
      </c>
    </row>
    <row r="4">
      <c r="A4" t="inlineStr">
        <is>
          <t>D.表面服从：嘴上说好，心里不服，实际行动上依然故我。</t>
        </is>
      </c>
    </row>
    <row r="5">
      <c r="A5" t="inlineStr">
        <is>
          <t>E.过去一年没有和其沟通过类似问题。</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A.极速掌握：自学能力极强，很快就能成为该领域的“百晓生”。</t>
        </is>
      </c>
    </row>
    <row r="2">
      <c r="A2" t="inlineStr">
        <is>
          <t>B.正常上手：经过简单培训或指导，能很快投入应用。</t>
        </is>
      </c>
    </row>
    <row r="3">
      <c r="A3" t="inlineStr">
        <is>
          <t>C.慢工细活：需要反复教，掌握过程比较吃力。</t>
        </is>
      </c>
    </row>
    <row r="4">
      <c r="A4" t="inlineStr">
        <is>
          <t>D.拒绝更新：习惯待在舒适区，对新事物有抵触心理。</t>
        </is>
      </c>
    </row>
    <row r="5">
      <c r="A5" t="inlineStr">
        <is>
          <t>E.过去一年没有安排其新的工作安排。</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A.总结达人：能把复杂工作写成标准 SOP，让新手直接用。</t>
        </is>
      </c>
    </row>
    <row r="2">
      <c r="A2" t="inlineStr">
        <is>
          <t>B.愿意传帮带：平时爱分享避坑指南，能带徒弟。</t>
        </is>
      </c>
    </row>
    <row r="3">
      <c r="A3" t="inlineStr">
        <is>
          <t>C.技能私有：自己干得好也愿意分享，但是不会总结或讲不出来。</t>
        </is>
      </c>
    </row>
    <row r="4">
      <c r="A4" t="inlineStr">
        <is>
          <t>D.无经验可谈：入职这么久，还没总结出自己的工作门道。</t>
        </is>
      </c>
    </row>
    <row r="5">
      <c r="A5" t="inlineStr">
        <is>
          <t>E.拒绝分享：确存在工作经验，但不愿意撰写总结文档或抵触与人分享。</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A.第一梯队（Top 10%）：部门的标杆。</t>
        </is>
      </c>
    </row>
    <row r="2">
      <c r="A2" t="inlineStr">
        <is>
          <t>B.中上水平：高于平均线，是团队的中流砥柱。</t>
        </is>
      </c>
    </row>
    <row r="3">
      <c r="A3" t="inlineStr">
        <is>
          <t>C.中规中矩：刚好达标，替代性较强。</t>
        </is>
      </c>
    </row>
    <row r="4">
      <c r="A4" t="inlineStr">
        <is>
          <t>D.亟待提升：明显低于平均水平，拖了部门后腿。</t>
        </is>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A.核心管理/专家：具备成为部门负责人或顶尖专家的潜质。</t>
        </is>
      </c>
    </row>
    <row r="2">
      <c r="A2" t="inlineStr">
        <is>
          <t>B.业务骨干：是团队不可或缺的腰部力量。</t>
        </is>
      </c>
    </row>
    <row r="3">
      <c r="A3" t="inlineStr">
        <is>
          <t>C.熟练工：能胜任重复性工作，但很难承担更高阶的挑战。</t>
        </is>
      </c>
    </row>
    <row r="4">
      <c r="A4" t="inlineStr">
        <is>
          <t>D.边缘化：目前水平已是上限，甚至有退步迹象。</t>
        </is>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A.晴天霹雳：极其遗憾，会不惜代价挽留，他是部门的支柱。</t>
        </is>
      </c>
    </row>
    <row r="2">
      <c r="A2" t="inlineStr">
        <is>
          <t>B.有点可惜：是个好手，需要费心再找一个相同水准的。</t>
        </is>
      </c>
    </row>
    <row r="3">
      <c r="A3" t="inlineStr">
        <is>
          <t>C.正常更替：走就走吧，招个新人培养一下也没什么区别。</t>
        </is>
      </c>
    </row>
    <row r="4">
      <c r="A4" t="inlineStr">
        <is>
          <t>D.有点影响：目前人员缺失，正好符合这个领域，没人用，有比没有好</t>
        </is>
      </c>
    </row>
    <row r="5">
      <c r="A5" t="inlineStr">
        <is>
          <t>E.如释重负：终于走了，刚好腾出名额招个更靠谱的人。</t>
        </is>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1档</t>
        </is>
      </c>
    </row>
    <row r="2">
      <c r="A2" t="inlineStr">
        <is>
          <t>2档</t>
        </is>
      </c>
    </row>
    <row r="3">
      <c r="A3" t="inlineStr">
        <is>
          <t>3档</t>
        </is>
      </c>
    </row>
    <row r="4">
      <c r="A4" t="inlineStr">
        <is>
          <t>4档</t>
        </is>
      </c>
    </row>
    <row r="5">
      <c r="A5" t="inlineStr">
        <is>
          <t>5档</t>
        </is>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A.需要存在，不可去除</t>
        </is>
      </c>
    </row>
    <row r="2">
      <c r="A2" t="inlineStr">
        <is>
          <t>B.存不存在均可</t>
        </is>
      </c>
    </row>
    <row r="3">
      <c r="A3" t="inlineStr">
        <is>
          <t>C.建议与其他岗位合并</t>
        </is>
      </c>
    </row>
    <row r="4">
      <c r="A4" t="inlineStr">
        <is>
          <t>D.直接去掉，完全没有存在的必要性</t>
        </is>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S</t>
        </is>
      </c>
    </row>
    <row r="2">
      <c r="A2" t="inlineStr">
        <is>
          <t>A</t>
        </is>
      </c>
    </row>
    <row r="3">
      <c r="A3" t="inlineStr">
        <is>
          <t>B</t>
        </is>
      </c>
    </row>
    <row r="4">
      <c r="A4" t="inlineStr">
        <is>
          <t>C</t>
        </is>
      </c>
    </row>
    <row r="5">
      <c r="A5" t="inlineStr">
        <is>
          <t>D</t>
        </is>
      </c>
    </row>
    <row r="6">
      <c r="A6" t="inlineStr">
        <is>
          <t>E</t>
        </is>
      </c>
    </row>
    <row r="7">
      <c r="A7" t="inlineStr">
        <is>
          <t>F</t>
        </is>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defaultColWidth="8.43" defaultRowHeight="15"/>
  <sheetData>
    <row r="1">
      <c r="A1" t="inlineStr">
        <is>
          <t>是</t>
        </is>
      </c>
    </row>
    <row r="2">
      <c r="A2" t="inlineStr">
        <is>
          <t>否</t>
        </is>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2026-05-27T00:24:16Z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2.7.4</vt:lpwstr>
  </q1:property>
</q1:Properties>
</file>