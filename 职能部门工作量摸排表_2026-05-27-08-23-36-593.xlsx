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heet1" sheetId="1" r:id="rId3"/>
    <sheet name="Hidden_Options_15" sheetId="2" state="veryHidden" r:id="rId4"/>
    <sheet name="Hidden_Options_16" sheetId="3" state="veryHidden" r:id="rId5"/>
    <sheet name="Hidden_Options_17" sheetId="4" state="veryHidden" r:id="rId6"/>
    <sheet name="Hidden_Options_18" sheetId="5" state="veryHidden" r:id="rId7"/>
    <sheet name="Hidden_Options_19" sheetId="6" state="veryHidden" r:id="rId8"/>
    <sheet name="Hidden_Options_20" sheetId="7" state="veryHidden" r:id="rId9"/>
    <sheet name="Hidden_Options_21" sheetId="8" state="veryHidden" r:id="rId10"/>
    <sheet name="Hidden_Options_22" sheetId="9" state="veryHidden" r:id="rId11"/>
    <sheet name="Hidden_Options_23" sheetId="10" state="veryHidden" r:id="rId12"/>
    <sheet name="Hidden_Options_28" sheetId="11" state="veryHidden" r:id="rId13"/>
    <sheet name="Hidden_Options_32" sheetId="12" state="veryHidden" r:id="rId14"/>
    <sheet name="Hidden_Options_33" sheetId="13" state="veryHidden" r:id="rId15"/>
    <sheet name="Hidden_Options_57" sheetId="14" state="veryHidden" r:id="rId16"/>
    <sheet name="Hidden_Options_74" sheetId="15" state="veryHidden" r:id="rId17"/>
    <sheet name="Hidden_Options_77" sheetId="16" state="veryHidden" r:id="rId18"/>
    <sheet name="Hidden_Options_85" sheetId="17" state="veryHidden" r:id="rId19"/>
    <sheet name="Hidden_Options_86" sheetId="18" state="veryHidden" r:id="rId20"/>
    <sheet name="Hidden_Options_87" sheetId="19" state="veryHidden" r:id="rId21"/>
    <sheet name="Hidden_Options_88" sheetId="20" state="veryHidden" r:id="rId22"/>
    <sheet name="Hidden_Options_89" sheetId="21" state="veryHidden" r:id="rId23"/>
    <sheet name="Hidden_Options_95" sheetId="22" state="veryHidden" r:id="rId24"/>
    <sheet name="Hidden_Options_98" sheetId="23" state="veryHidden" r:id="rId25"/>
    <sheet name="Hidden_Options_106" sheetId="24" state="veryHidden" r:id="rId26"/>
    <sheet name="Hidden_Options_107" sheetId="25" state="veryHidden" r:id="rId27"/>
    <sheet name="Hidden_Options_108" sheetId="26" state="veryHidden" r:id="rId28"/>
    <sheet name="Hidden_Options_109" sheetId="27" state="veryHidden" r:id="rId29"/>
    <sheet name="Hidden_Options_110" sheetId="28" state="veryHidden" r:id="rId30"/>
    <sheet name="Hidden_Options_116" sheetId="29" state="veryHidden" r:id="rId31"/>
    <sheet name="Hidden_Options_119" sheetId="30" state="veryHidden" r:id="rId32"/>
    <sheet name="Hidden_Options_127" sheetId="31" state="veryHidden" r:id="rId33"/>
    <sheet name="Hidden_Options_128" sheetId="32" state="veryHidden" r:id="rId34"/>
    <sheet name="Hidden_Options_129" sheetId="33" state="veryHidden" r:id="rId35"/>
    <sheet name="Hidden_Options_130" sheetId="34" state="veryHidden" r:id="rId36"/>
    <sheet name="Hidden_Options_131" sheetId="35" state="veryHidden" r:id="rId37"/>
    <sheet name="Hidden_Options_137" sheetId="36" state="veryHidden" r:id="rId38"/>
    <sheet name="Hidden_Options_139" sheetId="37" state="veryHidden" r:id="rId39"/>
    <sheet name="Hidden_Options_147" sheetId="38" state="veryHidden" r:id="rId40"/>
    <sheet name="Hidden_Options_148" sheetId="39" state="veryHidden" r:id="rId41"/>
    <sheet name="Hidden_Options_149" sheetId="40" state="veryHidden" r:id="rId42"/>
    <sheet name="Hidden_Options_150" sheetId="41" state="veryHidden" r:id="rId43"/>
    <sheet name="Hidden_Options_151" sheetId="42" state="veryHidden" r:id="rId44"/>
    <sheet name="Hidden_Options_157" sheetId="43" state="veryHidden" r:id="rId45"/>
    <sheet name="Hidden_Options_161" sheetId="44" state="veryHidden" r:id="rId46"/>
    <sheet name="Hidden_Options_173" sheetId="45" state="veryHidden" r:id="rId47"/>
    <sheet name="Hidden_Options_174" sheetId="46" state="veryHidden" r:id="rId48"/>
    <sheet name="Hidden_Options_175" sheetId="47" state="veryHidden" r:id="rId49"/>
    <sheet name="Hidden_Options_176" sheetId="48" state="veryHidden" r:id="rId50"/>
    <sheet name="Hidden_Options_177" sheetId="49" state="veryHidden" r:id="rId51"/>
  </sheets>
  <definedNames>
    <definedName name="StatusOptions_15"><![CDATA[Hidden_Options_15!$A$1:$A$3]]></definedName>
    <definedName name="StatusOptions_16"><![CDATA[Hidden_Options_16!$A$1:$A$4]]></definedName>
    <definedName name="StatusOptions_17"><![CDATA[Hidden_Options_17!$A$1:$A$3]]></definedName>
    <definedName name="StatusOptions_18"><![CDATA[Hidden_Options_18!$A$1:$A$5]]></definedName>
    <definedName name="StatusOptions_19"><![CDATA[Hidden_Options_19!$A$1:$A$5]]></definedName>
    <definedName name="StatusOptions_20"><![CDATA[Hidden_Options_20!$A$1:$A$6]]></definedName>
    <definedName name="StatusOptions_21"><![CDATA[Hidden_Options_21!$A$1:$A$4]]></definedName>
    <definedName name="StatusOptions_22"><![CDATA[Hidden_Options_22!$A$1:$A$8]]></definedName>
    <definedName name="StatusOptions_23"><![CDATA[Hidden_Options_23!$A$1:$A$5]]></definedName>
    <definedName name="StatusOptions_28"><![CDATA[Hidden_Options_28!$A$1:$A$4]]></definedName>
    <definedName name="StatusOptions_32"><![CDATA[Hidden_Options_32!$A$1:$A$5]]></definedName>
    <definedName name="StatusOptions_33"><![CDATA[Hidden_Options_33!$A$1:$A$4]]></definedName>
    <definedName name="StatusOptions_57"><![CDATA[Hidden_Options_57!$A$1:$A$4]]></definedName>
    <definedName name="StatusOptions_74"><![CDATA[Hidden_Options_74!$A$1:$A$4]]></definedName>
    <definedName name="StatusOptions_77"><![CDATA[Hidden_Options_77!$A$1:$A$5]]></definedName>
    <definedName name="StatusOptions_85"><![CDATA[Hidden_Options_85!$A$1:$A$5]]></definedName>
    <definedName name="StatusOptions_86"><![CDATA[Hidden_Options_86!$A$1:$A$4]]></definedName>
    <definedName name="StatusOptions_87"><![CDATA[Hidden_Options_87!$A$1:$A$3]]></definedName>
    <definedName name="StatusOptions_88"><![CDATA[Hidden_Options_88!$A$1:$A$4]]></definedName>
    <definedName name="StatusOptions_89"><![CDATA[Hidden_Options_89!$A$1:$A$4]]></definedName>
    <definedName name="StatusOptions_95"><![CDATA[Hidden_Options_95!$A$1:$A$4]]></definedName>
    <definedName name="StatusOptions_98"><![CDATA[Hidden_Options_98!$A$1:$A$5]]></definedName>
    <definedName name="StatusOptions_106"><![CDATA[Hidden_Options_106!$A$1:$A$5]]></definedName>
    <definedName name="StatusOptions_107"><![CDATA[Hidden_Options_107!$A$1:$A$4]]></definedName>
    <definedName name="StatusOptions_108"><![CDATA[Hidden_Options_108!$A$1:$A$3]]></definedName>
    <definedName name="StatusOptions_109"><![CDATA[Hidden_Options_109!$A$1:$A$4]]></definedName>
    <definedName name="StatusOptions_110"><![CDATA[Hidden_Options_110!$A$1:$A$4]]></definedName>
    <definedName name="StatusOptions_116"><![CDATA[Hidden_Options_116!$A$1:$A$4]]></definedName>
    <definedName name="StatusOptions_119"><![CDATA[Hidden_Options_119!$A$1:$A$5]]></definedName>
    <definedName name="StatusOptions_127"><![CDATA[Hidden_Options_127!$A$1:$A$5]]></definedName>
    <definedName name="StatusOptions_128"><![CDATA[Hidden_Options_128!$A$1:$A$4]]></definedName>
    <definedName name="StatusOptions_129"><![CDATA[Hidden_Options_129!$A$1:$A$3]]></definedName>
    <definedName name="StatusOptions_130"><![CDATA[Hidden_Options_130!$A$1:$A$4]]></definedName>
    <definedName name="StatusOptions_131"><![CDATA[Hidden_Options_131!$A$1:$A$4]]></definedName>
    <definedName name="StatusOptions_137"><![CDATA[Hidden_Options_137!$A$1:$A$3]]></definedName>
    <definedName name="StatusOptions_139"><![CDATA[Hidden_Options_139!$A$1:$A$5]]></definedName>
    <definedName name="StatusOptions_147"><![CDATA[Hidden_Options_147!$A$1:$A$5]]></definedName>
    <definedName name="StatusOptions_148"><![CDATA[Hidden_Options_148!$A$1:$A$4]]></definedName>
    <definedName name="StatusOptions_149"><![CDATA[Hidden_Options_149!$A$1:$A$3]]></definedName>
    <definedName name="StatusOptions_150"><![CDATA[Hidden_Options_150!$A$1:$A$4]]></definedName>
    <definedName name="StatusOptions_151"><![CDATA[Hidden_Options_151!$A$1:$A$4]]></definedName>
    <definedName name="StatusOptions_157"><![CDATA[Hidden_Options_157!$A$1:$A$7]]></definedName>
    <definedName name="StatusOptions_161"><![CDATA[Hidden_Options_161!$A$1:$A$5]]></definedName>
    <definedName name="StatusOptions_173"><![CDATA[Hidden_Options_173!$A$1:$A$5]]></definedName>
    <definedName name="StatusOptions_174"><![CDATA[Hidden_Options_174!$A$1:$A$4]]></definedName>
    <definedName name="StatusOptions_175"><![CDATA[Hidden_Options_175!$A$1:$A$3]]></definedName>
    <definedName name="StatusOptions_176"><![CDATA[Hidden_Options_176!$A$1:$A$4]]></definedName>
    <definedName name="StatusOptions_177"><![CDATA[Hidden_Options_177!$A$1:$A$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b/>
      <sz val="14"/>
      <color indexed="9"/>
      <name val="Calibri"/>
    </font>
    <font>
      <b/>
      <sz val="14"/>
      <color indexed="9"/>
      <name val="Calibri"/>
    </font>
    <font>
      <u val="single"/>
      <sz val="11"/>
      <color indexed="12"/>
      <name val="Calibri"/>
    </font>
  </fonts>
  <fills count="8">
    <fill>
      <patternFill patternType="none"/>
    </fill>
    <fill>
      <patternFill patternType="darkGray"/>
    </fill>
    <fill>
      <patternFill patternType="none">
        <fgColor rgb="107FFF"/>
      </patternFill>
    </fill>
    <fill>
      <patternFill patternType="solid">
        <fgColor rgb="107FFF"/>
      </patternFill>
    </fill>
    <fill>
      <patternFill patternType="none">
        <fgColor indexed="10"/>
      </patternFill>
    </fill>
    <fill>
      <patternFill patternType="solid">
        <fgColor indexed="10"/>
      </patternFill>
    </fill>
    <fill>
      <patternFill patternType="none">
        <fgColor indexed="52"/>
      </patternFill>
    </fill>
    <fill>
      <patternFill patternType="solid">
        <fgColor indexed="52"/>
      </patternFill>
    </fill>
  </fills>
  <borders count="5">
    <border>
      <left/>
      <right/>
      <top/>
      <bottom/>
      <diagonal/>
    </border>
    <border>
      <left/>
      <right/>
      <top style="thin"/>
      <bottom/>
      <diagonal/>
    </border>
    <border>
      <left/>
      <right/>
      <top style="thin"/>
      <bottom style="thin"/>
      <diagonal/>
    </border>
    <border>
      <left style="thin"/>
      <right/>
      <top style="thin"/>
      <bottom style="thin"/>
      <diagonal/>
    </border>
    <border>
      <left style="thin"/>
      <right style="thin"/>
      <top style="thin"/>
      <bottom style="thin"/>
      <diagonal/>
    </border>
  </borders>
  <cellStyleXfs count="1">
    <xf numFmtId="0" fontId="0" fillId="0" borderId="0"/>
  </cellStyleXfs>
  <cellXfs count="8">
    <xf numFmtId="0" fontId="0" fillId="0" borderId="0" xfId="0"/>
    <xf numFmtId="0" fontId="1" fillId="3" borderId="4" xfId="0" applyFont="1" applyFill="1" applyBorder="1">
      <alignment horizontal="left" vertical="center" wrapText="1"/>
    </xf>
    <xf numFmtId="0" fontId="0" fillId="0" borderId="4" xfId="0" applyBorder="1">
      <alignment horizontal="left" vertical="center" wrapText="1"/>
    </xf>
    <xf numFmtId="0" fontId="0" fillId="0" borderId="4" xfId="0" applyBorder="1">
      <alignment horizontal="right" vertical="center" wrapText="1"/>
    </xf>
    <xf numFmtId="0" fontId="0" fillId="5" borderId="4" xfId="0" applyFill="1" applyBorder="1">
      <alignment horizontal="left" vertical="center" wrapText="1"/>
    </xf>
    <xf numFmtId="0" fontId="2" fillId="7" borderId="4" xfId="0" applyFont="1" applyFill="1" applyBorder="1">
      <alignment horizontal="left" vertical="center" wrapText="1"/>
    </xf>
    <xf numFmtId="0" fontId="3" fillId="0" borderId="0" xfId="0" applyFont="1">
      <alignment wrapText="1"/>
    </xf>
    <xf numFmtId="2" fontId="0" fillId="0" borderId="4" xfId="0" applyNumberFormat="1" applyBorder="1">
      <alignment horizontal="righ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8.43" defaultRowHeight="15"/>
  <cols>
    <col min="1" max="179" width="30" customWidth="1"/>
  </cols>
  <sheetData>
    <row r="1" hidden="1">
      <c r="A1" s="2" t="inlineStr">
        <is>
          <t>CreatedTime</t>
        </is>
      </c>
      <c r="B1" s="2" t="inlineStr">
        <is>
          <t>F0000001</t>
        </is>
      </c>
      <c r="C1" s="2" t="inlineStr">
        <is>
          <t>F0000002</t>
        </is>
      </c>
      <c r="D1" s="2" t="inlineStr">
        <is>
          <t>F0000003</t>
        </is>
      </c>
      <c r="E1" s="2" t="inlineStr">
        <is>
          <t>F0000004</t>
        </is>
      </c>
      <c r="F1" s="2" t="inlineStr">
        <is>
          <t>F0000008</t>
        </is>
      </c>
      <c r="G1" s="2" t="inlineStr">
        <is>
          <t>F0000009</t>
        </is>
      </c>
      <c r="H1" s="2" t="inlineStr">
        <is>
          <t>F0000005</t>
        </is>
      </c>
      <c r="I1" s="2" t="inlineStr">
        <is>
          <t>F0000006</t>
        </is>
      </c>
      <c r="J1" s="2" t="inlineStr">
        <is>
          <t>F0000007</t>
        </is>
      </c>
      <c r="K1" s="2" t="inlineStr">
        <is>
          <t>F0000045</t>
        </is>
      </c>
      <c r="L1" s="2" t="inlineStr">
        <is>
          <t>F0000046</t>
        </is>
      </c>
      <c r="M1" s="2" t="inlineStr">
        <is>
          <t>F0000047</t>
        </is>
      </c>
      <c r="N1" s="2" t="inlineStr">
        <is>
          <t>F0000061</t>
        </is>
      </c>
      <c r="O1" s="2" t="inlineStr">
        <is>
          <t>F0000064</t>
        </is>
      </c>
      <c r="P1" s="2" t="inlineStr">
        <is>
          <t>F0000065</t>
        </is>
      </c>
      <c r="Q1" s="2" t="inlineStr">
        <is>
          <t>F0000066</t>
        </is>
      </c>
      <c r="R1" s="2" t="inlineStr">
        <is>
          <t>F0000069</t>
        </is>
      </c>
      <c r="S1" s="2" t="inlineStr">
        <is>
          <t>F0000091</t>
        </is>
      </c>
      <c r="T1" s="2" t="inlineStr">
        <is>
          <t>F0000092</t>
        </is>
      </c>
      <c r="U1" s="2" t="inlineStr">
        <is>
          <t>F0000093</t>
        </is>
      </c>
      <c r="V1" s="2" t="inlineStr">
        <is>
          <t>F0000094</t>
        </is>
      </c>
      <c r="W1" s="2" t="inlineStr">
        <is>
          <t>F0000095</t>
        </is>
      </c>
      <c r="X1" s="2" t="inlineStr">
        <is>
          <t>F0000103</t>
        </is>
      </c>
      <c r="Y1" s="2" t="inlineStr">
        <is>
          <t>F0000104</t>
        </is>
      </c>
      <c r="Z1" s="2" t="inlineStr">
        <is>
          <t>F0000105</t>
        </is>
      </c>
      <c r="AA1" s="2" t="inlineStr">
        <is>
          <t>F0000106</t>
        </is>
      </c>
      <c r="AB1" s="2" t="inlineStr">
        <is>
          <t>F0000107</t>
        </is>
      </c>
      <c r="AC1" s="2" t="inlineStr">
        <is>
          <t>F0000108</t>
        </is>
      </c>
      <c r="AD1" s="2" t="inlineStr">
        <is>
          <t>F0000109</t>
        </is>
      </c>
      <c r="AE1" s="2" t="inlineStr">
        <is>
          <t>F0000163</t>
        </is>
      </c>
      <c r="AF1" s="2" t="inlineStr">
        <is>
          <t>F0000162</t>
        </is>
      </c>
      <c r="AG1" s="2" t="inlineStr">
        <is>
          <t>F0000164</t>
        </is>
      </c>
      <c r="AH1" s="2" t="inlineStr">
        <is>
          <t>F0000165</t>
        </is>
      </c>
      <c r="AI1" s="2" t="inlineStr">
        <is>
          <t>F0000177</t>
        </is>
      </c>
      <c r="AJ1" s="2" t="inlineStr">
        <is>
          <t>F0000178</t>
        </is>
      </c>
      <c r="AK1" s="2" t="inlineStr">
        <is>
          <t>F0000185</t>
        </is>
      </c>
      <c r="AL1" s="2" t="inlineStr">
        <is>
          <t>F0000186</t>
        </is>
      </c>
      <c r="AM1" s="2" t="inlineStr">
        <is>
          <t>F0000193</t>
        </is>
      </c>
      <c r="AN1" s="2" t="inlineStr">
        <is>
          <t>F0000194</t>
        </is>
      </c>
      <c r="AO1" s="2" t="inlineStr">
        <is>
          <t>F0000200</t>
        </is>
      </c>
      <c r="AP1" s="2" t="inlineStr">
        <is>
          <t>F0000201</t>
        </is>
      </c>
      <c r="AQ1" s="2" t="inlineStr">
        <is>
          <t>F0000213</t>
        </is>
      </c>
      <c r="AR1" s="2" t="inlineStr">
        <is>
          <t>F0000214</t>
        </is>
      </c>
      <c r="AS1" s="2" t="inlineStr">
        <is>
          <t>F0000215</t>
        </is>
      </c>
      <c r="AT1" s="2" t="inlineStr">
        <is>
          <t>F0000216</t>
        </is>
      </c>
      <c r="AU1" s="2" t="inlineStr">
        <is>
          <t>F0000217</t>
        </is>
      </c>
      <c r="AV1" s="2" t="inlineStr">
        <is>
          <t>F0000218</t>
        </is>
      </c>
      <c r="AW1" s="2" t="inlineStr">
        <is>
          <t>F0000219</t>
        </is>
      </c>
      <c r="AX1" s="2" t="inlineStr">
        <is>
          <t>ObjectId</t>
        </is>
      </c>
      <c r="AY1" s="2" t="inlineStr">
        <is>
          <t>Name</t>
        </is>
      </c>
      <c r="AZ1" s="2" t="inlineStr">
        <is>
          <t>CreatedBy</t>
        </is>
      </c>
      <c r="BA1" s="2" t="inlineStr">
        <is>
          <t>OwnerId</t>
        </is>
      </c>
      <c r="BB1" s="2" t="inlineStr">
        <is>
          <t>OwnerDeptId</t>
        </is>
      </c>
      <c r="BC1" s="2" t="inlineStr">
        <is>
          <t>ModifiedTime</t>
        </is>
      </c>
      <c r="BD1" s="2" t="inlineStr">
        <is>
          <t>F0000155</t>
        </is>
      </c>
      <c r="BE1" s="2" t="inlineStr">
        <is>
          <t>F0000156</t>
        </is>
      </c>
      <c r="BF1" s="2" t="inlineStr">
        <is>
          <t>F0000068</t>
        </is>
      </c>
      <c r="BG1" s="2" t="inlineStr">
        <is>
          <t>Status</t>
        </is>
      </c>
      <c r="BH1" s="2" t="inlineStr">
        <is>
          <t>D148357F9fa27556751140cb9a09ae9cea89ed2a.ObjectId</t>
        </is>
      </c>
      <c r="BI1" s="2" t="inlineStr">
        <is>
          <t>D148357F9fa27556751140cb9a09ae9cea89ed2a.ParentIndex</t>
        </is>
      </c>
      <c r="BJ1" s="2" t="inlineStr">
        <is>
          <t>D148357F9fa27556751140cb9a09ae9cea89ed2a.Name</t>
        </is>
      </c>
      <c r="BK1" s="2" t="inlineStr">
        <is>
          <t>D148357F9fa27556751140cb9a09ae9cea89ed2a.F0000044</t>
        </is>
      </c>
      <c r="BL1" s="2" t="inlineStr">
        <is>
          <t>D148357F9fa27556751140cb9a09ae9cea89ed2a.F0000043</t>
        </is>
      </c>
      <c r="BM1" s="2" t="inlineStr">
        <is>
          <t>D148357F9fa27556751140cb9a09ae9cea89ed2a.F0000037</t>
        </is>
      </c>
      <c r="BN1" s="2" t="inlineStr">
        <is>
          <t>D148357F9fa27556751140cb9a09ae9cea89ed2a.F0000042</t>
        </is>
      </c>
      <c r="BO1" s="2" t="inlineStr">
        <is>
          <t>D148357F9fa27556751140cb9a09ae9cea89ed2a.F0000041</t>
        </is>
      </c>
      <c r="BP1" s="2" t="inlineStr">
        <is>
          <t>D148357F9fa27556751140cb9a09ae9cea89ed2a.F0000040</t>
        </is>
      </c>
      <c r="BQ1" s="2" t="inlineStr">
        <is>
          <t>D148357F9fa27556751140cb9a09ae9cea89ed2a.F0000039</t>
        </is>
      </c>
      <c r="BR1" s="2" t="inlineStr">
        <is>
          <t>D148357F9fa27556751140cb9a09ae9cea89ed2a.F0000038</t>
        </is>
      </c>
      <c r="BS1" s="2" t="inlineStr">
        <is>
          <t>D148357F455fe7350e364d51b7f3db670b7f7f68.ObjectId</t>
        </is>
      </c>
      <c r="BT1" s="2" t="inlineStr">
        <is>
          <t>D148357F455fe7350e364d51b7f3db670b7f7f68.ParentIndex</t>
        </is>
      </c>
      <c r="BU1" s="2" t="inlineStr">
        <is>
          <t>D148357F455fe7350e364d51b7f3db670b7f7f68.Name</t>
        </is>
      </c>
      <c r="BV1" s="2" t="inlineStr">
        <is>
          <t>D148357F455fe7350e364d51b7f3db670b7f7f68.F0000097</t>
        </is>
      </c>
      <c r="BW1" s="2" t="inlineStr">
        <is>
          <t>D148357F455fe7350e364d51b7f3db670b7f7f68.F0000022</t>
        </is>
      </c>
      <c r="BX1" s="2" t="inlineStr">
        <is>
          <t>D148357F455fe7350e364d51b7f3db670b7f7f68.F0000172</t>
        </is>
      </c>
      <c r="BY1" s="2" t="inlineStr">
        <is>
          <t>D148357F455fe7350e364d51b7f3db670b7f7f68.F0000171</t>
        </is>
      </c>
      <c r="BZ1" s="2" t="inlineStr">
        <is>
          <t>D148357F455fe7350e364d51b7f3db670b7f7f68.F0000157</t>
        </is>
      </c>
      <c r="CA1" s="2" t="inlineStr">
        <is>
          <t>D148357F455fe7350e364d51b7f3db670b7f7f68.F0000173</t>
        </is>
      </c>
      <c r="CB1" s="2" t="inlineStr">
        <is>
          <t>D148357F455fe7350e364d51b7f3db670b7f7f68.F0000174</t>
        </is>
      </c>
      <c r="CC1" s="2" t="inlineStr">
        <is>
          <t>D148357F455fe7350e364d51b7f3db670b7f7f68.F0000175</t>
        </is>
      </c>
      <c r="CD1" s="2" t="inlineStr">
        <is>
          <t>D148357F455fe7350e364d51b7f3db670b7f7f68.F0000176</t>
        </is>
      </c>
      <c r="CE1" s="2" t="inlineStr">
        <is>
          <t>D148357F455fe7350e364d51b7f3db670b7f7f68.F0000062</t>
        </is>
      </c>
      <c r="CF1" s="2" t="inlineStr">
        <is>
          <t>D148357F455fe7350e364d51b7f3db670b7f7f68.F0000166</t>
        </is>
      </c>
      <c r="CG1" s="2" t="inlineStr">
        <is>
          <t>D148357F455fe7350e364d51b7f3db670b7f7f68.F0000063</t>
        </is>
      </c>
      <c r="CH1" s="2" t="inlineStr">
        <is>
          <t>D148357F455fe7350e364d51b7f3db670b7f7f68.F0000098</t>
        </is>
      </c>
      <c r="CI1" s="2" t="inlineStr">
        <is>
          <t>D148357F455fe7350e364d51b7f3db670b7f7f68.F0000099</t>
        </is>
      </c>
      <c r="CJ1" s="2" t="inlineStr">
        <is>
          <t>D148357F455fe7350e364d51b7f3db670b7f7f68.F0000100</t>
        </is>
      </c>
      <c r="CK1" s="2" t="inlineStr">
        <is>
          <t>D148357F455fe7350e364d51b7f3db670b7f7f68.F0000101</t>
        </is>
      </c>
      <c r="CL1" s="2" t="inlineStr">
        <is>
          <t>D148357F455fe7350e364d51b7f3db670b7f7f68.F0000102</t>
        </is>
      </c>
      <c r="CM1" s="2" t="inlineStr">
        <is>
          <t>D148357F455fe7350e364d51b7f3db670b7f7f68.F0000051</t>
        </is>
      </c>
      <c r="CN1" s="2" t="inlineStr">
        <is>
          <t>D148357db5fb5c93a3a45d09e0841feddb1ccba.ObjectId</t>
        </is>
      </c>
      <c r="CO1" s="2" t="inlineStr">
        <is>
          <t>D148357db5fb5c93a3a45d09e0841feddb1ccba.ParentIndex</t>
        </is>
      </c>
      <c r="CP1" s="2" t="inlineStr">
        <is>
          <t>D148357db5fb5c93a3a45d09e0841feddb1ccba.Name</t>
        </is>
      </c>
      <c r="CQ1" s="2" t="inlineStr">
        <is>
          <t>D148357db5fb5c93a3a45d09e0841feddb1ccba.F0000110</t>
        </is>
      </c>
      <c r="CR1" s="2" t="inlineStr">
        <is>
          <t>D148357db5fb5c93a3a45d09e0841feddb1ccba.F0000111</t>
        </is>
      </c>
      <c r="CS1" s="2" t="inlineStr">
        <is>
          <t>D148357db5fb5c93a3a45d09e0841feddb1ccba.F0000180</t>
        </is>
      </c>
      <c r="CT1" s="2" t="inlineStr">
        <is>
          <t>D148357db5fb5c93a3a45d09e0841feddb1ccba.F0000179</t>
        </is>
      </c>
      <c r="CU1" s="2" t="inlineStr">
        <is>
          <t>D148357db5fb5c93a3a45d09e0841feddb1ccba.F0000158</t>
        </is>
      </c>
      <c r="CV1" s="2" t="inlineStr">
        <is>
          <t>D148357db5fb5c93a3a45d09e0841feddb1ccba.F0000181</t>
        </is>
      </c>
      <c r="CW1" s="2" t="inlineStr">
        <is>
          <t>D148357db5fb5c93a3a45d09e0841feddb1ccba.F0000182</t>
        </is>
      </c>
      <c r="CX1" s="2" t="inlineStr">
        <is>
          <t>D148357db5fb5c93a3a45d09e0841feddb1ccba.F0000184</t>
        </is>
      </c>
      <c r="CY1" s="2" t="inlineStr">
        <is>
          <t>D148357db5fb5c93a3a45d09e0841feddb1ccba.F0000183</t>
        </is>
      </c>
      <c r="CZ1" s="2" t="inlineStr">
        <is>
          <t>D148357db5fb5c93a3a45d09e0841feddb1ccba.F0000113</t>
        </is>
      </c>
      <c r="DA1" s="2" t="inlineStr">
        <is>
          <t>D148357db5fb5c93a3a45d09e0841feddb1ccba.F0000167</t>
        </is>
      </c>
      <c r="DB1" s="2" t="inlineStr">
        <is>
          <t>D148357db5fb5c93a3a45d09e0841feddb1ccba.F0000114</t>
        </is>
      </c>
      <c r="DC1" s="2" t="inlineStr">
        <is>
          <t>D148357db5fb5c93a3a45d09e0841feddb1ccba.F0000115</t>
        </is>
      </c>
      <c r="DD1" s="2" t="inlineStr">
        <is>
          <t>D148357db5fb5c93a3a45d09e0841feddb1ccba.F0000116</t>
        </is>
      </c>
      <c r="DE1" s="2" t="inlineStr">
        <is>
          <t>D148357db5fb5c93a3a45d09e0841feddb1ccba.F0000117</t>
        </is>
      </c>
      <c r="DF1" s="2" t="inlineStr">
        <is>
          <t>D148357db5fb5c93a3a45d09e0841feddb1ccba.F0000118</t>
        </is>
      </c>
      <c r="DG1" s="2" t="inlineStr">
        <is>
          <t>D148357db5fb5c93a3a45d09e0841feddb1ccba.F0000119</t>
        </is>
      </c>
      <c r="DH1" s="2" t="inlineStr">
        <is>
          <t>D148357db5fb5c93a3a45d09e0841feddb1ccba.F0000120</t>
        </is>
      </c>
      <c r="DI1" s="2" t="inlineStr">
        <is>
          <t>D148357752b2e97aebd493d84cefc9b6fed1756.ObjectId</t>
        </is>
      </c>
      <c r="DJ1" s="2" t="inlineStr">
        <is>
          <t>D148357752b2e97aebd493d84cefc9b6fed1756.ParentIndex</t>
        </is>
      </c>
      <c r="DK1" s="2" t="inlineStr">
        <is>
          <t>D148357752b2e97aebd493d84cefc9b6fed1756.Name</t>
        </is>
      </c>
      <c r="DL1" s="2" t="inlineStr">
        <is>
          <t>D148357752b2e97aebd493d84cefc9b6fed1756.F0000121</t>
        </is>
      </c>
      <c r="DM1" s="2" t="inlineStr">
        <is>
          <t>D148357752b2e97aebd493d84cefc9b6fed1756.F0000122</t>
        </is>
      </c>
      <c r="DN1" s="2" t="inlineStr">
        <is>
          <t>D148357752b2e97aebd493d84cefc9b6fed1756.F0000188</t>
        </is>
      </c>
      <c r="DO1" s="2" t="inlineStr">
        <is>
          <t>D148357752b2e97aebd493d84cefc9b6fed1756.F0000187</t>
        </is>
      </c>
      <c r="DP1" s="2" t="inlineStr">
        <is>
          <t>D148357752b2e97aebd493d84cefc9b6fed1756.F0000159</t>
        </is>
      </c>
      <c r="DQ1" s="2" t="inlineStr">
        <is>
          <t>D148357752b2e97aebd493d84cefc9b6fed1756.F0000190</t>
        </is>
      </c>
      <c r="DR1" s="2" t="inlineStr">
        <is>
          <t>D148357752b2e97aebd493d84cefc9b6fed1756.F0000189</t>
        </is>
      </c>
      <c r="DS1" s="2" t="inlineStr">
        <is>
          <t>D148357752b2e97aebd493d84cefc9b6fed1756.F0000192</t>
        </is>
      </c>
      <c r="DT1" s="2" t="inlineStr">
        <is>
          <t>D148357752b2e97aebd493d84cefc9b6fed1756.F0000191</t>
        </is>
      </c>
      <c r="DU1" s="2" t="inlineStr">
        <is>
          <t>D148357752b2e97aebd493d84cefc9b6fed1756.F0000124</t>
        </is>
      </c>
      <c r="DV1" s="2" t="inlineStr">
        <is>
          <t>D148357752b2e97aebd493d84cefc9b6fed1756.F0000168</t>
        </is>
      </c>
      <c r="DW1" s="2" t="inlineStr">
        <is>
          <t>D148357752b2e97aebd493d84cefc9b6fed1756.F0000125</t>
        </is>
      </c>
      <c r="DX1" s="2" t="inlineStr">
        <is>
          <t>D148357752b2e97aebd493d84cefc9b6fed1756.F0000126</t>
        </is>
      </c>
      <c r="DY1" s="2" t="inlineStr">
        <is>
          <t>D148357752b2e97aebd493d84cefc9b6fed1756.F0000127</t>
        </is>
      </c>
      <c r="DZ1" s="2" t="inlineStr">
        <is>
          <t>D148357752b2e97aebd493d84cefc9b6fed1756.F0000128</t>
        </is>
      </c>
      <c r="EA1" s="2" t="inlineStr">
        <is>
          <t>D148357752b2e97aebd493d84cefc9b6fed1756.F0000129</t>
        </is>
      </c>
      <c r="EB1" s="2" t="inlineStr">
        <is>
          <t>D148357752b2e97aebd493d84cefc9b6fed1756.F0000130</t>
        </is>
      </c>
      <c r="EC1" s="2" t="inlineStr">
        <is>
          <t>D148357752b2e97aebd493d84cefc9b6fed1756.F0000131</t>
        </is>
      </c>
      <c r="ED1" s="2" t="inlineStr">
        <is>
          <t>D1483577b10e22a59c8479f87d127396dc0e130.ObjectId</t>
        </is>
      </c>
      <c r="EE1" s="2" t="inlineStr">
        <is>
          <t>D1483577b10e22a59c8479f87d127396dc0e130.ParentIndex</t>
        </is>
      </c>
      <c r="EF1" s="2" t="inlineStr">
        <is>
          <t>D1483577b10e22a59c8479f87d127396dc0e130.Name</t>
        </is>
      </c>
      <c r="EG1" s="2" t="inlineStr">
        <is>
          <t>D1483577b10e22a59c8479f87d127396dc0e130.F0000132</t>
        </is>
      </c>
      <c r="EH1" s="2" t="inlineStr">
        <is>
          <t>D1483577b10e22a59c8479f87d127396dc0e130.F0000133</t>
        </is>
      </c>
      <c r="EI1" s="2" t="inlineStr">
        <is>
          <t>D1483577b10e22a59c8479f87d127396dc0e130.F0000195</t>
        </is>
      </c>
      <c r="EJ1" s="2" t="inlineStr">
        <is>
          <t>D1483577b10e22a59c8479f87d127396dc0e130.F0000160</t>
        </is>
      </c>
      <c r="EK1" s="2" t="inlineStr">
        <is>
          <t>D1483577b10e22a59c8479f87d127396dc0e130.F0000196</t>
        </is>
      </c>
      <c r="EL1" s="2" t="inlineStr">
        <is>
          <t>D1483577b10e22a59c8479f87d127396dc0e130.F0000197</t>
        </is>
      </c>
      <c r="EM1" s="2" t="inlineStr">
        <is>
          <t>D1483577b10e22a59c8479f87d127396dc0e130.F0000198</t>
        </is>
      </c>
      <c r="EN1" s="2" t="inlineStr">
        <is>
          <t>D1483577b10e22a59c8479f87d127396dc0e130.F0000199</t>
        </is>
      </c>
      <c r="EO1" s="2" t="inlineStr">
        <is>
          <t>D1483577b10e22a59c8479f87d127396dc0e130.F0000135</t>
        </is>
      </c>
      <c r="EP1" s="2" t="inlineStr">
        <is>
          <t>D1483577b10e22a59c8479f87d127396dc0e130.F0000169</t>
        </is>
      </c>
      <c r="EQ1" s="2" t="inlineStr">
        <is>
          <t>D1483577b10e22a59c8479f87d127396dc0e130.F0000136</t>
        </is>
      </c>
      <c r="ER1" s="2" t="inlineStr">
        <is>
          <t>D1483577b10e22a59c8479f87d127396dc0e130.F0000137</t>
        </is>
      </c>
      <c r="ES1" s="2" t="inlineStr">
        <is>
          <t>D1483577b10e22a59c8479f87d127396dc0e130.F0000138</t>
        </is>
      </c>
      <c r="ET1" s="2" t="inlineStr">
        <is>
          <t>D1483577b10e22a59c8479f87d127396dc0e130.F0000139</t>
        </is>
      </c>
      <c r="EU1" s="2" t="inlineStr">
        <is>
          <t>D1483577b10e22a59c8479f87d127396dc0e130.F0000140</t>
        </is>
      </c>
      <c r="EV1" s="2" t="inlineStr">
        <is>
          <t>D1483577b10e22a59c8479f87d127396dc0e130.F0000141</t>
        </is>
      </c>
      <c r="EW1" s="2" t="inlineStr">
        <is>
          <t>D1483577b10e22a59c8479f87d127396dc0e130.F0000142</t>
        </is>
      </c>
      <c r="EX1" s="2" t="inlineStr">
        <is>
          <t>D1483575f481128e22f42119f9cf72f745f308b.ObjectId</t>
        </is>
      </c>
      <c r="EY1" s="2" t="inlineStr">
        <is>
          <t>D1483575f481128e22f42119f9cf72f745f308b.ParentIndex</t>
        </is>
      </c>
      <c r="EZ1" s="2" t="inlineStr">
        <is>
          <t>D1483575f481128e22f42119f9cf72f745f308b.Name</t>
        </is>
      </c>
      <c r="FA1" s="2" t="inlineStr">
        <is>
          <t>D1483575f481128e22f42119f9cf72f745f308b.F0000143</t>
        </is>
      </c>
      <c r="FB1" s="2" t="inlineStr">
        <is>
          <t>D1483575f481128e22f42119f9cf72f745f308b.F0000144</t>
        </is>
      </c>
      <c r="FC1" s="2" t="inlineStr">
        <is>
          <t>D1483575f481128e22f42119f9cf72f745f308b.F0000202</t>
        </is>
      </c>
      <c r="FD1" s="2" t="inlineStr">
        <is>
          <t>D1483575f481128e22f42119f9cf72f745f308b.F0000203</t>
        </is>
      </c>
      <c r="FE1" s="2" t="inlineStr">
        <is>
          <t>D1483575f481128e22f42119f9cf72f745f308b.F0000204</t>
        </is>
      </c>
      <c r="FF1" s="2" t="inlineStr">
        <is>
          <t>D1483575f481128e22f42119f9cf72f745f308b.F0000161</t>
        </is>
      </c>
      <c r="FG1" s="2" t="inlineStr">
        <is>
          <t>D1483575f481128e22f42119f9cf72f745f308b.F0000206</t>
        </is>
      </c>
      <c r="FH1" s="2" t="inlineStr">
        <is>
          <t>D1483575f481128e22f42119f9cf72f745f308b.F0000205</t>
        </is>
      </c>
      <c r="FI1" s="2" t="inlineStr">
        <is>
          <t>D1483575f481128e22f42119f9cf72f745f308b.F0000212</t>
        </is>
      </c>
      <c r="FJ1" s="2" t="inlineStr">
        <is>
          <t>D1483575f481128e22f42119f9cf72f745f308b.F0000211</t>
        </is>
      </c>
      <c r="FK1" s="2" t="inlineStr">
        <is>
          <t>D1483575f481128e22f42119f9cf72f745f308b.F0000210</t>
        </is>
      </c>
      <c r="FL1" s="2" t="inlineStr">
        <is>
          <t>D1483575f481128e22f42119f9cf72f745f308b.F0000209</t>
        </is>
      </c>
      <c r="FM1" s="2" t="inlineStr">
        <is>
          <t>D1483575f481128e22f42119f9cf72f745f308b.F0000208</t>
        </is>
      </c>
      <c r="FN1" s="2" t="inlineStr">
        <is>
          <t>D1483575f481128e22f42119f9cf72f745f308b.F0000207</t>
        </is>
      </c>
      <c r="FO1" s="2" t="inlineStr">
        <is>
          <t>D1483575f481128e22f42119f9cf72f745f308b.F0000146</t>
        </is>
      </c>
      <c r="FP1" s="2" t="inlineStr">
        <is>
          <t>D1483575f481128e22f42119f9cf72f745f308b.F0000170</t>
        </is>
      </c>
      <c r="FQ1" s="2" t="inlineStr">
        <is>
          <t>D1483575f481128e22f42119f9cf72f745f308b.F0000147</t>
        </is>
      </c>
      <c r="FR1" s="2" t="inlineStr">
        <is>
          <t>D1483575f481128e22f42119f9cf72f745f308b.F0000148</t>
        </is>
      </c>
      <c r="FS1" s="2" t="inlineStr">
        <is>
          <t>D1483575f481128e22f42119f9cf72f745f308b.F0000149</t>
        </is>
      </c>
      <c r="FT1" s="2" t="inlineStr">
        <is>
          <t>D1483575f481128e22f42119f9cf72f745f308b.F0000150</t>
        </is>
      </c>
      <c r="FU1" s="2" t="inlineStr">
        <is>
          <t>D1483575f481128e22f42119f9cf72f745f308b.F0000151</t>
        </is>
      </c>
      <c r="FV1" s="2" t="inlineStr">
        <is>
          <t>D1483575f481128e22f42119f9cf72f745f308b.F0000152</t>
        </is>
      </c>
      <c r="FW1" s="2" t="inlineStr">
        <is>
          <t>D1483575f481128e22f42119f9cf72f745f308b.F0000153</t>
        </is>
      </c>
    </row>
    <row r="2">
      <c r="A2" s="1" t="inlineStr">
        <is>
          <t>填写日期</t>
        </is>
      </c>
      <c r="B2" s="1" t="inlineStr">
        <is>
          <t>姓名</t>
        </is>
      </c>
      <c r="C2" s="1" t="inlineStr">
        <is>
          <t>部门</t>
        </is>
      </c>
      <c r="D2" s="1" t="inlineStr">
        <is>
          <t>性别</t>
        </is>
      </c>
      <c r="E2" s="1" t="inlineStr">
        <is>
          <t>身份证号</t>
        </is>
      </c>
      <c r="F2" s="1" t="inlineStr">
        <is>
          <t>职位</t>
        </is>
      </c>
      <c r="G2" s="1" t="inlineStr">
        <is>
          <t>到本单位时间</t>
        </is>
      </c>
      <c r="H2" s="1" t="inlineStr">
        <is>
          <t>毕业院校</t>
        </is>
      </c>
      <c r="I2" s="1" t="inlineStr">
        <is>
          <t>专业</t>
        </is>
      </c>
      <c r="J2" s="1" t="inlineStr">
        <is>
          <t>学历</t>
        </is>
      </c>
      <c r="K2" s="1" t="inlineStr">
        <is>
          <t>您希望是以下哪种工作模式</t>
        </is>
      </c>
      <c r="L2" s="1" t="inlineStr">
        <is>
          <t>签字确认</t>
        </is>
      </c>
      <c r="M2" s="1" t="inlineStr">
        <is>
          <t>您认为最应取消、合并或简化的工作是什么？</t>
        </is>
      </c>
      <c r="N2" s="1" t="inlineStr">
        <is>
          <t>你存在的工作类型</t>
        </is>
      </c>
      <c r="O2" s="1" t="inlineStr">
        <is>
          <t>您的年龄区间</t>
        </is>
      </c>
      <c r="P2" s="1" t="inlineStr">
        <is>
          <t>您的婚育情况</t>
        </is>
      </c>
      <c r="Q2" s="1" t="inlineStr">
        <is>
          <t>您目前是否承担较重家庭照护责任</t>
        </is>
      </c>
      <c r="R2" s="1" t="inlineStr">
        <is>
          <t>您家中是否有12岁以下子女需要较多照护</t>
        </is>
      </c>
      <c r="S2" s="1" t="inlineStr">
        <is>
          <t>如果有岗位优化或调整机会，您更倾向于哪一种工作状态？</t>
        </is>
      </c>
      <c r="T2" s="1" t="inlineStr">
        <is>
          <t>您目前对自己岗位状态的总体态度更接近哪一种？</t>
        </is>
      </c>
      <c r="U2" s="1" t="inlineStr">
        <is>
          <t>如果公司开展机关岗位优化，您最希望优先改善的是哪一项？</t>
        </is>
      </c>
      <c r="V2" s="1" t="inlineStr">
        <is>
          <t>针对实际工作您是否曾提出过优化建议但没实现</t>
        </is>
      </c>
      <c r="W2" s="1" t="inlineStr">
        <is>
          <t>未能进一步落地的主要原因是什么？</t>
        </is>
      </c>
      <c r="X2" s="1" t="inlineStr">
        <is>
          <t>总体工作负荷</t>
        </is>
      </c>
      <c r="Y2" s="1" t="inlineStr">
        <is>
          <t>当前加班主要原因</t>
        </is>
      </c>
      <c r="Z2" s="1" t="inlineStr">
        <is>
          <t>当前最耗精力的类型</t>
        </is>
      </c>
      <c r="AA2" s="1" t="inlineStr">
        <is>
          <t>当前最希望减少的工作类型</t>
        </is>
      </c>
      <c r="AB2" s="1" t="inlineStr">
        <is>
          <t>当前最希望保留或强化的工作类型</t>
        </is>
      </c>
      <c r="AC2" s="1" t="inlineStr">
        <is>
          <t>当前岗位与个人状态匹配度</t>
        </is>
      </c>
      <c r="AD2" s="1" t="inlineStr">
        <is>
          <t>您认为最值得推动但尚未落地的优化建议是什么？</t>
        </is>
      </c>
      <c r="AE2" s="1" t="inlineStr">
        <is>
          <t>问卷中提出的问题您觉得有不妥的情况么，若有请列明</t>
        </is>
      </c>
      <c r="AF2" s="1" t="inlineStr">
        <is>
          <t>请列出对于本问卷中您觉得需要优化的问题和建议</t>
        </is>
      </c>
      <c r="AG2" s="1" t="inlineStr">
        <is>
          <t>是否因配偶同在公司且因公无法居家，导致您需独自承担较多家庭责任</t>
        </is>
      </c>
      <c r="AH2" s="1" t="inlineStr">
        <is>
          <t>若公司推行针对学龄期员工的‘妈妈岗’照顾政策，您是否有意向参与</t>
        </is>
      </c>
      <c r="AI2" s="1" t="inlineStr">
        <is>
          <t>每日工作最低负荷（日）</t>
        </is>
      </c>
      <c r="AJ2" s="1" t="inlineStr">
        <is>
          <t>每日工作最高负荷（日）</t>
        </is>
      </c>
      <c r="AK2" s="1" t="inlineStr">
        <is>
          <t>每日工作最低负荷（周）</t>
        </is>
      </c>
      <c r="AL2" s="1" t="inlineStr">
        <is>
          <t>每日工作最高负荷(周）</t>
        </is>
      </c>
      <c r="AM2" s="1" t="inlineStr">
        <is>
          <t>每日工作最低负荷（月）</t>
        </is>
      </c>
      <c r="AN2" s="1" t="inlineStr">
        <is>
          <t>每日工作最高负荷（月）</t>
        </is>
      </c>
      <c r="AO2" s="1" t="inlineStr">
        <is>
          <t>每日工作最低负荷（季）</t>
        </is>
      </c>
      <c r="AP2" s="1" t="inlineStr">
        <is>
          <t>每日工作最高负荷（季）</t>
        </is>
      </c>
      <c r="AQ2" s="1" t="inlineStr">
        <is>
          <t>每日工作最低负荷（临）</t>
        </is>
      </c>
      <c r="AR2" s="1" t="inlineStr">
        <is>
          <t>每日工作最高负荷（临）</t>
        </is>
      </c>
      <c r="AS2" s="1" t="inlineStr">
        <is>
          <t>总每日工作量最低负荷（小时）</t>
        </is>
      </c>
      <c r="AT2" s="1" t="inlineStr">
        <is>
          <t>总每日工作量最高负荷（小时）</t>
        </is>
      </c>
      <c r="AU2" s="1" t="inlineStr">
        <is>
          <t>总每日工作量平均负荷（小时）</t>
        </is>
      </c>
      <c r="AV2" s="1" t="inlineStr">
        <is>
          <t>自动工作负荷</t>
        </is>
      </c>
      <c r="AW2" s="1" t="inlineStr">
        <is>
          <t>负荷一致性</t>
        </is>
      </c>
      <c r="AX2" s="5" t="inlineStr">
        <is>
          <t>数据ID(不可修改)</t>
        </is>
      </c>
      <c r="AY2" s="1" t="inlineStr">
        <is>
          <t>数据标题</t>
        </is>
      </c>
      <c r="AZ2" s="1" t="inlineStr">
        <is>
          <t>创建人</t>
        </is>
      </c>
      <c r="BA2" s="5" t="inlineStr">
        <is>
          <t>拥有者(必填)</t>
        </is>
      </c>
      <c r="BB2" s="5" t="inlineStr">
        <is>
          <t>所属部门(必填)</t>
        </is>
      </c>
      <c r="BC2" s="1" t="inlineStr">
        <is>
          <t>修改时间</t>
        </is>
      </c>
      <c r="BD2" s="1" t="inlineStr">
        <is>
          <t>出生年份</t>
        </is>
      </c>
      <c r="BE2" s="1" t="inlineStr">
        <is>
          <t>年龄-纯年份</t>
        </is>
      </c>
      <c r="BF2" s="1" t="inlineStr">
        <is>
          <t>您是否有弹性工作、稳定作息、兼顾家庭的岗位需求</t>
        </is>
      </c>
      <c r="BG2" s="1" t="inlineStr">
        <is>
          <t>数据状态</t>
        </is>
      </c>
      <c r="BH2" s="5" t="inlineStr">
        <is>
          <t>弹性等工作模式.数据ID(不可修改)</t>
        </is>
      </c>
      <c r="BI2" s="1" t="inlineStr">
        <is>
          <t>弹性等工作模式.序号</t>
        </is>
      </c>
      <c r="BJ2" s="1" t="inlineStr">
        <is>
          <t>弹性等工作模式.数据标题</t>
        </is>
      </c>
      <c r="BK2" s="1" t="inlineStr">
        <is>
          <t>弹性等工作模式.岗位类型</t>
        </is>
      </c>
      <c r="BL2" s="1" t="inlineStr">
        <is>
          <t>弹性等工作模式.育儿阶段</t>
        </is>
      </c>
      <c r="BM2" s="1" t="inlineStr">
        <is>
          <t>弹性等工作模式.时间地点</t>
        </is>
      </c>
      <c r="BN2" s="1" t="inlineStr">
        <is>
          <t>弹性等工作模式.计酬方式</t>
        </is>
      </c>
      <c r="BO2" s="1" t="inlineStr">
        <is>
          <t>弹性等工作模式.保险类型</t>
        </is>
      </c>
      <c r="BP2" s="1" t="inlineStr">
        <is>
          <t>弹性等工作模式.合同形式</t>
        </is>
      </c>
      <c r="BQ2" s="1" t="inlineStr">
        <is>
          <t>弹性等工作模式.技能要求</t>
        </is>
      </c>
      <c r="BR2" s="1" t="inlineStr">
        <is>
          <t>弹性等工作模式.举例</t>
        </is>
      </c>
      <c r="BS2" s="5" t="inlineStr">
        <is>
          <t>每日工作.数据ID(不可修改)</t>
        </is>
      </c>
      <c r="BT2" s="1" t="inlineStr">
        <is>
          <t>每日工作.序号</t>
        </is>
      </c>
      <c r="BU2" s="1" t="inlineStr">
        <is>
          <t>每日工作.数据标题</t>
        </is>
      </c>
      <c r="BV2" s="1" t="inlineStr">
        <is>
          <t>每日工作.工作事项名称</t>
        </is>
      </c>
      <c r="BW2" s="1" t="inlineStr">
        <is>
          <t>每日工作.日频率</t>
        </is>
      </c>
      <c r="BX2" s="1" t="inlineStr">
        <is>
          <t>每日工作.最低频率</t>
        </is>
      </c>
      <c r="BY2" s="1" t="inlineStr">
        <is>
          <t>每日工作.最高频率</t>
        </is>
      </c>
      <c r="BZ2" s="1" t="inlineStr">
        <is>
          <t>每日工作.单次平均耗时</t>
        </is>
      </c>
      <c r="CA2" s="1" t="inlineStr">
        <is>
          <t>每日工作.最低耗时</t>
        </is>
      </c>
      <c r="CB2" s="1" t="inlineStr">
        <is>
          <t>每日工作.最高耗时</t>
        </is>
      </c>
      <c r="CC2" s="1" t="inlineStr">
        <is>
          <t>每日工作.最低负荷</t>
        </is>
      </c>
      <c r="CD2" s="1" t="inlineStr">
        <is>
          <t>每日工作.最高负荷</t>
        </is>
      </c>
      <c r="CE2" s="1" t="inlineStr">
        <is>
          <t>每日工作.工作性质</t>
        </is>
      </c>
      <c r="CF2" s="1" t="inlineStr">
        <is>
          <t>每日工作.工作分类-自行添加</t>
        </is>
      </c>
      <c r="CG2" s="1" t="inlineStr">
        <is>
          <t>每日工作.工作分类</t>
        </is>
      </c>
      <c r="CH2" s="1" t="inlineStr">
        <is>
          <t>每日工作.工作来源</t>
        </is>
      </c>
      <c r="CI2" s="1" t="inlineStr">
        <is>
          <t>每日工作.时效要求</t>
        </is>
      </c>
      <c r="CJ2" s="1" t="inlineStr">
        <is>
          <t>每日工作.标准化程度</t>
        </is>
      </c>
      <c r="CK2" s="1" t="inlineStr">
        <is>
          <t>每日工作.返工频率</t>
        </is>
      </c>
      <c r="CL2" s="1" t="inlineStr">
        <is>
          <t>每日工作.主要负荷特征</t>
        </is>
      </c>
      <c r="CM2" s="1" t="inlineStr">
        <is>
          <t>每日工作.备注</t>
        </is>
      </c>
      <c r="CN2" s="5" t="inlineStr">
        <is>
          <t>每周工作.数据ID(不可修改)</t>
        </is>
      </c>
      <c r="CO2" s="1" t="inlineStr">
        <is>
          <t>每周工作.序号</t>
        </is>
      </c>
      <c r="CP2" s="1" t="inlineStr">
        <is>
          <t>每周工作.数据标题</t>
        </is>
      </c>
      <c r="CQ2" s="1" t="inlineStr">
        <is>
          <t>每周工作.工作事项名称</t>
        </is>
      </c>
      <c r="CR2" s="1" t="inlineStr">
        <is>
          <t>每周工作.周频率</t>
        </is>
      </c>
      <c r="CS2" s="1" t="inlineStr">
        <is>
          <t>每周工作.最低频率</t>
        </is>
      </c>
      <c r="CT2" s="1" t="inlineStr">
        <is>
          <t>每周工作.最高频率</t>
        </is>
      </c>
      <c r="CU2" s="1" t="inlineStr">
        <is>
          <t>每周工作.单次平均耗时</t>
        </is>
      </c>
      <c r="CV2" s="1" t="inlineStr">
        <is>
          <t>每周工作.最低耗时</t>
        </is>
      </c>
      <c r="CW2" s="1" t="inlineStr">
        <is>
          <t>每周工作.最高耗时</t>
        </is>
      </c>
      <c r="CX2" s="1" t="inlineStr">
        <is>
          <t>每周工作.最低负荷</t>
        </is>
      </c>
      <c r="CY2" s="1" t="inlineStr">
        <is>
          <t>每周工作.最高负荷</t>
        </is>
      </c>
      <c r="CZ2" s="1" t="inlineStr">
        <is>
          <t>每周工作.工作性质</t>
        </is>
      </c>
      <c r="DA2" s="1" t="inlineStr">
        <is>
          <t>每周工作.工作分类-自行添加</t>
        </is>
      </c>
      <c r="DB2" s="1" t="inlineStr">
        <is>
          <t>每周工作.工作分类</t>
        </is>
      </c>
      <c r="DC2" s="1" t="inlineStr">
        <is>
          <t>每周工作.工作来源</t>
        </is>
      </c>
      <c r="DD2" s="1" t="inlineStr">
        <is>
          <t>每周工作.时效要求</t>
        </is>
      </c>
      <c r="DE2" s="1" t="inlineStr">
        <is>
          <t>每周工作.标准化程度</t>
        </is>
      </c>
      <c r="DF2" s="1" t="inlineStr">
        <is>
          <t>每周工作.返工频率</t>
        </is>
      </c>
      <c r="DG2" s="1" t="inlineStr">
        <is>
          <t>每周工作.主要负荷特征</t>
        </is>
      </c>
      <c r="DH2" s="1" t="inlineStr">
        <is>
          <t>每周工作.备注</t>
        </is>
      </c>
      <c r="DI2" s="5" t="inlineStr">
        <is>
          <t>每月工作.数据ID(不可修改)</t>
        </is>
      </c>
      <c r="DJ2" s="1" t="inlineStr">
        <is>
          <t>每月工作.序号</t>
        </is>
      </c>
      <c r="DK2" s="1" t="inlineStr">
        <is>
          <t>每月工作.数据标题</t>
        </is>
      </c>
      <c r="DL2" s="1" t="inlineStr">
        <is>
          <t>每月工作.工作事项名称</t>
        </is>
      </c>
      <c r="DM2" s="1" t="inlineStr">
        <is>
          <t>每月工作.月频率</t>
        </is>
      </c>
      <c r="DN2" s="1" t="inlineStr">
        <is>
          <t>每月工作.最低频率</t>
        </is>
      </c>
      <c r="DO2" s="1" t="inlineStr">
        <is>
          <t>每月工作.最高频率</t>
        </is>
      </c>
      <c r="DP2" s="1" t="inlineStr">
        <is>
          <t>每月工作.单次平均耗时</t>
        </is>
      </c>
      <c r="DQ2" s="1" t="inlineStr">
        <is>
          <t>每月工作.最低耗时</t>
        </is>
      </c>
      <c r="DR2" s="1" t="inlineStr">
        <is>
          <t>每月工作.最高耗时</t>
        </is>
      </c>
      <c r="DS2" s="1" t="inlineStr">
        <is>
          <t>每月工作.最低负荷</t>
        </is>
      </c>
      <c r="DT2" s="1" t="inlineStr">
        <is>
          <t>每月工作.最高负荷</t>
        </is>
      </c>
      <c r="DU2" s="1" t="inlineStr">
        <is>
          <t>每月工作.工作性质</t>
        </is>
      </c>
      <c r="DV2" s="1" t="inlineStr">
        <is>
          <t>每月工作.工作分类-自行添加</t>
        </is>
      </c>
      <c r="DW2" s="1" t="inlineStr">
        <is>
          <t>每月工作.工作分类</t>
        </is>
      </c>
      <c r="DX2" s="1" t="inlineStr">
        <is>
          <t>每月工作.工作来源</t>
        </is>
      </c>
      <c r="DY2" s="1" t="inlineStr">
        <is>
          <t>每月工作.时效要求</t>
        </is>
      </c>
      <c r="DZ2" s="1" t="inlineStr">
        <is>
          <t>每月工作.标准化程度</t>
        </is>
      </c>
      <c r="EA2" s="1" t="inlineStr">
        <is>
          <t>每月工作.返工频率</t>
        </is>
      </c>
      <c r="EB2" s="1" t="inlineStr">
        <is>
          <t>每月工作.主要负荷特征</t>
        </is>
      </c>
      <c r="EC2" s="1" t="inlineStr">
        <is>
          <t>每月工作.备注</t>
        </is>
      </c>
      <c r="ED2" s="5" t="inlineStr">
        <is>
          <t>每季度/阶段性工作.数据ID(不可修改)</t>
        </is>
      </c>
      <c r="EE2" s="1" t="inlineStr">
        <is>
          <t>每季度/阶段性工作.序号</t>
        </is>
      </c>
      <c r="EF2" s="1" t="inlineStr">
        <is>
          <t>每季度/阶段性工作.数据标题</t>
        </is>
      </c>
      <c r="EG2" s="1" t="inlineStr">
        <is>
          <t>每季度/阶段性工作.工作事项名称</t>
        </is>
      </c>
      <c r="EH2" s="1" t="inlineStr">
        <is>
          <t>每季度/阶段性工作.季度频率</t>
        </is>
      </c>
      <c r="EI2" s="1" t="inlineStr">
        <is>
          <t>每季度/阶段性工作.频率</t>
        </is>
      </c>
      <c r="EJ2" s="1" t="inlineStr">
        <is>
          <t>每季度/阶段性工作.单次平均耗时</t>
        </is>
      </c>
      <c r="EK2" s="1" t="inlineStr">
        <is>
          <t>每季度/阶段性工作.最低耗时</t>
        </is>
      </c>
      <c r="EL2" s="1" t="inlineStr">
        <is>
          <t>每季度/阶段性工作.最高耗时</t>
        </is>
      </c>
      <c r="EM2" s="1" t="inlineStr">
        <is>
          <t>每季度/阶段性工作.最低负荷</t>
        </is>
      </c>
      <c r="EN2" s="1" t="inlineStr">
        <is>
          <t>每季度/阶段性工作.最高负荷</t>
        </is>
      </c>
      <c r="EO2" s="1" t="inlineStr">
        <is>
          <t>每季度/阶段性工作.工作性质</t>
        </is>
      </c>
      <c r="EP2" s="1" t="inlineStr">
        <is>
          <t>每季度/阶段性工作.工作分类-自行添加</t>
        </is>
      </c>
      <c r="EQ2" s="1" t="inlineStr">
        <is>
          <t>每季度/阶段性工作.工作分类</t>
        </is>
      </c>
      <c r="ER2" s="1" t="inlineStr">
        <is>
          <t>每季度/阶段性工作.工作来源</t>
        </is>
      </c>
      <c r="ES2" s="1" t="inlineStr">
        <is>
          <t>每季度/阶段性工作.时效要求</t>
        </is>
      </c>
      <c r="ET2" s="1" t="inlineStr">
        <is>
          <t>每季度/阶段性工作.标准化程度</t>
        </is>
      </c>
      <c r="EU2" s="1" t="inlineStr">
        <is>
          <t>每季度/阶段性工作.返工频率</t>
        </is>
      </c>
      <c r="EV2" s="1" t="inlineStr">
        <is>
          <t>每季度/阶段性工作.主要负荷特征</t>
        </is>
      </c>
      <c r="EW2" s="1" t="inlineStr">
        <is>
          <t>每季度/阶段性工作.备注</t>
        </is>
      </c>
      <c r="EX2" s="5" t="inlineStr">
        <is>
          <t>临时/突发工作.数据ID(不可修改)</t>
        </is>
      </c>
      <c r="EY2" s="1" t="inlineStr">
        <is>
          <t>临时/突发工作.序号</t>
        </is>
      </c>
      <c r="EZ2" s="1" t="inlineStr">
        <is>
          <t>临时/突发工作.数据标题</t>
        </is>
      </c>
      <c r="FA2" s="1" t="inlineStr">
        <is>
          <t>临时/突发工作.工作事项名称</t>
        </is>
      </c>
      <c r="FB2" s="1" t="inlineStr">
        <is>
          <t>临时/突发工作.发生频率</t>
        </is>
      </c>
      <c r="FC2" s="1" t="inlineStr">
        <is>
          <t>临时/突发工作.类别</t>
        </is>
      </c>
      <c r="FD2" s="1" t="inlineStr">
        <is>
          <t>临时/突发工作.最低频率</t>
        </is>
      </c>
      <c r="FE2" s="1" t="inlineStr">
        <is>
          <t>临时/突发工作.最高频率</t>
        </is>
      </c>
      <c r="FF2" s="1" t="inlineStr">
        <is>
          <t>临时/突发工作.单次平均耗时</t>
        </is>
      </c>
      <c r="FG2" s="1" t="inlineStr">
        <is>
          <t>临时/突发工作.最低耗时</t>
        </is>
      </c>
      <c r="FH2" s="1" t="inlineStr">
        <is>
          <t>临时/突发工作.最高耗时</t>
        </is>
      </c>
      <c r="FI2" s="1" t="inlineStr">
        <is>
          <t>临时/突发工作.月最低负荷</t>
        </is>
      </c>
      <c r="FJ2" s="1" t="inlineStr">
        <is>
          <t>临时/突发工作.月最高负荷</t>
        </is>
      </c>
      <c r="FK2" s="1" t="inlineStr">
        <is>
          <t>临时/突发工作.季最低负荷</t>
        </is>
      </c>
      <c r="FL2" s="1" t="inlineStr">
        <is>
          <t>临时/突发工作.季最高负荷</t>
        </is>
      </c>
      <c r="FM2" s="1" t="inlineStr">
        <is>
          <t>临时/突发工作.年最低负荷</t>
        </is>
      </c>
      <c r="FN2" s="1" t="inlineStr">
        <is>
          <t>临时/突发工作.年最高负荷</t>
        </is>
      </c>
      <c r="FO2" s="1" t="inlineStr">
        <is>
          <t>临时/突发工作.工作性质</t>
        </is>
      </c>
      <c r="FP2" s="1" t="inlineStr">
        <is>
          <t>临时/突发工作.工作分类-自行添加</t>
        </is>
      </c>
      <c r="FQ2" s="1" t="inlineStr">
        <is>
          <t>临时/突发工作.工作分类</t>
        </is>
      </c>
      <c r="FR2" s="1" t="inlineStr">
        <is>
          <t>临时/突发工作.工作来源</t>
        </is>
      </c>
      <c r="FS2" s="1" t="inlineStr">
        <is>
          <t>临时/突发工作.时效要求</t>
        </is>
      </c>
      <c r="FT2" s="1" t="inlineStr">
        <is>
          <t>临时/突发工作.标准化程度</t>
        </is>
      </c>
      <c r="FU2" s="1" t="inlineStr">
        <is>
          <t>临时/突发工作.返工频率</t>
        </is>
      </c>
      <c r="FV2" s="1" t="inlineStr">
        <is>
          <t>临时/突发工作.主要负荷特征</t>
        </is>
      </c>
      <c r="FW2" s="1" t="inlineStr">
        <is>
          <t>临时/突发工作.备注</t>
        </is>
      </c>
    </row>
    <row r="3">
      <c r="A3" s="2" t="inlineStr">
        <is>
          <t>2026-05-26 18:59:51</t>
        </is>
      </c>
      <c r="B3" s="2" t="inlineStr">
        <is>
          <t>戴翔宇</t>
        </is>
      </c>
      <c r="C3" s="2" t="inlineStr">
        <is>
          <t>市场开发部</t>
        </is>
      </c>
      <c r="D3" s="2" t="inlineStr">
        <is>
          <t>男</t>
        </is>
      </c>
      <c r="E3" s="2" t="inlineStr">
        <is>
          <t>320112199512240419</t>
        </is>
      </c>
      <c r="F3" s="2" t="inlineStr">
        <is>
          <t>专业工程师</t>
        </is>
      </c>
      <c r="G3" s="2" t="inlineStr">
        <is>
          <t>2018-08</t>
        </is>
      </c>
      <c r="H3" s="2" t="inlineStr">
        <is>
          <t>东南大学成贤学院</t>
        </is>
      </c>
      <c r="I3" s="2" t="inlineStr">
        <is>
          <t>土建</t>
        </is>
      </c>
      <c r="J3" s="2" t="inlineStr">
        <is>
          <t>本科</t>
        </is>
      </c>
      <c r="K3" s="2"/>
      <c r="L3" s="6">
        <f>HYPERLINK("https://www.h3yun.com/Form/Attachments/?schemacode=D1483577de63ede327d4760b10664bd57671d7e&amp;bizObjectId=055d1a69-9c2c-4a9c-9c02-12103d2a5638&amp;name=F0000046","点击查看")</f>
        <v>0</v>
      </c>
      <c r="M3" s="2" t="inlineStr">
        <is>
          <t>用印申请</t>
        </is>
      </c>
      <c r="N3" s="2" t="inlineStr">
        <is>
          <t>每日工作;每周工作;每月工作;每季度/阶段性工作;临时/突发工作</t>
        </is>
      </c>
      <c r="O3" s="2" t="inlineStr">
        <is>
          <t>30</t>
        </is>
      </c>
      <c r="P3" s="2" t="inlineStr">
        <is>
          <t>A.未婚</t>
        </is>
      </c>
      <c r="Q3" s="2" t="inlineStr">
        <is>
          <t>A.否</t>
        </is>
      </c>
      <c r="R3" s="2" t="inlineStr">
        <is>
          <t>A.否</t>
        </is>
      </c>
      <c r="S3" s="2" t="inlineStr">
        <is>
          <t>C.希望工作压力适中，但职责边界更清晰</t>
        </is>
      </c>
      <c r="T3" s="2" t="inlineStr">
        <is>
          <t>B.工作内容可接受，但负荷偏重</t>
        </is>
      </c>
      <c r="U3" s="2" t="inlineStr">
        <is>
          <t>D.明确职责边界</t>
        </is>
      </c>
      <c r="V3" s="2" t="inlineStr">
        <is>
          <t>A.没有</t>
        </is>
      </c>
      <c r="W3" s="2"/>
      <c r="X3" s="2" t="inlineStr">
        <is>
          <t>B.满负荷 (100%-120%)</t>
        </is>
      </c>
      <c r="Y3" s="2" t="inlineStr">
        <is>
          <t>A.岗位工作量饱和，已达人效上限;B.上游资料不全，导致反复沟通/返工;E.临时差旅、突发事件、会议加班</t>
        </is>
      </c>
      <c r="Z3" s="2" t="inlineStr">
        <is>
          <t>技术质量管理</t>
        </is>
      </c>
      <c r="AA3" s="2" t="inlineStr">
        <is>
          <t>外部联络</t>
        </is>
      </c>
      <c r="AB3" s="2" t="inlineStr">
        <is>
          <t>技术交底</t>
        </is>
      </c>
      <c r="AC3" s="2" t="inlineStr">
        <is>
          <t>B.基本匹配（正常履行）</t>
        </is>
      </c>
      <c r="AD3" s="2" t="inlineStr">
        <is>
          <t>市场开发</t>
        </is>
      </c>
      <c r="AE3" s="2" t="inlineStr">
        <is>
          <t>本人目前处于长时间外出项目施工.暂不在机关.</t>
        </is>
      </c>
      <c r="AF3" s="2" t="inlineStr">
        <is>
          <t>无</t>
        </is>
      </c>
      <c r="AG3" s="2"/>
      <c r="AH3" s="2"/>
      <c r="AI3" s="7" t="n">
        <v>4</v>
      </c>
      <c r="AJ3" s="7" t="n">
        <v>10</v>
      </c>
      <c r="AK3" s="7" t="n">
        <v>0.8</v>
      </c>
      <c r="AL3" s="7" t="n">
        <v>1.2</v>
      </c>
      <c r="AM3" s="7" t="n">
        <v>0.09</v>
      </c>
      <c r="AN3" s="7" t="n">
        <v>0.09</v>
      </c>
      <c r="AO3" s="7" t="n">
        <v>0.03</v>
      </c>
      <c r="AP3" s="7" t="n">
        <v>0.03</v>
      </c>
      <c r="AQ3" s="7" t="n">
        <v>0.27</v>
      </c>
      <c r="AR3" s="7" t="n">
        <v>0.55</v>
      </c>
      <c r="AS3" s="7" t="n">
        <v>5.19</v>
      </c>
      <c r="AT3" s="7" t="n">
        <v>11.87</v>
      </c>
      <c r="AU3" s="7" t="n">
        <v>8.53</v>
      </c>
      <c r="AV3" s="2" t="inlineStr">
        <is>
          <t>满负荷</t>
        </is>
      </c>
      <c r="AW3" s="2" t="inlineStr">
        <is>
          <t>一致</t>
        </is>
      </c>
      <c r="AX3" s="2" t="inlineStr">
        <is>
          <t>055d1a69-9c2c-4a9c-9c02-12103d2a5638</t>
        </is>
      </c>
      <c r="AY3" s="2" t="inlineStr">
        <is>
          <t>市场开发部    戴翔宇</t>
        </is>
      </c>
      <c r="AZ3" s="2" t="inlineStr">
        <is>
          <t>Anonymous</t>
        </is>
      </c>
      <c r="BA3" s="2" t="inlineStr">
        <is>
          <t>Anonymous</t>
        </is>
      </c>
      <c r="BB3" s="2"/>
      <c r="BC3" s="2" t="inlineStr">
        <is>
          <t>2026-05-26 18:59:51</t>
        </is>
      </c>
      <c r="BD3" s="3" t="n">
        <v>1995</v>
      </c>
      <c r="BE3" s="3" t="n">
        <v>31</v>
      </c>
      <c r="BF3" s="2" t="inlineStr">
        <is>
          <t>A.无此需求</t>
        </is>
      </c>
      <c r="BG3" s="2" t="inlineStr">
        <is>
          <t>已生效</t>
        </is>
      </c>
      <c r="BH3" s="2" t="inlineStr">
        <is>
          <t>d31f9572-d1ae-4d89-95f7-676c2d01754b</t>
        </is>
      </c>
      <c r="BI3" s="3" t="n">
        <v>1</v>
      </c>
      <c r="BJ3" s="2"/>
      <c r="BK3" s="2"/>
      <c r="BL3" s="2"/>
      <c r="BM3" s="2"/>
      <c r="BN3" s="2"/>
      <c r="BO3" s="2"/>
      <c r="BP3" s="2"/>
      <c r="BQ3" s="2"/>
      <c r="BR3" s="2"/>
      <c r="BS3" s="2" t="inlineStr">
        <is>
          <t>ad1b6c38-f51e-4842-874c-845392c58517</t>
        </is>
      </c>
      <c r="BT3" s="3" t="n">
        <v>1</v>
      </c>
      <c r="BU3" s="2" t="inlineStr">
        <is>
          <t>专业技术类</t>
        </is>
      </c>
      <c r="BV3" s="2" t="inlineStr">
        <is>
          <t>现场验收、资料编写、技术交底、现场旁站、送检送样、编写方案</t>
        </is>
      </c>
      <c r="BW3" s="2" t="inlineStr">
        <is>
          <t>2-5次</t>
        </is>
      </c>
      <c r="BX3" s="3" t="n">
        <v>2</v>
      </c>
      <c r="BY3" s="3" t="n">
        <v>5</v>
      </c>
      <c r="BZ3" s="2" t="inlineStr">
        <is>
          <t>B.2小时以内</t>
        </is>
      </c>
      <c r="CA3" s="7" t="n">
        <v>2</v>
      </c>
      <c r="CB3" s="7" t="n">
        <v>2</v>
      </c>
      <c r="CC3" s="7" t="n">
        <v>4</v>
      </c>
      <c r="CD3" s="7" t="n">
        <v>10</v>
      </c>
      <c r="CE3" s="2" t="inlineStr">
        <is>
          <t>专业技术类</t>
        </is>
      </c>
      <c r="CF3" s="2"/>
      <c r="CG3" s="2" t="inlineStr">
        <is>
          <t>技术交底</t>
        </is>
      </c>
      <c r="CH3" s="2" t="inlineStr">
        <is>
          <t>上级指令</t>
        </is>
      </c>
      <c r="CI3" s="2" t="inlineStr">
        <is>
          <t>重要且紧急</t>
        </is>
      </c>
      <c r="CJ3" s="2" t="inlineStr">
        <is>
          <t>半标准化-有流程框架，需专业经验</t>
        </is>
      </c>
      <c r="CK3" s="2" t="inlineStr">
        <is>
          <t>低频（5%-10%）</t>
        </is>
      </c>
      <c r="CL3" s="2" t="inlineStr">
        <is>
          <t>时效/强度负荷</t>
        </is>
      </c>
      <c r="CM3" s="2"/>
      <c r="CN3" s="2" t="inlineStr">
        <is>
          <t>a61de79d-90ef-47ea-9eea-cfc142dfbe8e</t>
        </is>
      </c>
      <c r="CO3" s="3" t="n">
        <v>1</v>
      </c>
      <c r="CP3" s="2"/>
      <c r="CQ3" s="2" t="inlineStr">
        <is>
          <t>计算工程量、编写签证、套定额</t>
        </is>
      </c>
      <c r="CR3" s="2" t="inlineStr">
        <is>
          <t>2-3次</t>
        </is>
      </c>
      <c r="CS3" s="3" t="n">
        <v>2</v>
      </c>
      <c r="CT3" s="3" t="n">
        <v>3</v>
      </c>
      <c r="CU3" s="2" t="inlineStr">
        <is>
          <t>B.2小时以内</t>
        </is>
      </c>
      <c r="CV3" s="7" t="n">
        <v>2</v>
      </c>
      <c r="CW3" s="7" t="n">
        <v>2</v>
      </c>
      <c r="CX3" s="7" t="n">
        <v>4</v>
      </c>
      <c r="CY3" s="7" t="n">
        <v>6</v>
      </c>
      <c r="CZ3" s="2" t="inlineStr">
        <is>
          <t>专业技术类</t>
        </is>
      </c>
      <c r="DA3" s="2"/>
      <c r="DB3" s="2" t="inlineStr">
        <is>
          <t>探索研发类工作</t>
        </is>
      </c>
      <c r="DC3" s="2" t="inlineStr">
        <is>
          <t>自主发起</t>
        </is>
      </c>
      <c r="DD3" s="2" t="inlineStr">
        <is>
          <t>重要且紧急</t>
        </is>
      </c>
      <c r="DE3" s="2" t="inlineStr">
        <is>
          <t>高度标准化-有成熟SOP，照做即可</t>
        </is>
      </c>
      <c r="DF3" s="2" t="inlineStr">
        <is>
          <t>极少（&lt;5%）</t>
        </is>
      </c>
      <c r="DG3" s="2" t="inlineStr">
        <is>
          <t>脑力/复杂度负荷</t>
        </is>
      </c>
      <c r="DH3" s="2"/>
      <c r="DI3" s="2" t="inlineStr">
        <is>
          <t>886f9587-88c9-48b7-ac4a-f6dd0ffaa347</t>
        </is>
      </c>
      <c r="DJ3" s="3" t="n">
        <v>1</v>
      </c>
      <c r="DK3" s="2"/>
      <c r="DL3" s="2" t="inlineStr">
        <is>
          <t>图纸会审</t>
        </is>
      </c>
      <c r="DM3" s="2" t="inlineStr">
        <is>
          <t>1次</t>
        </is>
      </c>
      <c r="DN3" s="3" t="n">
        <v>1</v>
      </c>
      <c r="DO3" s="3" t="n">
        <v>1</v>
      </c>
      <c r="DP3" s="2" t="inlineStr">
        <is>
          <t>B.2小时以内</t>
        </is>
      </c>
      <c r="DQ3" s="7" t="n">
        <v>2</v>
      </c>
      <c r="DR3" s="7" t="n">
        <v>2</v>
      </c>
      <c r="DS3" s="7" t="n">
        <v>2</v>
      </c>
      <c r="DT3" s="7" t="n">
        <v>2</v>
      </c>
      <c r="DU3" s="2" t="inlineStr">
        <is>
          <t>协调沟通类</t>
        </is>
      </c>
      <c r="DV3" s="2"/>
      <c r="DW3" s="2" t="inlineStr">
        <is>
          <t>外部联络</t>
        </is>
      </c>
      <c r="DX3" s="2" t="inlineStr">
        <is>
          <t>自主发起</t>
        </is>
      </c>
      <c r="DY3" s="2" t="inlineStr">
        <is>
          <t>重要且紧急</t>
        </is>
      </c>
      <c r="DZ3" s="2" t="inlineStr">
        <is>
          <t>高度标准化-有成熟SOP，照做即可</t>
        </is>
      </c>
      <c r="EA3" s="2" t="inlineStr">
        <is>
          <t>极少（&lt;5%）</t>
        </is>
      </c>
      <c r="EB3" s="2" t="inlineStr">
        <is>
          <t>沟通/协调负荷</t>
        </is>
      </c>
      <c r="EC3" s="2"/>
      <c r="ED3" s="2" t="inlineStr">
        <is>
          <t>c576f954-e8ef-495e-b965-e7a6dabaab41</t>
        </is>
      </c>
      <c r="EE3" s="3" t="n">
        <v>1</v>
      </c>
      <c r="EF3" s="2"/>
      <c r="EG3" s="2" t="inlineStr">
        <is>
          <t>项目决算</t>
        </is>
      </c>
      <c r="EH3" s="2" t="inlineStr">
        <is>
          <t>1次</t>
        </is>
      </c>
      <c r="EI3" s="3" t="n">
        <v>1</v>
      </c>
      <c r="EJ3" s="2" t="inlineStr">
        <is>
          <t>E.8小时以上</t>
        </is>
      </c>
      <c r="EK3" s="7" t="n">
        <v>8</v>
      </c>
      <c r="EL3" s="7" t="n">
        <v>8</v>
      </c>
      <c r="EM3" s="7" t="n">
        <v>8</v>
      </c>
      <c r="EN3" s="7" t="n">
        <v>8</v>
      </c>
      <c r="EO3" s="2" t="inlineStr">
        <is>
          <t>专业技术类</t>
        </is>
      </c>
      <c r="EP3" s="2"/>
      <c r="EQ3" s="2" t="inlineStr">
        <is>
          <t>标准研究</t>
        </is>
      </c>
      <c r="ER3" s="2" t="inlineStr">
        <is>
          <t>岗位职责</t>
        </is>
      </c>
      <c r="ES3" s="2" t="inlineStr">
        <is>
          <t>重要且紧急</t>
        </is>
      </c>
      <c r="ET3" s="2" t="inlineStr">
        <is>
          <t>高度标准化-有成熟SOP，照做即可</t>
        </is>
      </c>
      <c r="EU3" s="2" t="inlineStr">
        <is>
          <t>极少（&lt;5%）</t>
        </is>
      </c>
      <c r="EV3" s="2" t="inlineStr">
        <is>
          <t>脑力/复杂度负荷</t>
        </is>
      </c>
      <c r="EW3" s="2"/>
      <c r="EX3" s="2" t="inlineStr">
        <is>
          <t>3fa77b2d-d61c-4b76-9dfe-2a72857f02d1</t>
        </is>
      </c>
      <c r="EY3" s="3" t="n">
        <v>1</v>
      </c>
      <c r="EZ3" s="2"/>
      <c r="FA3" s="2" t="inlineStr">
        <is>
          <t>现场施工赶工</t>
        </is>
      </c>
      <c r="FB3" s="2" t="inlineStr">
        <is>
          <t>每月3次以上</t>
        </is>
      </c>
      <c r="FC3" s="2" t="inlineStr">
        <is>
          <t>月</t>
        </is>
      </c>
      <c r="FD3" s="3" t="n">
        <v>3</v>
      </c>
      <c r="FE3" s="3" t="n">
        <v>3</v>
      </c>
      <c r="FF3" s="2" t="inlineStr">
        <is>
          <t>C.2-4小时</t>
        </is>
      </c>
      <c r="FG3" s="7" t="n">
        <v>2</v>
      </c>
      <c r="FH3" s="7" t="n">
        <v>4</v>
      </c>
      <c r="FI3" s="7" t="n">
        <v>6</v>
      </c>
      <c r="FJ3" s="7" t="n">
        <v>12</v>
      </c>
      <c r="FK3" s="7" t="n">
        <v>0</v>
      </c>
      <c r="FL3" s="7" t="n">
        <v>0</v>
      </c>
      <c r="FM3" s="7" t="n">
        <v>0</v>
      </c>
      <c r="FN3" s="7" t="n">
        <v>0</v>
      </c>
      <c r="FO3" s="2" t="inlineStr">
        <is>
          <t>综合管理类</t>
        </is>
      </c>
      <c r="FP3" s="2"/>
      <c r="FQ3" s="2" t="inlineStr">
        <is>
          <t>重点任务督办</t>
        </is>
      </c>
      <c r="FR3" s="2" t="inlineStr">
        <is>
          <t>岗位职责</t>
        </is>
      </c>
      <c r="FS3" s="2" t="inlineStr">
        <is>
          <t>重要且紧急</t>
        </is>
      </c>
      <c r="FT3" s="2" t="inlineStr">
        <is>
          <t>高度标准化-有成熟SOP，照做即可</t>
        </is>
      </c>
      <c r="FU3" s="2" t="inlineStr">
        <is>
          <t>极少（&lt;5%）</t>
        </is>
      </c>
      <c r="FV3" s="2" t="inlineStr">
        <is>
          <t>责任/风险负荷</t>
        </is>
      </c>
      <c r="FW3" s="2"/>
    </row>
    <row r="4">
      <c r="A4" s="2" t="inlineStr">
        <is>
          <t>2026-05-26 16:18:47</t>
        </is>
      </c>
      <c r="B4" s="2" t="inlineStr">
        <is>
          <t>杨燕</t>
        </is>
      </c>
      <c r="C4" s="2" t="inlineStr">
        <is>
          <t>资产财务部</t>
        </is>
      </c>
      <c r="D4" s="2" t="inlineStr">
        <is>
          <t>女</t>
        </is>
      </c>
      <c r="E4" s="2" t="inlineStr">
        <is>
          <t>32058619880622212X</t>
        </is>
      </c>
      <c r="F4" s="2" t="inlineStr">
        <is>
          <t>专业工程师</t>
        </is>
      </c>
      <c r="G4" s="2" t="inlineStr">
        <is>
          <t>2010-08</t>
        </is>
      </c>
      <c r="H4" s="2" t="inlineStr">
        <is>
          <t>苏州卫生职业技术学院</t>
        </is>
      </c>
      <c r="I4" s="2" t="inlineStr">
        <is>
          <t>会计</t>
        </is>
      </c>
      <c r="J4" s="2" t="inlineStr">
        <is>
          <t>本科</t>
        </is>
      </c>
      <c r="K4" s="2"/>
      <c r="L4" s="6">
        <f>HYPERLINK("https://www.h3yun.com/Form/Attachments/?schemacode=D1483577de63ede327d4760b10664bd57671d7e&amp;bizObjectId=0db06d22-a125-43be-b770-32c949609625&amp;name=F0000046","点击查看")</f>
        <v>0</v>
      </c>
      <c r="M4" s="2" t="inlineStr">
        <is>
          <t xml:space="preserve"> 无</t>
        </is>
      </c>
      <c r="N4" s="2" t="inlineStr">
        <is>
          <t>每日工作;每周工作;每月工作;每季度/阶段性工作;临时/突发工作</t>
        </is>
      </c>
      <c r="O4" s="2" t="inlineStr">
        <is>
          <t>30-40岁</t>
        </is>
      </c>
      <c r="P4" s="2" t="inlineStr">
        <is>
          <t>C.已婚已育</t>
        </is>
      </c>
      <c r="Q4" s="2" t="inlineStr">
        <is>
          <t>B.是，主要照护子女</t>
        </is>
      </c>
      <c r="R4" s="2" t="inlineStr">
        <is>
          <t>A.否</t>
        </is>
      </c>
      <c r="S4" s="2" t="inlineStr">
        <is>
          <t>A.保持当前工作内容和节奏，收入相对稳定即可</t>
        </is>
      </c>
      <c r="T4" s="2" t="inlineStr">
        <is>
          <t>A.基本满意，希望保持</t>
        </is>
      </c>
      <c r="U4" s="2" t="inlineStr">
        <is>
          <t>F.提高支持资源或人员配置</t>
        </is>
      </c>
      <c r="V4" s="2" t="inlineStr">
        <is>
          <t>A.没有</t>
        </is>
      </c>
      <c r="W4" s="2"/>
      <c r="X4" s="2" t="inlineStr">
        <is>
          <t>B.满负荷 (100%-120%)</t>
        </is>
      </c>
      <c r="Y4" s="2" t="inlineStr">
        <is>
          <t>A.岗位工作量饱和，已达人效上限;B.上游资料不全，导致反复沟通/返工;C.会议或日常协调过多，压缩产出时间;I.因正常工作任务截止日遇上节假日所需加班;J.在指导答疑协助上耗时过多导致的加班</t>
        </is>
      </c>
      <c r="Z4" s="2" t="inlineStr">
        <is>
          <t>外部联络</t>
        </is>
      </c>
      <c r="AA4" s="2" t="inlineStr">
        <is>
          <t>催办</t>
        </is>
      </c>
      <c r="AB4" s="2" t="inlineStr">
        <is>
          <t>财务管理流程</t>
        </is>
      </c>
      <c r="AC4" s="2" t="inlineStr">
        <is>
          <t>B.基本匹配（正常履行）</t>
        </is>
      </c>
      <c r="AD4" s="2" t="inlineStr">
        <is>
          <t>无</t>
        </is>
      </c>
      <c r="AE4" s="2"/>
      <c r="AF4" s="2"/>
      <c r="AG4" s="2" t="inlineStr">
        <is>
          <t>D.配偶不是公司家属</t>
        </is>
      </c>
      <c r="AH4" s="2"/>
      <c r="AI4" s="7" t="n">
        <v>21.49</v>
      </c>
      <c r="AJ4" s="7" t="n">
        <v>30.13</v>
      </c>
      <c r="AK4" s="7" t="n">
        <v>1.2</v>
      </c>
      <c r="AL4" s="7" t="n">
        <v>1.6</v>
      </c>
      <c r="AM4" s="7" t="n">
        <v>2.11</v>
      </c>
      <c r="AN4" s="7" t="n">
        <v>3.09</v>
      </c>
      <c r="AO4" s="7" t="n">
        <v>0.1</v>
      </c>
      <c r="AP4" s="7" t="n">
        <v>0.1</v>
      </c>
      <c r="AQ4" s="7" t="n">
        <v>0.34</v>
      </c>
      <c r="AR4" s="7" t="n">
        <v>0.59</v>
      </c>
      <c r="AS4" s="7" t="n">
        <v>25.24</v>
      </c>
      <c r="AT4" s="7" t="n">
        <v>35.51</v>
      </c>
      <c r="AU4" s="7" t="n">
        <v>30.38</v>
      </c>
      <c r="AV4" s="2" t="inlineStr">
        <is>
          <t>超负荷</t>
        </is>
      </c>
      <c r="AW4" s="2" t="inlineStr">
        <is>
          <t>不一致</t>
        </is>
      </c>
      <c r="AX4" s="2" t="inlineStr">
        <is>
          <t>0db06d22-a125-43be-b770-32c949609625</t>
        </is>
      </c>
      <c r="AY4" s="2" t="inlineStr">
        <is>
          <t>资产财务部    杨燕</t>
        </is>
      </c>
      <c r="AZ4" s="2" t="inlineStr">
        <is>
          <t>Anonymous</t>
        </is>
      </c>
      <c r="BA4" s="2" t="inlineStr">
        <is>
          <t>Anonymous</t>
        </is>
      </c>
      <c r="BB4" s="2"/>
      <c r="BC4" s="2" t="inlineStr">
        <is>
          <t>2026-05-26 16:18:47</t>
        </is>
      </c>
      <c r="BD4" s="3" t="n">
        <v>1988</v>
      </c>
      <c r="BE4" s="3" t="n">
        <v>38</v>
      </c>
      <c r="BF4" s="2" t="inlineStr">
        <is>
          <t>A.无此需求</t>
        </is>
      </c>
      <c r="BG4" s="2" t="inlineStr">
        <is>
          <t>已生效</t>
        </is>
      </c>
      <c r="BH4" s="2" t="inlineStr">
        <is>
          <t>4f6932fe-403f-416b-98a7-391338e14e91</t>
        </is>
      </c>
      <c r="BI4" s="3" t="n">
        <v>1</v>
      </c>
      <c r="BJ4" s="2"/>
      <c r="BK4" s="2"/>
      <c r="BL4" s="2"/>
      <c r="BM4" s="2"/>
      <c r="BN4" s="2"/>
      <c r="BO4" s="2"/>
      <c r="BP4" s="2"/>
      <c r="BQ4" s="2"/>
      <c r="BR4" s="2"/>
      <c r="BS4" s="2" t="inlineStr">
        <is>
          <t>ea3b60bf-68dc-4886-91a1-6f45148a3e1e</t>
        </is>
      </c>
      <c r="BT4" s="3" t="n">
        <v>1</v>
      </c>
      <c r="BU4" s="2" t="inlineStr">
        <is>
          <t>流程审批类</t>
        </is>
      </c>
      <c r="BV4" s="2" t="inlineStr">
        <is>
          <t>ERP流程审批</t>
        </is>
      </c>
      <c r="BW4" s="2" t="inlineStr">
        <is>
          <t>10次以上</t>
        </is>
      </c>
      <c r="BX4" s="3" t="n">
        <v>10</v>
      </c>
      <c r="BY4" s="3" t="n">
        <v>10</v>
      </c>
      <c r="BZ4" s="2" t="inlineStr">
        <is>
          <t>A.20分钟以内</t>
        </is>
      </c>
      <c r="CA4" s="7" t="n">
        <v>0.33</v>
      </c>
      <c r="CB4" s="7" t="n">
        <v>0.33</v>
      </c>
      <c r="CC4" s="7" t="n">
        <v>3.3</v>
      </c>
      <c r="CD4" s="7" t="n">
        <v>3.3</v>
      </c>
      <c r="CE4" s="2" t="inlineStr">
        <is>
          <t>流程审批类</t>
        </is>
      </c>
      <c r="CF4" s="2"/>
      <c r="CG4" s="2" t="inlineStr">
        <is>
          <t>财务管理流程</t>
        </is>
      </c>
      <c r="CH4" s="2" t="inlineStr">
        <is>
          <t>岗位职责</t>
        </is>
      </c>
      <c r="CI4" s="2" t="inlineStr">
        <is>
          <t>重要且紧急</t>
        </is>
      </c>
      <c r="CJ4" s="2" t="inlineStr">
        <is>
          <t>半标准化-有流程框架，需专业经验</t>
        </is>
      </c>
      <c r="CK4" s="2" t="inlineStr">
        <is>
          <t>极少（&lt;5%）</t>
        </is>
      </c>
      <c r="CL4" s="2" t="inlineStr">
        <is>
          <t>责任/风险负荷</t>
        </is>
      </c>
      <c r="CM4" s="2"/>
      <c r="CN4" s="2" t="inlineStr">
        <is>
          <t>249d6839-be35-449f-b745-b675eb229aca</t>
        </is>
      </c>
      <c r="CO4" s="3" t="n">
        <v>1</v>
      </c>
      <c r="CP4" s="2"/>
      <c r="CQ4" s="2" t="inlineStr">
        <is>
          <t>对合作方税务、财务、公司制度答疑</t>
        </is>
      </c>
      <c r="CR4" s="2" t="inlineStr">
        <is>
          <t>2-3次</t>
        </is>
      </c>
      <c r="CS4" s="3" t="n">
        <v>2</v>
      </c>
      <c r="CT4" s="3" t="n">
        <v>3</v>
      </c>
      <c r="CU4" s="2" t="inlineStr">
        <is>
          <t>B.2小时以内</t>
        </is>
      </c>
      <c r="CV4" s="7" t="n">
        <v>2</v>
      </c>
      <c r="CW4" s="7" t="n">
        <v>2</v>
      </c>
      <c r="CX4" s="7" t="n">
        <v>4</v>
      </c>
      <c r="CY4" s="7" t="n">
        <v>6</v>
      </c>
      <c r="CZ4" s="2" t="inlineStr">
        <is>
          <t>专业技术类</t>
        </is>
      </c>
      <c r="DA4" s="2"/>
      <c r="DB4" s="2" t="inlineStr">
        <is>
          <t>专业问题协调</t>
        </is>
      </c>
      <c r="DC4" s="2" t="inlineStr">
        <is>
          <t>跨部门协同</t>
        </is>
      </c>
      <c r="DD4" s="2" t="inlineStr">
        <is>
          <t>重要且紧急</t>
        </is>
      </c>
      <c r="DE4" s="2" t="inlineStr">
        <is>
          <t>半标准化-有流程框架，需专业经验</t>
        </is>
      </c>
      <c r="DF4" s="2" t="inlineStr">
        <is>
          <t>低频（5%-10%）</t>
        </is>
      </c>
      <c r="DG4" s="2" t="inlineStr">
        <is>
          <t>沟通/协调负荷</t>
        </is>
      </c>
      <c r="DH4" s="2"/>
      <c r="DI4" s="2" t="inlineStr">
        <is>
          <t>4eae5584-f988-42c4-b638-4afb1c391433</t>
        </is>
      </c>
      <c r="DJ4" s="3" t="n">
        <v>1</v>
      </c>
      <c r="DK4" s="2"/>
      <c r="DL4" s="2" t="inlineStr">
        <is>
          <t>外经证申请</t>
        </is>
      </c>
      <c r="DM4" s="2" t="inlineStr">
        <is>
          <t>2-3次</t>
        </is>
      </c>
      <c r="DN4" s="3" t="n">
        <v>2</v>
      </c>
      <c r="DO4" s="3" t="n">
        <v>3</v>
      </c>
      <c r="DP4" s="2" t="inlineStr">
        <is>
          <t>A.20分钟以内</t>
        </is>
      </c>
      <c r="DQ4" s="7" t="n">
        <v>0.33</v>
      </c>
      <c r="DR4" s="7" t="n">
        <v>0.33</v>
      </c>
      <c r="DS4" s="7" t="n">
        <v>0.66</v>
      </c>
      <c r="DT4" s="7" t="n">
        <v>0.99</v>
      </c>
      <c r="DU4" s="2" t="inlineStr">
        <is>
          <t>专业技术类</t>
        </is>
      </c>
      <c r="DV4" s="2"/>
      <c r="DW4" s="2" t="inlineStr">
        <is>
          <t>专业问题协调</t>
        </is>
      </c>
      <c r="DX4" s="2" t="inlineStr">
        <is>
          <t>岗位职责</t>
        </is>
      </c>
      <c r="DY4" s="2" t="inlineStr">
        <is>
          <t>重要且紧急</t>
        </is>
      </c>
      <c r="DZ4" s="2" t="inlineStr">
        <is>
          <t>半标准化-有流程框架，需专业经验</t>
        </is>
      </c>
      <c r="EA4" s="2" t="inlineStr">
        <is>
          <t>极少（&lt;5%）</t>
        </is>
      </c>
      <c r="EB4" s="2" t="inlineStr">
        <is>
          <t>沟通/协调负荷</t>
        </is>
      </c>
      <c r="EC4" s="2"/>
      <c r="ED4" s="2" t="inlineStr">
        <is>
          <t>1b697498-da73-4800-ab07-767f48339341</t>
        </is>
      </c>
      <c r="EE4" s="3" t="n">
        <v>1</v>
      </c>
      <c r="EF4" s="2"/>
      <c r="EG4" s="2" t="inlineStr">
        <is>
          <t>子公司印花税、企业所得税对外申报、缴纳</t>
        </is>
      </c>
      <c r="EH4" s="2" t="inlineStr">
        <is>
          <t>1次</t>
        </is>
      </c>
      <c r="EI4" s="3" t="n">
        <v>1</v>
      </c>
      <c r="EJ4" s="2" t="inlineStr">
        <is>
          <t>B.2小时以内</t>
        </is>
      </c>
      <c r="EK4" s="7" t="n">
        <v>2</v>
      </c>
      <c r="EL4" s="7" t="n">
        <v>2</v>
      </c>
      <c r="EM4" s="7" t="n">
        <v>2</v>
      </c>
      <c r="EN4" s="7" t="n">
        <v>2</v>
      </c>
      <c r="EO4" s="2" t="inlineStr">
        <is>
          <t>专业技术类</t>
        </is>
      </c>
      <c r="EP4" s="2"/>
      <c r="EQ4" s="2" t="inlineStr">
        <is>
          <t>专业问题协调</t>
        </is>
      </c>
      <c r="ER4" s="2" t="inlineStr">
        <is>
          <t>岗位职责</t>
        </is>
      </c>
      <c r="ES4" s="2" t="inlineStr">
        <is>
          <t>重要不紧急</t>
        </is>
      </c>
      <c r="ET4" s="2" t="inlineStr">
        <is>
          <t>半标准化-有流程框架，需专业经验</t>
        </is>
      </c>
      <c r="EU4" s="2" t="inlineStr">
        <is>
          <t>极少（&lt;5%）</t>
        </is>
      </c>
      <c r="EV4" s="2" t="inlineStr">
        <is>
          <t>责任/风险负荷</t>
        </is>
      </c>
      <c r="EW4" s="2"/>
      <c r="EX4" s="2" t="inlineStr">
        <is>
          <t>29f69774-31fa-4c1e-8dc1-d8cd1335016b</t>
        </is>
      </c>
      <c r="EY4" s="3" t="n">
        <v>1</v>
      </c>
      <c r="EZ4" s="2"/>
      <c r="FA4" s="2" t="inlineStr">
        <is>
          <t>了解并传达财务相关政策变化</t>
        </is>
      </c>
      <c r="FB4" s="2" t="inlineStr">
        <is>
          <t>每年1-2次</t>
        </is>
      </c>
      <c r="FC4" s="2" t="inlineStr">
        <is>
          <t>年</t>
        </is>
      </c>
      <c r="FD4" s="3" t="n">
        <v>1</v>
      </c>
      <c r="FE4" s="3" t="n">
        <v>2</v>
      </c>
      <c r="FF4" s="2" t="inlineStr">
        <is>
          <t>E.8小时以上</t>
        </is>
      </c>
      <c r="FG4" s="7" t="n">
        <v>8</v>
      </c>
      <c r="FH4" s="7" t="n">
        <v>8</v>
      </c>
      <c r="FI4" s="7" t="n">
        <v>0</v>
      </c>
      <c r="FJ4" s="7" t="n">
        <v>0</v>
      </c>
      <c r="FK4" s="7" t="n">
        <v>0</v>
      </c>
      <c r="FL4" s="7" t="n">
        <v>0</v>
      </c>
      <c r="FM4" s="7" t="n">
        <v>8</v>
      </c>
      <c r="FN4" s="7" t="n">
        <v>16</v>
      </c>
      <c r="FO4" s="2" t="inlineStr">
        <is>
          <t>专业技术类</t>
        </is>
      </c>
      <c r="FP4" s="2"/>
      <c r="FQ4" s="2" t="inlineStr">
        <is>
          <t>标准研究</t>
        </is>
      </c>
      <c r="FR4" s="2" t="inlineStr">
        <is>
          <t>自主发起</t>
        </is>
      </c>
      <c r="FS4" s="2" t="inlineStr">
        <is>
          <t>重要不紧急</t>
        </is>
      </c>
      <c r="FT4" s="2" t="inlineStr">
        <is>
          <t>非标准化-无先例参考，需创新协调</t>
        </is>
      </c>
      <c r="FU4" s="2" t="inlineStr">
        <is>
          <t>极少（&lt;5%）</t>
        </is>
      </c>
      <c r="FV4" s="2" t="inlineStr">
        <is>
          <t>脑力/复杂度负荷</t>
        </is>
      </c>
      <c r="FW4" s="2"/>
    </row>
    <row r="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t="inlineStr">
        <is>
          <t>72131a4e-b4f1-4e2c-b701-5bddb8bc1eea</t>
        </is>
      </c>
      <c r="BT5" s="3" t="n">
        <v>2</v>
      </c>
      <c r="BU5" s="2" t="inlineStr">
        <is>
          <t>专业技术类</t>
        </is>
      </c>
      <c r="BV5" s="2" t="inlineStr">
        <is>
          <t>GS收付款流程</t>
        </is>
      </c>
      <c r="BW5" s="2" t="inlineStr">
        <is>
          <t>10次以上</t>
        </is>
      </c>
      <c r="BX5" s="3" t="n">
        <v>10</v>
      </c>
      <c r="BY5" s="3" t="n">
        <v>10</v>
      </c>
      <c r="BZ5" s="2" t="inlineStr">
        <is>
          <t>A.20分钟以内</t>
        </is>
      </c>
      <c r="CA5" s="7" t="n">
        <v>0.33</v>
      </c>
      <c r="CB5" s="7" t="n">
        <v>0.33</v>
      </c>
      <c r="CC5" s="7" t="n">
        <v>3.3</v>
      </c>
      <c r="CD5" s="7" t="n">
        <v>3.3</v>
      </c>
      <c r="CE5" s="2" t="inlineStr">
        <is>
          <t>专业技术类</t>
        </is>
      </c>
      <c r="CF5" s="2"/>
      <c r="CG5" s="2" t="inlineStr">
        <is>
          <t>费用报销流程</t>
        </is>
      </c>
      <c r="CH5" s="2" t="inlineStr">
        <is>
          <t>岗位职责</t>
        </is>
      </c>
      <c r="CI5" s="2" t="inlineStr">
        <is>
          <t>重要且紧急</t>
        </is>
      </c>
      <c r="CJ5" s="2" t="inlineStr">
        <is>
          <t>高度标准化-有成熟SOP，照做即可</t>
        </is>
      </c>
      <c r="CK5" s="2" t="inlineStr">
        <is>
          <t>极少（&lt;5%）</t>
        </is>
      </c>
      <c r="CL5" s="2" t="inlineStr">
        <is>
          <t>时效/强度负荷</t>
        </is>
      </c>
      <c r="CM5" s="2"/>
      <c r="CN5" s="2" t="inlineStr">
        <is>
          <t>c1e4870c-5076-4a2f-8b48-3d1071a85b84</t>
        </is>
      </c>
      <c r="CO5" s="3" t="n">
        <v>2</v>
      </c>
      <c r="CP5" s="2"/>
      <c r="CQ5" s="2" t="inlineStr">
        <is>
          <t>分公司与资金组，GS与ERP资金对账</t>
        </is>
      </c>
      <c r="CR5" s="2" t="inlineStr">
        <is>
          <t>1次</t>
        </is>
      </c>
      <c r="CS5" s="3" t="n">
        <v>1</v>
      </c>
      <c r="CT5" s="3" t="n">
        <v>1</v>
      </c>
      <c r="CU5" s="2" t="inlineStr">
        <is>
          <t>B.2小时以内</t>
        </is>
      </c>
      <c r="CV5" s="7" t="n">
        <v>2</v>
      </c>
      <c r="CW5" s="7" t="n">
        <v>2</v>
      </c>
      <c r="CX5" s="7" t="n">
        <v>2</v>
      </c>
      <c r="CY5" s="7" t="n">
        <v>2</v>
      </c>
      <c r="CZ5" s="2" t="inlineStr">
        <is>
          <t>数据报表类</t>
        </is>
      </c>
      <c r="DA5" s="2"/>
      <c r="DB5" s="2" t="inlineStr">
        <is>
          <t>专项统计</t>
        </is>
      </c>
      <c r="DC5" s="2" t="inlineStr">
        <is>
          <t>岗位职责</t>
        </is>
      </c>
      <c r="DD5" s="2" t="inlineStr">
        <is>
          <t>重要不紧急</t>
        </is>
      </c>
      <c r="DE5" s="2" t="inlineStr">
        <is>
          <t>半标准化-有流程框架，需专业经验</t>
        </is>
      </c>
      <c r="DF5" s="2" t="inlineStr">
        <is>
          <t>极少（&lt;5%）</t>
        </is>
      </c>
      <c r="DG5" s="2" t="inlineStr">
        <is>
          <t>时效/强度负荷</t>
        </is>
      </c>
      <c r="DH5" s="2"/>
      <c r="DI5" s="2" t="inlineStr">
        <is>
          <t>b08dce59-9c9b-4c7e-b708-1f00955ce37d</t>
        </is>
      </c>
      <c r="DJ5" s="3" t="n">
        <v>2</v>
      </c>
      <c r="DK5" s="2"/>
      <c r="DL5" s="2" t="inlineStr">
        <is>
          <t>分公司税金计算、申报、缴纳</t>
        </is>
      </c>
      <c r="DM5" s="2" t="inlineStr">
        <is>
          <t>4-8次</t>
        </is>
      </c>
      <c r="DN5" s="3" t="n">
        <v>4</v>
      </c>
      <c r="DO5" s="3" t="n">
        <v>8</v>
      </c>
      <c r="DP5" s="2" t="inlineStr">
        <is>
          <t>B.2小时以内</t>
        </is>
      </c>
      <c r="DQ5" s="7" t="n">
        <v>2</v>
      </c>
      <c r="DR5" s="7" t="n">
        <v>2</v>
      </c>
      <c r="DS5" s="7" t="n">
        <v>8</v>
      </c>
      <c r="DT5" s="7" t="n">
        <v>16</v>
      </c>
      <c r="DU5" s="2" t="inlineStr">
        <is>
          <t>专业技术类</t>
        </is>
      </c>
      <c r="DV5" s="2"/>
      <c r="DW5" s="2" t="inlineStr">
        <is>
          <t>专业问题协调</t>
        </is>
      </c>
      <c r="DX5" s="2" t="inlineStr">
        <is>
          <t>岗位职责</t>
        </is>
      </c>
      <c r="DY5" s="2" t="inlineStr">
        <is>
          <t>重要不紧急</t>
        </is>
      </c>
      <c r="DZ5" s="2" t="inlineStr">
        <is>
          <t>半标准化-有流程框架，需专业经验</t>
        </is>
      </c>
      <c r="EA5" s="2" t="inlineStr">
        <is>
          <t>极少（&lt;5%）</t>
        </is>
      </c>
      <c r="EB5" s="2" t="inlineStr">
        <is>
          <t>时效/强度负荷</t>
        </is>
      </c>
      <c r="EC5" s="2"/>
      <c r="ED5" s="2" t="inlineStr">
        <is>
          <t>5218e837-8f53-4a9e-a1d4-af0187a2d5a4</t>
        </is>
      </c>
      <c r="EE5" s="3" t="n">
        <v>2</v>
      </c>
      <c r="EF5" s="2"/>
      <c r="EG5" s="2" t="inlineStr">
        <is>
          <t>分公司印花税申报</t>
        </is>
      </c>
      <c r="EH5" s="2" t="inlineStr">
        <is>
          <t>3次及以上</t>
        </is>
      </c>
      <c r="EI5" s="3" t="n">
        <v>3</v>
      </c>
      <c r="EJ5" s="2" t="inlineStr">
        <is>
          <t>B.2小时以内</t>
        </is>
      </c>
      <c r="EK5" s="7" t="n">
        <v>2</v>
      </c>
      <c r="EL5" s="7" t="n">
        <v>2</v>
      </c>
      <c r="EM5" s="7" t="n">
        <v>6</v>
      </c>
      <c r="EN5" s="7" t="n">
        <v>6</v>
      </c>
      <c r="EO5" s="2" t="inlineStr">
        <is>
          <t>专业技术类</t>
        </is>
      </c>
      <c r="EP5" s="2"/>
      <c r="EQ5" s="2" t="inlineStr">
        <is>
          <t>专业问题协调</t>
        </is>
      </c>
      <c r="ER5" s="2" t="inlineStr">
        <is>
          <t>岗位职责</t>
        </is>
      </c>
      <c r="ES5" s="2" t="inlineStr">
        <is>
          <t>重要不紧急</t>
        </is>
      </c>
      <c r="ET5" s="2" t="inlineStr">
        <is>
          <t>半标准化-有流程框架，需专业经验</t>
        </is>
      </c>
      <c r="EU5" s="2" t="inlineStr">
        <is>
          <t>极少（&lt;5%）</t>
        </is>
      </c>
      <c r="EV5" s="2" t="inlineStr">
        <is>
          <t>时效/强度负荷</t>
        </is>
      </c>
      <c r="EW5" s="2"/>
      <c r="EX5" s="2" t="inlineStr">
        <is>
          <t>145df0e3-23cd-4e09-8358-4a1601ebee3a</t>
        </is>
      </c>
      <c r="EY5" s="3" t="n">
        <v>2</v>
      </c>
      <c r="EZ5" s="2"/>
      <c r="FA5" s="2" t="inlineStr">
        <is>
          <t>办理保函、资信证明，</t>
        </is>
      </c>
      <c r="FB5" s="2" t="inlineStr">
        <is>
          <t>每年3次以上</t>
        </is>
      </c>
      <c r="FC5" s="2" t="inlineStr">
        <is>
          <t>年</t>
        </is>
      </c>
      <c r="FD5" s="3" t="n">
        <v>3</v>
      </c>
      <c r="FE5" s="3" t="n">
        <v>3</v>
      </c>
      <c r="FF5" s="2" t="inlineStr">
        <is>
          <t>B.2小时以内</t>
        </is>
      </c>
      <c r="FG5" s="7" t="n">
        <v>2</v>
      </c>
      <c r="FH5" s="7" t="n">
        <v>2</v>
      </c>
      <c r="FI5" s="7" t="n">
        <v>0</v>
      </c>
      <c r="FJ5" s="7" t="n">
        <v>0</v>
      </c>
      <c r="FK5" s="7" t="n">
        <v>0</v>
      </c>
      <c r="FL5" s="7" t="n">
        <v>0</v>
      </c>
      <c r="FM5" s="7" t="n">
        <v>6</v>
      </c>
      <c r="FN5" s="7" t="n">
        <v>6</v>
      </c>
      <c r="FO5" s="2" t="inlineStr">
        <is>
          <t>其他</t>
        </is>
      </c>
      <c r="FP5" s="2"/>
      <c r="FQ5" s="2"/>
      <c r="FR5" s="2" t="inlineStr">
        <is>
          <t>跨部门协同</t>
        </is>
      </c>
      <c r="FS5" s="2" t="inlineStr">
        <is>
          <t>重要且紧急</t>
        </is>
      </c>
      <c r="FT5" s="2" t="inlineStr">
        <is>
          <t>半标准化-有流程框架，需专业经验</t>
        </is>
      </c>
      <c r="FU5" s="2" t="inlineStr">
        <is>
          <t>极少（&lt;5%）</t>
        </is>
      </c>
      <c r="FV5" s="2" t="inlineStr">
        <is>
          <t>沟通/协调负荷</t>
        </is>
      </c>
      <c r="FW5" s="2"/>
    </row>
    <row r="6">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t="inlineStr">
        <is>
          <t>5e01e36a-7a90-435d-9f90-92f84b6518eb</t>
        </is>
      </c>
      <c r="BT6" s="3" t="n">
        <v>3</v>
      </c>
      <c r="BU6" s="2" t="inlineStr">
        <is>
          <t>协调沟通类</t>
        </is>
      </c>
      <c r="BV6" s="2" t="inlineStr">
        <is>
          <t>各方协调沟通</t>
        </is>
      </c>
      <c r="BW6" s="2" t="inlineStr">
        <is>
          <t>2-5次</t>
        </is>
      </c>
      <c r="BX6" s="3" t="n">
        <v>2</v>
      </c>
      <c r="BY6" s="3" t="n">
        <v>5</v>
      </c>
      <c r="BZ6" s="2" t="inlineStr">
        <is>
          <t>B.2小时以内</t>
        </is>
      </c>
      <c r="CA6" s="7" t="n">
        <v>2</v>
      </c>
      <c r="CB6" s="7" t="n">
        <v>2</v>
      </c>
      <c r="CC6" s="7" t="n">
        <v>4</v>
      </c>
      <c r="CD6" s="7" t="n">
        <v>10</v>
      </c>
      <c r="CE6" s="2" t="inlineStr">
        <is>
          <t>协调沟通类</t>
        </is>
      </c>
      <c r="CF6" s="2"/>
      <c r="CG6" s="2" t="inlineStr">
        <is>
          <t>催办</t>
        </is>
      </c>
      <c r="CH6" s="2" t="inlineStr">
        <is>
          <t>跨部门协同</t>
        </is>
      </c>
      <c r="CI6" s="2" t="inlineStr">
        <is>
          <t>重要且紧急</t>
        </is>
      </c>
      <c r="CJ6" s="2" t="inlineStr">
        <is>
          <t>非标准化-无先例参考，需创新协调</t>
        </is>
      </c>
      <c r="CK6" s="2" t="inlineStr">
        <is>
          <t>低频（5%-10%）</t>
        </is>
      </c>
      <c r="CL6" s="2" t="inlineStr">
        <is>
          <t>沟通/协调负荷</t>
        </is>
      </c>
      <c r="CM6" s="2"/>
      <c r="CN6" s="2"/>
      <c r="CO6" s="2"/>
      <c r="CP6" s="2"/>
      <c r="CQ6" s="2"/>
      <c r="CR6" s="2"/>
      <c r="CS6" s="2"/>
      <c r="CT6" s="2"/>
      <c r="CU6" s="2"/>
      <c r="CV6" s="2"/>
      <c r="CW6" s="2"/>
      <c r="CX6" s="2"/>
      <c r="CY6" s="2"/>
      <c r="CZ6" s="2"/>
      <c r="DA6" s="2"/>
      <c r="DB6" s="2"/>
      <c r="DC6" s="2"/>
      <c r="DD6" s="2"/>
      <c r="DE6" s="2"/>
      <c r="DF6" s="2"/>
      <c r="DG6" s="2"/>
      <c r="DH6" s="2"/>
      <c r="DI6" s="2" t="inlineStr">
        <is>
          <t>49a6498d-71a2-4542-8c71-473ac21eec61</t>
        </is>
      </c>
      <c r="DJ6" s="3" t="n">
        <v>3</v>
      </c>
      <c r="DK6" s="2"/>
      <c r="DL6" s="2" t="inlineStr">
        <is>
          <t>子公司对外申报增值税、个税及缴纳</t>
        </is>
      </c>
      <c r="DM6" s="2" t="inlineStr">
        <is>
          <t>1次</t>
        </is>
      </c>
      <c r="DN6" s="3" t="n">
        <v>1</v>
      </c>
      <c r="DO6" s="3" t="n">
        <v>1</v>
      </c>
      <c r="DP6" s="2" t="inlineStr">
        <is>
          <t>B.2小时以内</t>
        </is>
      </c>
      <c r="DQ6" s="7" t="n">
        <v>2</v>
      </c>
      <c r="DR6" s="7" t="n">
        <v>2</v>
      </c>
      <c r="DS6" s="7" t="n">
        <v>2</v>
      </c>
      <c r="DT6" s="7" t="n">
        <v>2</v>
      </c>
      <c r="DU6" s="2" t="inlineStr">
        <is>
          <t>专业技术类</t>
        </is>
      </c>
      <c r="DV6" s="2"/>
      <c r="DW6" s="2" t="inlineStr">
        <is>
          <t>专业问题协调</t>
        </is>
      </c>
      <c r="DX6" s="2" t="inlineStr">
        <is>
          <t>岗位职责</t>
        </is>
      </c>
      <c r="DY6" s="2" t="inlineStr">
        <is>
          <t>重要不紧急</t>
        </is>
      </c>
      <c r="DZ6" s="2" t="inlineStr">
        <is>
          <t>半标准化-有流程框架，需专业经验</t>
        </is>
      </c>
      <c r="EA6" s="2" t="inlineStr">
        <is>
          <t>极少（&lt;5%）</t>
        </is>
      </c>
      <c r="EB6" s="2" t="inlineStr">
        <is>
          <t>责任/风险负荷</t>
        </is>
      </c>
      <c r="EC6" s="2"/>
      <c r="ED6" s="2" t="inlineStr">
        <is>
          <t>dd68ff9f-a253-4b90-86ba-0e55048260fd</t>
        </is>
      </c>
      <c r="EE6" s="3" t="n">
        <v>3</v>
      </c>
      <c r="EF6" s="2"/>
      <c r="EG6" s="2" t="inlineStr">
        <is>
          <t>配合财务审计、税务审计</t>
        </is>
      </c>
      <c r="EH6" s="2" t="inlineStr">
        <is>
          <t>2次</t>
        </is>
      </c>
      <c r="EI6" s="3" t="n">
        <v>2</v>
      </c>
      <c r="EJ6" s="2" t="inlineStr">
        <is>
          <t>E.8小时以上</t>
        </is>
      </c>
      <c r="EK6" s="7" t="n">
        <v>8</v>
      </c>
      <c r="EL6" s="7" t="n">
        <v>8</v>
      </c>
      <c r="EM6" s="7" t="n">
        <v>16</v>
      </c>
      <c r="EN6" s="7" t="n">
        <v>16</v>
      </c>
      <c r="EO6" s="2" t="inlineStr">
        <is>
          <t>专业技术类</t>
        </is>
      </c>
      <c r="EP6" s="2"/>
      <c r="EQ6" s="2" t="inlineStr">
        <is>
          <t>专业问题协调</t>
        </is>
      </c>
      <c r="ER6" s="2" t="inlineStr">
        <is>
          <t>岗位职责</t>
        </is>
      </c>
      <c r="ES6" s="2" t="inlineStr">
        <is>
          <t>重要不紧急</t>
        </is>
      </c>
      <c r="ET6" s="2" t="inlineStr">
        <is>
          <t>半标准化-有流程框架，需专业经验</t>
        </is>
      </c>
      <c r="EU6" s="2" t="inlineStr">
        <is>
          <t>极少（&lt;5%）</t>
        </is>
      </c>
      <c r="EV6" s="2" t="inlineStr">
        <is>
          <t>沟通/协调负荷</t>
        </is>
      </c>
      <c r="EW6" s="2"/>
      <c r="EX6" s="2" t="inlineStr">
        <is>
          <t>4516e0ec-03b7-494d-b57e-712e7fd71bf1</t>
        </is>
      </c>
      <c r="EY6" s="3" t="n">
        <v>3</v>
      </c>
      <c r="EZ6" s="2"/>
      <c r="FA6" s="2" t="inlineStr">
        <is>
          <t>往年项目结算对账</t>
        </is>
      </c>
      <c r="FB6" s="2" t="inlineStr">
        <is>
          <t>每季3次以上</t>
        </is>
      </c>
      <c r="FC6" s="2" t="inlineStr">
        <is>
          <t>季</t>
        </is>
      </c>
      <c r="FD6" s="3" t="n">
        <v>3</v>
      </c>
      <c r="FE6" s="3" t="n">
        <v>3</v>
      </c>
      <c r="FF6" s="2" t="inlineStr">
        <is>
          <t>D.4-8小时</t>
        </is>
      </c>
      <c r="FG6" s="7" t="n">
        <v>4</v>
      </c>
      <c r="FH6" s="7" t="n">
        <v>8</v>
      </c>
      <c r="FI6" s="7" t="n">
        <v>0</v>
      </c>
      <c r="FJ6" s="7" t="n">
        <v>0</v>
      </c>
      <c r="FK6" s="7" t="n">
        <v>12</v>
      </c>
      <c r="FL6" s="7" t="n">
        <v>24</v>
      </c>
      <c r="FM6" s="7" t="n">
        <v>0</v>
      </c>
      <c r="FN6" s="7" t="n">
        <v>0</v>
      </c>
      <c r="FO6" s="2" t="inlineStr">
        <is>
          <t>其他</t>
        </is>
      </c>
      <c r="FP6" s="2"/>
      <c r="FQ6" s="2"/>
      <c r="FR6" s="2" t="inlineStr">
        <is>
          <t>岗位职责</t>
        </is>
      </c>
      <c r="FS6" s="2" t="inlineStr">
        <is>
          <t>重要不紧急</t>
        </is>
      </c>
      <c r="FT6" s="2" t="inlineStr">
        <is>
          <t>非标准化-无先例参考，需创新协调</t>
        </is>
      </c>
      <c r="FU6" s="2" t="inlineStr">
        <is>
          <t>极少（&lt;5%）</t>
        </is>
      </c>
      <c r="FV6" s="2" t="inlineStr">
        <is>
          <t>时效/强度负荷</t>
        </is>
      </c>
      <c r="FW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t="inlineStr">
        <is>
          <t>96126553-a085-4ba2-9151-ff3ce22449f3</t>
        </is>
      </c>
      <c r="BT7" s="3" t="n">
        <v>4</v>
      </c>
      <c r="BU7" s="2" t="inlineStr">
        <is>
          <t>数据报表类</t>
        </is>
      </c>
      <c r="BV7" s="2" t="inlineStr">
        <is>
          <t>数据统计，报表维护</t>
        </is>
      </c>
      <c r="BW7" s="2" t="inlineStr">
        <is>
          <t>1次</t>
        </is>
      </c>
      <c r="BX7" s="3" t="n">
        <v>1</v>
      </c>
      <c r="BY7" s="3" t="n">
        <v>1</v>
      </c>
      <c r="BZ7" s="2" t="inlineStr">
        <is>
          <t>A.20分钟以内</t>
        </is>
      </c>
      <c r="CA7" s="7" t="n">
        <v>0.33</v>
      </c>
      <c r="CB7" s="7" t="n">
        <v>0.33</v>
      </c>
      <c r="CC7" s="7" t="n">
        <v>0.33</v>
      </c>
      <c r="CD7" s="7" t="n">
        <v>0.33</v>
      </c>
      <c r="CE7" s="2" t="inlineStr">
        <is>
          <t>数据报表类</t>
        </is>
      </c>
      <c r="CF7" s="2"/>
      <c r="CG7" s="2" t="inlineStr">
        <is>
          <t>专项统计</t>
        </is>
      </c>
      <c r="CH7" s="2" t="inlineStr">
        <is>
          <t>上级指令</t>
        </is>
      </c>
      <c r="CI7" s="2" t="inlineStr">
        <is>
          <t>重要不紧急</t>
        </is>
      </c>
      <c r="CJ7" s="2" t="inlineStr">
        <is>
          <t>半标准化-有流程框架，需专业经验</t>
        </is>
      </c>
      <c r="CK7" s="2" t="inlineStr">
        <is>
          <t>极少（&lt;5%）</t>
        </is>
      </c>
      <c r="CL7" s="2" t="inlineStr">
        <is>
          <t>时效/强度负荷</t>
        </is>
      </c>
      <c r="CM7" s="2"/>
      <c r="CN7" s="2"/>
      <c r="CO7" s="2"/>
      <c r="CP7" s="2"/>
      <c r="CQ7" s="2"/>
      <c r="CR7" s="2"/>
      <c r="CS7" s="2"/>
      <c r="CT7" s="2"/>
      <c r="CU7" s="2"/>
      <c r="CV7" s="2"/>
      <c r="CW7" s="2"/>
      <c r="CX7" s="2"/>
      <c r="CY7" s="2"/>
      <c r="CZ7" s="2"/>
      <c r="DA7" s="2"/>
      <c r="DB7" s="2"/>
      <c r="DC7" s="2"/>
      <c r="DD7" s="2"/>
      <c r="DE7" s="2"/>
      <c r="DF7" s="2"/>
      <c r="DG7" s="2"/>
      <c r="DH7" s="2"/>
      <c r="DI7" s="2" t="inlineStr">
        <is>
          <t>6575f865-6a0a-4e78-84a2-20c7c7fcdd61</t>
        </is>
      </c>
      <c r="DJ7" s="3" t="n">
        <v>4</v>
      </c>
      <c r="DK7" s="2"/>
      <c r="DL7" s="2" t="inlineStr">
        <is>
          <t>子公司社保申报缴纳</t>
        </is>
      </c>
      <c r="DM7" s="2" t="inlineStr">
        <is>
          <t>1次</t>
        </is>
      </c>
      <c r="DN7" s="3" t="n">
        <v>1</v>
      </c>
      <c r="DO7" s="3" t="n">
        <v>1</v>
      </c>
      <c r="DP7" s="2" t="inlineStr">
        <is>
          <t>A.20分钟以内</t>
        </is>
      </c>
      <c r="DQ7" s="7" t="n">
        <v>0.33</v>
      </c>
      <c r="DR7" s="7" t="n">
        <v>0.33</v>
      </c>
      <c r="DS7" s="7" t="n">
        <v>0.33</v>
      </c>
      <c r="DT7" s="7" t="n">
        <v>0.33</v>
      </c>
      <c r="DU7" s="2" t="inlineStr">
        <is>
          <t>专业技术类</t>
        </is>
      </c>
      <c r="DV7" s="2"/>
      <c r="DW7" s="2" t="inlineStr">
        <is>
          <t>专业问题协调</t>
        </is>
      </c>
      <c r="DX7" s="2" t="inlineStr">
        <is>
          <t>岗位职责</t>
        </is>
      </c>
      <c r="DY7" s="2" t="inlineStr">
        <is>
          <t>重要不紧急</t>
        </is>
      </c>
      <c r="DZ7" s="2" t="inlineStr">
        <is>
          <t>半标准化-有流程框架，需专业经验</t>
        </is>
      </c>
      <c r="EA7" s="2" t="inlineStr">
        <is>
          <t>极少（&lt;5%）</t>
        </is>
      </c>
      <c r="EB7" s="2" t="inlineStr">
        <is>
          <t>责任/风险负荷</t>
        </is>
      </c>
      <c r="EC7" s="2"/>
      <c r="ED7" s="2"/>
      <c r="EE7" s="2"/>
      <c r="EF7" s="2"/>
      <c r="EG7" s="2"/>
      <c r="EH7" s="2"/>
      <c r="EI7" s="2"/>
      <c r="EJ7" s="2"/>
      <c r="EK7" s="2"/>
      <c r="EL7" s="2"/>
      <c r="EM7" s="2"/>
      <c r="EN7" s="2"/>
      <c r="EO7" s="2"/>
      <c r="EP7" s="2"/>
      <c r="EQ7" s="2"/>
      <c r="ER7" s="2"/>
      <c r="ES7" s="2"/>
      <c r="ET7" s="2"/>
      <c r="EU7" s="2"/>
      <c r="EV7" s="2"/>
      <c r="EW7" s="2"/>
      <c r="EX7" s="2" t="inlineStr">
        <is>
          <t>90fc22a6-f24a-4bb5-966b-c901f6e53c7d</t>
        </is>
      </c>
      <c r="EY7" s="3" t="n">
        <v>4</v>
      </c>
      <c r="EZ7" s="2"/>
      <c r="FA7" s="2" t="inlineStr">
        <is>
          <t>往来询证函</t>
        </is>
      </c>
      <c r="FB7" s="2" t="inlineStr">
        <is>
          <t>每季3次以上</t>
        </is>
      </c>
      <c r="FC7" s="2" t="inlineStr">
        <is>
          <t>季</t>
        </is>
      </c>
      <c r="FD7" s="3" t="n">
        <v>3</v>
      </c>
      <c r="FE7" s="3" t="n">
        <v>3</v>
      </c>
      <c r="FF7" s="2" t="inlineStr">
        <is>
          <t>A.20分钟以内</t>
        </is>
      </c>
      <c r="FG7" s="7" t="n">
        <v>0.33</v>
      </c>
      <c r="FH7" s="7" t="n">
        <v>0.33</v>
      </c>
      <c r="FI7" s="7" t="n">
        <v>0</v>
      </c>
      <c r="FJ7" s="7" t="n">
        <v>0</v>
      </c>
      <c r="FK7" s="7" t="n">
        <v>0.99</v>
      </c>
      <c r="FL7" s="7" t="n">
        <v>0.99</v>
      </c>
      <c r="FM7" s="7" t="n">
        <v>0</v>
      </c>
      <c r="FN7" s="7" t="n">
        <v>0</v>
      </c>
      <c r="FO7" s="2" t="inlineStr">
        <is>
          <t>其他</t>
        </is>
      </c>
      <c r="FP7" s="2"/>
      <c r="FQ7" s="2"/>
      <c r="FR7" s="2" t="inlineStr">
        <is>
          <t>岗位职责</t>
        </is>
      </c>
      <c r="FS7" s="2" t="inlineStr">
        <is>
          <t>不重要不紧急</t>
        </is>
      </c>
      <c r="FT7" s="2" t="inlineStr">
        <is>
          <t>非标准化-无先例参考，需创新协调</t>
        </is>
      </c>
      <c r="FU7" s="2" t="inlineStr">
        <is>
          <t>极少（&lt;5%）</t>
        </is>
      </c>
      <c r="FV7" s="2" t="inlineStr">
        <is>
          <t>时效/强度负荷</t>
        </is>
      </c>
      <c r="FW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t="inlineStr">
        <is>
          <t>f12826ba-fb21-44de-b9d5-15d6e47e6ace</t>
        </is>
      </c>
      <c r="BT8" s="3" t="n">
        <v>5</v>
      </c>
      <c r="BU8" s="2" t="inlineStr">
        <is>
          <t>监督检查类</t>
        </is>
      </c>
      <c r="BV8" s="2" t="inlineStr">
        <is>
          <t>财务合规性检查监督</t>
        </is>
      </c>
      <c r="BW8" s="2" t="inlineStr">
        <is>
          <t>6-10次</t>
        </is>
      </c>
      <c r="BX8" s="3" t="n">
        <v>6</v>
      </c>
      <c r="BY8" s="3" t="n">
        <v>10</v>
      </c>
      <c r="BZ8" s="2" t="inlineStr">
        <is>
          <t>A.20分钟以内</t>
        </is>
      </c>
      <c r="CA8" s="7" t="n">
        <v>0.33</v>
      </c>
      <c r="CB8" s="7" t="n">
        <v>0.33</v>
      </c>
      <c r="CC8" s="7" t="n">
        <v>1.98</v>
      </c>
      <c r="CD8" s="7" t="n">
        <v>3.3</v>
      </c>
      <c r="CE8" s="2" t="inlineStr">
        <is>
          <t>监督检查类</t>
        </is>
      </c>
      <c r="CF8" s="2"/>
      <c r="CG8" s="2" t="inlineStr">
        <is>
          <t>合规监督</t>
        </is>
      </c>
      <c r="CH8" s="2" t="inlineStr">
        <is>
          <t>岗位职责</t>
        </is>
      </c>
      <c r="CI8" s="2" t="inlineStr">
        <is>
          <t>重要不紧急</t>
        </is>
      </c>
      <c r="CJ8" s="2" t="inlineStr">
        <is>
          <t>半标准化-有流程框架，需专业经验</t>
        </is>
      </c>
      <c r="CK8" s="2" t="inlineStr">
        <is>
          <t>低频（5%-10%）</t>
        </is>
      </c>
      <c r="CL8" s="2" t="inlineStr">
        <is>
          <t>沟通/协调负荷</t>
        </is>
      </c>
      <c r="CM8" s="2"/>
      <c r="CN8" s="2"/>
      <c r="CO8" s="2"/>
      <c r="CP8" s="2"/>
      <c r="CQ8" s="2"/>
      <c r="CR8" s="2"/>
      <c r="CS8" s="2"/>
      <c r="CT8" s="2"/>
      <c r="CU8" s="2"/>
      <c r="CV8" s="2"/>
      <c r="CW8" s="2"/>
      <c r="CX8" s="2"/>
      <c r="CY8" s="2"/>
      <c r="CZ8" s="2"/>
      <c r="DA8" s="2"/>
      <c r="DB8" s="2"/>
      <c r="DC8" s="2"/>
      <c r="DD8" s="2"/>
      <c r="DE8" s="2"/>
      <c r="DF8" s="2"/>
      <c r="DG8" s="2"/>
      <c r="DH8" s="2"/>
      <c r="DI8" s="2" t="inlineStr">
        <is>
          <t>11d70930-1c98-42b4-b9cd-c824653afe69</t>
        </is>
      </c>
      <c r="DJ8" s="3" t="n">
        <v>5</v>
      </c>
      <c r="DK8" s="2"/>
      <c r="DL8" s="2" t="inlineStr">
        <is>
          <t>子公司劳务派遣业务收、付款，开票</t>
        </is>
      </c>
      <c r="DM8" s="2" t="inlineStr">
        <is>
          <t>8次以上</t>
        </is>
      </c>
      <c r="DN8" s="3" t="n">
        <v>8</v>
      </c>
      <c r="DO8" s="3" t="n">
        <v>8</v>
      </c>
      <c r="DP8" s="2" t="inlineStr">
        <is>
          <t>B.2小时以内</t>
        </is>
      </c>
      <c r="DQ8" s="7" t="n">
        <v>2</v>
      </c>
      <c r="DR8" s="7" t="n">
        <v>2</v>
      </c>
      <c r="DS8" s="7" t="n">
        <v>16</v>
      </c>
      <c r="DT8" s="7" t="n">
        <v>16</v>
      </c>
      <c r="DU8" s="2" t="inlineStr">
        <is>
          <t>专业技术类</t>
        </is>
      </c>
      <c r="DV8" s="2"/>
      <c r="DW8" s="2" t="inlineStr">
        <is>
          <t>专业问题协调</t>
        </is>
      </c>
      <c r="DX8" s="2" t="inlineStr">
        <is>
          <t>岗位职责</t>
        </is>
      </c>
      <c r="DY8" s="2" t="inlineStr">
        <is>
          <t>重要且紧急</t>
        </is>
      </c>
      <c r="DZ8" s="2" t="inlineStr">
        <is>
          <t>半标准化-有流程框架，需专业经验</t>
        </is>
      </c>
      <c r="EA8" s="2" t="inlineStr">
        <is>
          <t>极少（&lt;5%）</t>
        </is>
      </c>
      <c r="EB8" s="2" t="inlineStr">
        <is>
          <t>沟通/协调负荷</t>
        </is>
      </c>
      <c r="EC8" s="2"/>
      <c r="ED8" s="2"/>
      <c r="EE8" s="2"/>
      <c r="EF8" s="2"/>
      <c r="EG8" s="2"/>
      <c r="EH8" s="2"/>
      <c r="EI8" s="2"/>
      <c r="EJ8" s="2"/>
      <c r="EK8" s="2"/>
      <c r="EL8" s="2"/>
      <c r="EM8" s="2"/>
      <c r="EN8" s="2"/>
      <c r="EO8" s="2"/>
      <c r="EP8" s="2"/>
      <c r="EQ8" s="2"/>
      <c r="ER8" s="2"/>
      <c r="ES8" s="2"/>
      <c r="ET8" s="2"/>
      <c r="EU8" s="2"/>
      <c r="EV8" s="2"/>
      <c r="EW8" s="2"/>
      <c r="EX8" s="2" t="inlineStr">
        <is>
          <t>e9a3bb8f-36bc-4ce0-ae01-2ab36aa94bda</t>
        </is>
      </c>
      <c r="EY8" s="3" t="n">
        <v>5</v>
      </c>
      <c r="EZ8" s="2"/>
      <c r="FA8" s="2" t="inlineStr">
        <is>
          <t>投标找发票</t>
        </is>
      </c>
      <c r="FB8" s="2" t="inlineStr">
        <is>
          <t>每季3次以上</t>
        </is>
      </c>
      <c r="FC8" s="2" t="inlineStr">
        <is>
          <t>季</t>
        </is>
      </c>
      <c r="FD8" s="3" t="n">
        <v>3</v>
      </c>
      <c r="FE8" s="3" t="n">
        <v>3</v>
      </c>
      <c r="FF8" s="2" t="inlineStr">
        <is>
          <t>A.20分钟以内</t>
        </is>
      </c>
      <c r="FG8" s="7" t="n">
        <v>0.33</v>
      </c>
      <c r="FH8" s="7" t="n">
        <v>0.33</v>
      </c>
      <c r="FI8" s="7" t="n">
        <v>0</v>
      </c>
      <c r="FJ8" s="7" t="n">
        <v>0</v>
      </c>
      <c r="FK8" s="7" t="n">
        <v>0.99</v>
      </c>
      <c r="FL8" s="7" t="n">
        <v>0.99</v>
      </c>
      <c r="FM8" s="7" t="n">
        <v>0</v>
      </c>
      <c r="FN8" s="7" t="n">
        <v>0</v>
      </c>
      <c r="FO8" s="2" t="inlineStr">
        <is>
          <t>协调沟通类</t>
        </is>
      </c>
      <c r="FP8" s="2"/>
      <c r="FQ8" s="2" t="inlineStr">
        <is>
          <t>跨部门对接</t>
        </is>
      </c>
      <c r="FR8" s="2" t="inlineStr">
        <is>
          <t>跨部门协同</t>
        </is>
      </c>
      <c r="FS8" s="2" t="inlineStr">
        <is>
          <t>重要且紧急</t>
        </is>
      </c>
      <c r="FT8" s="2" t="inlineStr">
        <is>
          <t>非标准化-无先例参考，需创新协调</t>
        </is>
      </c>
      <c r="FU8" s="2" t="inlineStr">
        <is>
          <t>极少（&lt;5%）</t>
        </is>
      </c>
      <c r="FV8" s="2" t="inlineStr">
        <is>
          <t>沟通/协调负荷</t>
        </is>
      </c>
      <c r="FW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t="inlineStr">
        <is>
          <t>728b1432-d78f-4752-8b7f-4486c466b62d</t>
        </is>
      </c>
      <c r="BT9" s="3" t="n">
        <v>6</v>
      </c>
      <c r="BU9" s="2" t="inlineStr">
        <is>
          <t>专业技术类</t>
        </is>
      </c>
      <c r="BV9" s="2" t="inlineStr">
        <is>
          <t>GS开票、复核</t>
        </is>
      </c>
      <c r="BW9" s="2" t="inlineStr">
        <is>
          <t>6-10次</t>
        </is>
      </c>
      <c r="BX9" s="3" t="n">
        <v>6</v>
      </c>
      <c r="BY9" s="3" t="n">
        <v>10</v>
      </c>
      <c r="BZ9" s="2" t="inlineStr">
        <is>
          <t>A.20分钟以内</t>
        </is>
      </c>
      <c r="CA9" s="7" t="n">
        <v>0.33</v>
      </c>
      <c r="CB9" s="7" t="n">
        <v>0.33</v>
      </c>
      <c r="CC9" s="7" t="n">
        <v>1.98</v>
      </c>
      <c r="CD9" s="7" t="n">
        <v>3.3</v>
      </c>
      <c r="CE9" s="2" t="inlineStr">
        <is>
          <t>专业技术类</t>
        </is>
      </c>
      <c r="CF9" s="2"/>
      <c r="CG9" s="2" t="inlineStr">
        <is>
          <t>专业问题协调</t>
        </is>
      </c>
      <c r="CH9" s="2" t="inlineStr">
        <is>
          <t>岗位职责</t>
        </is>
      </c>
      <c r="CI9" s="2" t="inlineStr">
        <is>
          <t>重要不紧急</t>
        </is>
      </c>
      <c r="CJ9" s="2" t="inlineStr">
        <is>
          <t>半标准化-有流程框架，需专业经验</t>
        </is>
      </c>
      <c r="CK9" s="2" t="inlineStr">
        <is>
          <t>极少（&lt;5%）</t>
        </is>
      </c>
      <c r="CL9" s="2" t="inlineStr">
        <is>
          <t>时效/强度负荷</t>
        </is>
      </c>
      <c r="CM9" s="2"/>
      <c r="CN9" s="2"/>
      <c r="CO9" s="2"/>
      <c r="CP9" s="2"/>
      <c r="CQ9" s="2"/>
      <c r="CR9" s="2"/>
      <c r="CS9" s="2"/>
      <c r="CT9" s="2"/>
      <c r="CU9" s="2"/>
      <c r="CV9" s="2"/>
      <c r="CW9" s="2"/>
      <c r="CX9" s="2"/>
      <c r="CY9" s="2"/>
      <c r="CZ9" s="2"/>
      <c r="DA9" s="2"/>
      <c r="DB9" s="2"/>
      <c r="DC9" s="2"/>
      <c r="DD9" s="2"/>
      <c r="DE9" s="2"/>
      <c r="DF9" s="2"/>
      <c r="DG9" s="2"/>
      <c r="DH9" s="2"/>
      <c r="DI9" s="2" t="inlineStr">
        <is>
          <t>80dc10d3-703f-49c8-8fbf-892d2693c8b3</t>
        </is>
      </c>
      <c r="DJ9" s="3" t="n">
        <v>6</v>
      </c>
      <c r="DK9" s="2"/>
      <c r="DL9" s="2" t="inlineStr">
        <is>
          <t>结账、财务报表出具及审核</t>
        </is>
      </c>
      <c r="DM9" s="2" t="inlineStr">
        <is>
          <t>4-8次</t>
        </is>
      </c>
      <c r="DN9" s="3" t="n">
        <v>4</v>
      </c>
      <c r="DO9" s="3" t="n">
        <v>8</v>
      </c>
      <c r="DP9" s="2" t="inlineStr">
        <is>
          <t>B.2小时以内</t>
        </is>
      </c>
      <c r="DQ9" s="7" t="n">
        <v>2</v>
      </c>
      <c r="DR9" s="7" t="n">
        <v>2</v>
      </c>
      <c r="DS9" s="7" t="n">
        <v>8</v>
      </c>
      <c r="DT9" s="7" t="n">
        <v>16</v>
      </c>
      <c r="DU9" s="2" t="inlineStr">
        <is>
          <t>数据报表类</t>
        </is>
      </c>
      <c r="DV9" s="2"/>
      <c r="DW9" s="2" t="inlineStr">
        <is>
          <t>月报</t>
        </is>
      </c>
      <c r="DX9" s="2" t="inlineStr">
        <is>
          <t>岗位职责</t>
        </is>
      </c>
      <c r="DY9" s="2" t="inlineStr">
        <is>
          <t>重要不紧急</t>
        </is>
      </c>
      <c r="DZ9" s="2" t="inlineStr">
        <is>
          <t>高度标准化-有成熟SOP，照做即可</t>
        </is>
      </c>
      <c r="EA9" s="2" t="inlineStr">
        <is>
          <t>极少（&lt;5%）</t>
        </is>
      </c>
      <c r="EB9" s="2" t="inlineStr">
        <is>
          <t>时效/强度负荷</t>
        </is>
      </c>
      <c r="EC9" s="2"/>
      <c r="ED9" s="2"/>
      <c r="EE9" s="2"/>
      <c r="EF9" s="2"/>
      <c r="EG9" s="2"/>
      <c r="EH9" s="2"/>
      <c r="EI9" s="2"/>
      <c r="EJ9" s="2"/>
      <c r="EK9" s="2"/>
      <c r="EL9" s="2"/>
      <c r="EM9" s="2"/>
      <c r="EN9" s="2"/>
      <c r="EO9" s="2"/>
      <c r="EP9" s="2"/>
      <c r="EQ9" s="2"/>
      <c r="ER9" s="2"/>
      <c r="ES9" s="2"/>
      <c r="ET9" s="2"/>
      <c r="EU9" s="2"/>
      <c r="EV9" s="2"/>
      <c r="EW9" s="2"/>
      <c r="EX9" s="2" t="inlineStr">
        <is>
          <t>2b583c1b-cdbc-4145-be15-55f9380a5493</t>
        </is>
      </c>
      <c r="EY9" s="3" t="n">
        <v>6</v>
      </c>
      <c r="EZ9" s="2"/>
      <c r="FA9" s="2" t="inlineStr">
        <is>
          <t>法律诉讼配合查账、找原始凭证</t>
        </is>
      </c>
      <c r="FB9" s="2" t="inlineStr">
        <is>
          <t>每年1-2次</t>
        </is>
      </c>
      <c r="FC9" s="2" t="inlineStr">
        <is>
          <t>年</t>
        </is>
      </c>
      <c r="FD9" s="3" t="n">
        <v>1</v>
      </c>
      <c r="FE9" s="3" t="n">
        <v>2</v>
      </c>
      <c r="FF9" s="2" t="inlineStr">
        <is>
          <t>C.2-4小时</t>
        </is>
      </c>
      <c r="FG9" s="7" t="n">
        <v>2</v>
      </c>
      <c r="FH9" s="7" t="n">
        <v>4</v>
      </c>
      <c r="FI9" s="7" t="n">
        <v>0</v>
      </c>
      <c r="FJ9" s="7" t="n">
        <v>0</v>
      </c>
      <c r="FK9" s="7" t="n">
        <v>0</v>
      </c>
      <c r="FL9" s="7" t="n">
        <v>0</v>
      </c>
      <c r="FM9" s="7" t="n">
        <v>2</v>
      </c>
      <c r="FN9" s="7" t="n">
        <v>8</v>
      </c>
      <c r="FO9" s="2" t="inlineStr">
        <is>
          <t>其他</t>
        </is>
      </c>
      <c r="FP9" s="2"/>
      <c r="FQ9" s="2"/>
      <c r="FR9" s="2" t="inlineStr">
        <is>
          <t>跨部门协同</t>
        </is>
      </c>
      <c r="FS9" s="2" t="inlineStr">
        <is>
          <t>重要且紧急</t>
        </is>
      </c>
      <c r="FT9" s="2" t="inlineStr">
        <is>
          <t>非标准化-无先例参考，需创新协调</t>
        </is>
      </c>
      <c r="FU9" s="2" t="inlineStr">
        <is>
          <t>极少（&lt;5%）</t>
        </is>
      </c>
      <c r="FV9" s="2" t="inlineStr">
        <is>
          <t>沟通/协调负荷</t>
        </is>
      </c>
      <c r="FW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t="inlineStr">
        <is>
          <t>d4b8d7ea-3902-4b80-8d0b-680d794fc9d6</t>
        </is>
      </c>
      <c r="BT10" s="3" t="n">
        <v>7</v>
      </c>
      <c r="BU10" s="2" t="inlineStr">
        <is>
          <t>其他</t>
        </is>
      </c>
      <c r="BV10" s="2" t="inlineStr">
        <is>
          <t>打印回单</t>
        </is>
      </c>
      <c r="BW10" s="2" t="inlineStr">
        <is>
          <t>10次以上</t>
        </is>
      </c>
      <c r="BX10" s="3" t="n">
        <v>10</v>
      </c>
      <c r="BY10" s="3" t="n">
        <v>10</v>
      </c>
      <c r="BZ10" s="2" t="inlineStr">
        <is>
          <t>A.20分钟以内</t>
        </is>
      </c>
      <c r="CA10" s="7" t="n">
        <v>0.33</v>
      </c>
      <c r="CB10" s="7" t="n">
        <v>0.33</v>
      </c>
      <c r="CC10" s="7" t="n">
        <v>3.3</v>
      </c>
      <c r="CD10" s="7" t="n">
        <v>3.3</v>
      </c>
      <c r="CE10" s="2" t="inlineStr">
        <is>
          <t>其他</t>
        </is>
      </c>
      <c r="CF10" s="2"/>
      <c r="CG10" s="2"/>
      <c r="CH10" s="2" t="inlineStr">
        <is>
          <t>岗位职责</t>
        </is>
      </c>
      <c r="CI10" s="2" t="inlineStr">
        <is>
          <t>重要不紧急</t>
        </is>
      </c>
      <c r="CJ10" s="2" t="inlineStr">
        <is>
          <t>高度标准化-有成熟SOP，照做即可</t>
        </is>
      </c>
      <c r="CK10" s="2" t="inlineStr">
        <is>
          <t>极少（&lt;5%）</t>
        </is>
      </c>
      <c r="CL10" s="2" t="inlineStr">
        <is>
          <t>时效/强度负荷</t>
        </is>
      </c>
      <c r="CM10" s="2"/>
      <c r="CN10" s="2"/>
      <c r="CO10" s="2"/>
      <c r="CP10" s="2"/>
      <c r="CQ10" s="2"/>
      <c r="CR10" s="2"/>
      <c r="CS10" s="2"/>
      <c r="CT10" s="2"/>
      <c r="CU10" s="2"/>
      <c r="CV10" s="2"/>
      <c r="CW10" s="2"/>
      <c r="CX10" s="2"/>
      <c r="CY10" s="2"/>
      <c r="CZ10" s="2"/>
      <c r="DA10" s="2"/>
      <c r="DB10" s="2"/>
      <c r="DC10" s="2"/>
      <c r="DD10" s="2"/>
      <c r="DE10" s="2"/>
      <c r="DF10" s="2"/>
      <c r="DG10" s="2"/>
      <c r="DH10" s="2"/>
      <c r="DI10" s="2" t="inlineStr">
        <is>
          <t>249931d5-2874-494d-8661-956011a30a1a</t>
        </is>
      </c>
      <c r="DJ10" s="3" t="n">
        <v>7</v>
      </c>
      <c r="DK10" s="2"/>
      <c r="DL10" s="2" t="inlineStr">
        <is>
          <t>资金报表核对</t>
        </is>
      </c>
      <c r="DM10" s="2" t="inlineStr">
        <is>
          <t>2-3次</t>
        </is>
      </c>
      <c r="DN10" s="3" t="n">
        <v>2</v>
      </c>
      <c r="DO10" s="3" t="n">
        <v>3</v>
      </c>
      <c r="DP10" s="2" t="inlineStr">
        <is>
          <t>B.2小时以内</t>
        </is>
      </c>
      <c r="DQ10" s="7" t="n">
        <v>2</v>
      </c>
      <c r="DR10" s="7" t="n">
        <v>2</v>
      </c>
      <c r="DS10" s="7" t="n">
        <v>4</v>
      </c>
      <c r="DT10" s="7" t="n">
        <v>6</v>
      </c>
      <c r="DU10" s="2" t="inlineStr">
        <is>
          <t>数据报表类</t>
        </is>
      </c>
      <c r="DV10" s="2"/>
      <c r="DW10" s="2" t="inlineStr">
        <is>
          <t>专项统计</t>
        </is>
      </c>
      <c r="DX10" s="2" t="inlineStr">
        <is>
          <t>岗位职责</t>
        </is>
      </c>
      <c r="DY10" s="2" t="inlineStr">
        <is>
          <t>重要不紧急</t>
        </is>
      </c>
      <c r="DZ10" s="2" t="inlineStr">
        <is>
          <t>高度标准化-有成熟SOP，照做即可</t>
        </is>
      </c>
      <c r="EA10" s="2" t="inlineStr">
        <is>
          <t>极少（&lt;5%）</t>
        </is>
      </c>
      <c r="EB10" s="2" t="inlineStr">
        <is>
          <t>脑力/复杂度负荷</t>
        </is>
      </c>
      <c r="EC10" s="2"/>
      <c r="ED10" s="2"/>
      <c r="EE10" s="2"/>
      <c r="EF10" s="2"/>
      <c r="EG10" s="2"/>
      <c r="EH10" s="2"/>
      <c r="EI10" s="2"/>
      <c r="EJ10" s="2"/>
      <c r="EK10" s="2"/>
      <c r="EL10" s="2"/>
      <c r="EM10" s="2"/>
      <c r="EN10" s="2"/>
      <c r="EO10" s="2"/>
      <c r="EP10" s="2"/>
      <c r="EQ10" s="2"/>
      <c r="ER10" s="2"/>
      <c r="ES10" s="2"/>
      <c r="ET10" s="2"/>
      <c r="EU10" s="2"/>
      <c r="EV10" s="2"/>
      <c r="EW10" s="2"/>
      <c r="EX10" s="2" t="inlineStr">
        <is>
          <t>cdf0b01c-b3ba-4f5f-a3f7-ee090104a55b</t>
        </is>
      </c>
      <c r="EY10" s="3" t="n">
        <v>7</v>
      </c>
      <c r="EZ10" s="2"/>
      <c r="FA10" s="2" t="inlineStr">
        <is>
          <t>投标、保险等提供银行回单</t>
        </is>
      </c>
      <c r="FB10" s="2" t="inlineStr">
        <is>
          <t>每月3次以上</t>
        </is>
      </c>
      <c r="FC10" s="2" t="inlineStr">
        <is>
          <t>月</t>
        </is>
      </c>
      <c r="FD10" s="3" t="n">
        <v>3</v>
      </c>
      <c r="FE10" s="3" t="n">
        <v>3</v>
      </c>
      <c r="FF10" s="2" t="inlineStr">
        <is>
          <t>A.20分钟以内</t>
        </is>
      </c>
      <c r="FG10" s="7" t="n">
        <v>0.33</v>
      </c>
      <c r="FH10" s="7" t="n">
        <v>0.33</v>
      </c>
      <c r="FI10" s="7" t="n">
        <v>0.99</v>
      </c>
      <c r="FJ10" s="7" t="n">
        <v>0.99</v>
      </c>
      <c r="FK10" s="7" t="n">
        <v>0</v>
      </c>
      <c r="FL10" s="7" t="n">
        <v>0</v>
      </c>
      <c r="FM10" s="7" t="n">
        <v>0</v>
      </c>
      <c r="FN10" s="7" t="n">
        <v>0</v>
      </c>
      <c r="FO10" s="2" t="inlineStr">
        <is>
          <t>其他</t>
        </is>
      </c>
      <c r="FP10" s="2"/>
      <c r="FQ10" s="2"/>
      <c r="FR10" s="2" t="inlineStr">
        <is>
          <t>跨部门协同</t>
        </is>
      </c>
      <c r="FS10" s="2" t="inlineStr">
        <is>
          <t>重要且紧急</t>
        </is>
      </c>
      <c r="FT10" s="2" t="inlineStr">
        <is>
          <t>非标准化-无先例参考，需创新协调</t>
        </is>
      </c>
      <c r="FU10" s="2" t="inlineStr">
        <is>
          <t>极少（&lt;5%）</t>
        </is>
      </c>
      <c r="FV10" s="2" t="inlineStr">
        <is>
          <t>沟通/协调负荷</t>
        </is>
      </c>
      <c r="FW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t="inlineStr">
        <is>
          <t>c1296329-c5bf-4288-82a2-cd6d3aa454fa</t>
        </is>
      </c>
      <c r="BT11" s="3" t="n">
        <v>8</v>
      </c>
      <c r="BU11" s="2" t="inlineStr">
        <is>
          <t>其他</t>
        </is>
      </c>
      <c r="BV11" s="2" t="inlineStr">
        <is>
          <t>整理复核原始凭证，插入银行回单</t>
        </is>
      </c>
      <c r="BW11" s="2" t="inlineStr">
        <is>
          <t>10次以上</t>
        </is>
      </c>
      <c r="BX11" s="3" t="n">
        <v>10</v>
      </c>
      <c r="BY11" s="3" t="n">
        <v>10</v>
      </c>
      <c r="BZ11" s="2" t="inlineStr">
        <is>
          <t>A.20分钟以内</t>
        </is>
      </c>
      <c r="CA11" s="7" t="n">
        <v>0.33</v>
      </c>
      <c r="CB11" s="7" t="n">
        <v>0.33</v>
      </c>
      <c r="CC11" s="7" t="n">
        <v>3.3</v>
      </c>
      <c r="CD11" s="7" t="n">
        <v>3.3</v>
      </c>
      <c r="CE11" s="2" t="inlineStr">
        <is>
          <t>其他</t>
        </is>
      </c>
      <c r="CF11" s="2"/>
      <c r="CG11" s="2"/>
      <c r="CH11" s="2" t="inlineStr">
        <is>
          <t>岗位职责</t>
        </is>
      </c>
      <c r="CI11" s="2" t="inlineStr">
        <is>
          <t>重要不紧急</t>
        </is>
      </c>
      <c r="CJ11" s="2" t="inlineStr">
        <is>
          <t>高度标准化-有成熟SOP，照做即可</t>
        </is>
      </c>
      <c r="CK11" s="2" t="inlineStr">
        <is>
          <t>极少（&lt;5%）</t>
        </is>
      </c>
      <c r="CL11" s="2" t="inlineStr">
        <is>
          <t>时效/强度负荷</t>
        </is>
      </c>
      <c r="CM11" s="2"/>
      <c r="CN11" s="2"/>
      <c r="CO11" s="2"/>
      <c r="CP11" s="2"/>
      <c r="CQ11" s="2"/>
      <c r="CR11" s="2"/>
      <c r="CS11" s="2"/>
      <c r="CT11" s="2"/>
      <c r="CU11" s="2"/>
      <c r="CV11" s="2"/>
      <c r="CW11" s="2"/>
      <c r="CX11" s="2"/>
      <c r="CY11" s="2"/>
      <c r="CZ11" s="2"/>
      <c r="DA11" s="2"/>
      <c r="DB11" s="2"/>
      <c r="DC11" s="2"/>
      <c r="DD11" s="2"/>
      <c r="DE11" s="2"/>
      <c r="DF11" s="2"/>
      <c r="DG11" s="2"/>
      <c r="DH11" s="2"/>
      <c r="DI11" s="2" t="inlineStr">
        <is>
          <t>f3a5f73a-c6c6-4af3-be00-3175819c8149</t>
        </is>
      </c>
      <c r="DJ11" s="3" t="n">
        <v>8</v>
      </c>
      <c r="DK11" s="2"/>
      <c r="DL11" s="2" t="inlineStr">
        <is>
          <t>整理、打印、装订会计凭证</t>
        </is>
      </c>
      <c r="DM11" s="2" t="inlineStr">
        <is>
          <t>1次</t>
        </is>
      </c>
      <c r="DN11" s="3" t="n">
        <v>1</v>
      </c>
      <c r="DO11" s="3" t="n">
        <v>1</v>
      </c>
      <c r="DP11" s="2" t="inlineStr">
        <is>
          <t>B.2小时以内</t>
        </is>
      </c>
      <c r="DQ11" s="7" t="n">
        <v>2</v>
      </c>
      <c r="DR11" s="7" t="n">
        <v>2</v>
      </c>
      <c r="DS11" s="7" t="n">
        <v>2</v>
      </c>
      <c r="DT11" s="7" t="n">
        <v>2</v>
      </c>
      <c r="DU11" s="2" t="inlineStr">
        <is>
          <t>其他</t>
        </is>
      </c>
      <c r="DV11" s="2"/>
      <c r="DW11" s="2"/>
      <c r="DX11" s="2" t="inlineStr">
        <is>
          <t>岗位职责</t>
        </is>
      </c>
      <c r="DY11" s="2" t="inlineStr">
        <is>
          <t>重要不紧急</t>
        </is>
      </c>
      <c r="DZ11" s="2" t="inlineStr">
        <is>
          <t>高度标准化-有成熟SOP，照做即可</t>
        </is>
      </c>
      <c r="EA11" s="2" t="inlineStr">
        <is>
          <t>极少（&lt;5%）</t>
        </is>
      </c>
      <c r="EB11" s="2" t="inlineStr">
        <is>
          <t>时效/强度负荷</t>
        </is>
      </c>
      <c r="EC11" s="2"/>
      <c r="ED11" s="2"/>
      <c r="EE11" s="2"/>
      <c r="EF11" s="2"/>
      <c r="EG11" s="2"/>
      <c r="EH11" s="2"/>
      <c r="EI11" s="2"/>
      <c r="EJ11" s="2"/>
      <c r="EK11" s="2"/>
      <c r="EL11" s="2"/>
      <c r="EM11" s="2"/>
      <c r="EN11" s="2"/>
      <c r="EO11" s="2"/>
      <c r="EP11" s="2"/>
      <c r="EQ11" s="2"/>
      <c r="ER11" s="2"/>
      <c r="ES11" s="2"/>
      <c r="ET11" s="2"/>
      <c r="EU11" s="2"/>
      <c r="EV11" s="2"/>
      <c r="EW11" s="2"/>
      <c r="EX11" s="2" t="inlineStr">
        <is>
          <t>0ace025d-0fdc-4b10-af86-2d8fac7205cc</t>
        </is>
      </c>
      <c r="EY11" s="3" t="n">
        <v>8</v>
      </c>
      <c r="EZ11" s="2"/>
      <c r="FA11" s="2" t="inlineStr">
        <is>
          <t>填表</t>
        </is>
      </c>
      <c r="FB11" s="2" t="inlineStr">
        <is>
          <t>也有可能不发生</t>
        </is>
      </c>
      <c r="FC11" s="2" t="inlineStr">
        <is>
          <t>无</t>
        </is>
      </c>
      <c r="FD11" s="3" t="n">
        <v>0</v>
      </c>
      <c r="FE11" s="3" t="n">
        <v>0</v>
      </c>
      <c r="FF11" s="2" t="inlineStr">
        <is>
          <t>C.2-4小时</t>
        </is>
      </c>
      <c r="FG11" s="7" t="n">
        <v>2</v>
      </c>
      <c r="FH11" s="7" t="n">
        <v>4</v>
      </c>
      <c r="FI11" s="7" t="n">
        <v>0</v>
      </c>
      <c r="FJ11" s="7" t="n">
        <v>0</v>
      </c>
      <c r="FK11" s="7" t="n">
        <v>0</v>
      </c>
      <c r="FL11" s="7" t="n">
        <v>0</v>
      </c>
      <c r="FM11" s="7" t="n">
        <v>0</v>
      </c>
      <c r="FN11" s="7" t="n">
        <v>0</v>
      </c>
      <c r="FO11" s="2" t="inlineStr">
        <is>
          <t>其他</t>
        </is>
      </c>
      <c r="FP11" s="2"/>
      <c r="FQ11" s="2"/>
      <c r="FR11" s="2" t="inlineStr">
        <is>
          <t>跨部门协同</t>
        </is>
      </c>
      <c r="FS11" s="2" t="inlineStr">
        <is>
          <t>不重要不紧急</t>
        </is>
      </c>
      <c r="FT11" s="2" t="inlineStr">
        <is>
          <t>非标准化-无先例参考，需创新协调</t>
        </is>
      </c>
      <c r="FU11" s="2" t="inlineStr">
        <is>
          <t>极少（&lt;5%）</t>
        </is>
      </c>
      <c r="FV11" s="2" t="inlineStr">
        <is>
          <t>时效/强度负荷</t>
        </is>
      </c>
      <c r="FW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t="inlineStr">
        <is>
          <t>6bf5cb3a-1725-42a8-ba3d-1200d32bdb62</t>
        </is>
      </c>
      <c r="DJ12" s="3" t="n">
        <v>9</v>
      </c>
      <c r="DK12" s="2"/>
      <c r="DL12" s="2" t="inlineStr">
        <is>
          <t>ERP数据补录</t>
        </is>
      </c>
      <c r="DM12" s="2" t="inlineStr">
        <is>
          <t>4-8次</t>
        </is>
      </c>
      <c r="DN12" s="3" t="n">
        <v>4</v>
      </c>
      <c r="DO12" s="3" t="n">
        <v>8</v>
      </c>
      <c r="DP12" s="2" t="inlineStr">
        <is>
          <t>A.20分钟以内</t>
        </is>
      </c>
      <c r="DQ12" s="7" t="n">
        <v>0.33</v>
      </c>
      <c r="DR12" s="7" t="n">
        <v>0.33</v>
      </c>
      <c r="DS12" s="7" t="n">
        <v>1.32</v>
      </c>
      <c r="DT12" s="7" t="n">
        <v>2.64</v>
      </c>
      <c r="DU12" s="2" t="inlineStr">
        <is>
          <t>其他</t>
        </is>
      </c>
      <c r="DV12" s="2"/>
      <c r="DW12" s="2"/>
      <c r="DX12" s="2" t="inlineStr">
        <is>
          <t>自主发起</t>
        </is>
      </c>
      <c r="DY12" s="2" t="inlineStr">
        <is>
          <t>重要不紧急</t>
        </is>
      </c>
      <c r="DZ12" s="2" t="inlineStr">
        <is>
          <t>半标准化-有流程框架，需专业经验</t>
        </is>
      </c>
      <c r="EA12" s="2" t="inlineStr">
        <is>
          <t>极少（&lt;5%）</t>
        </is>
      </c>
      <c r="EB12" s="2" t="inlineStr">
        <is>
          <t>时效/强度负荷</t>
        </is>
      </c>
      <c r="EC12" s="2" t="inlineStr">
        <is>
          <t>为确保资金表数据完整</t>
        </is>
      </c>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t="inlineStr">
        <is>
          <t>654b3b0e-2695-4274-b8ae-54d982ff7ab9</t>
        </is>
      </c>
      <c r="DJ13" s="3" t="n">
        <v>10</v>
      </c>
      <c r="DK13" s="2"/>
      <c r="DL13" s="2" t="inlineStr">
        <is>
          <t>分公司财务分析表</t>
        </is>
      </c>
      <c r="DM13" s="2" t="inlineStr">
        <is>
          <t>2-3次</t>
        </is>
      </c>
      <c r="DN13" s="3" t="n">
        <v>2</v>
      </c>
      <c r="DO13" s="3" t="n">
        <v>3</v>
      </c>
      <c r="DP13" s="2" t="inlineStr">
        <is>
          <t>B.2小时以内</t>
        </is>
      </c>
      <c r="DQ13" s="7" t="n">
        <v>2</v>
      </c>
      <c r="DR13" s="7" t="n">
        <v>2</v>
      </c>
      <c r="DS13" s="7" t="n">
        <v>4</v>
      </c>
      <c r="DT13" s="7" t="n">
        <v>6</v>
      </c>
      <c r="DU13" s="2" t="inlineStr">
        <is>
          <t>数据报表类</t>
        </is>
      </c>
      <c r="DV13" s="2"/>
      <c r="DW13" s="2" t="inlineStr">
        <is>
          <t>月报</t>
        </is>
      </c>
      <c r="DX13" s="2" t="inlineStr">
        <is>
          <t>上级指令</t>
        </is>
      </c>
      <c r="DY13" s="2" t="inlineStr">
        <is>
          <t>重要不紧急</t>
        </is>
      </c>
      <c r="DZ13" s="2" t="inlineStr">
        <is>
          <t>高度标准化-有成熟SOP，照做即可</t>
        </is>
      </c>
      <c r="EA13" s="2" t="inlineStr">
        <is>
          <t>极少（&lt;5%）</t>
        </is>
      </c>
      <c r="EB13" s="2" t="inlineStr">
        <is>
          <t>脑力/复杂度负荷</t>
        </is>
      </c>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row>
    <row r="14">
      <c r="A14" s="2" t="inlineStr">
        <is>
          <t>2026-05-26 15:25:10</t>
        </is>
      </c>
      <c r="B14" s="2" t="inlineStr">
        <is>
          <t>彭方媛</t>
        </is>
      </c>
      <c r="C14" s="2" t="inlineStr">
        <is>
          <t>资产财务部</t>
        </is>
      </c>
      <c r="D14" s="2" t="inlineStr">
        <is>
          <t>女</t>
        </is>
      </c>
      <c r="E14" s="2" t="inlineStr">
        <is>
          <t>321102198707051021</t>
        </is>
      </c>
      <c r="F14" s="2" t="inlineStr">
        <is>
          <t>技术助理(一)</t>
        </is>
      </c>
      <c r="G14" s="2" t="inlineStr">
        <is>
          <t>2012-05</t>
        </is>
      </c>
      <c r="H14" s="2" t="inlineStr">
        <is>
          <t>常州大学</t>
        </is>
      </c>
      <c r="I14" s="2" t="inlineStr">
        <is>
          <t>会计</t>
        </is>
      </c>
      <c r="J14" s="2" t="inlineStr">
        <is>
          <t>本科</t>
        </is>
      </c>
      <c r="K14" s="2"/>
      <c r="L14" s="6">
        <f>HYPERLINK("https://www.h3yun.com/Form/Attachments/?schemacode=D1483577de63ede327d4760b10664bd57671d7e&amp;bizObjectId=086dbf32-7bc5-4a99-b4a9-7ee6a4679d4d&amp;name=F0000046","点击查看")</f>
        <v>0</v>
      </c>
      <c r="M14" s="2" t="inlineStr">
        <is>
          <t>1，合并内容重叠的会议、汇报工作
2，删减无实际价值的内部管理工作</t>
        </is>
      </c>
      <c r="N14" s="2" t="inlineStr">
        <is>
          <t>每日工作;每周工作;每月工作;每季度/阶段性工作;临时/突发工作</t>
        </is>
      </c>
      <c r="O14" s="2" t="inlineStr">
        <is>
          <t>30-40岁</t>
        </is>
      </c>
      <c r="P14" s="2" t="inlineStr">
        <is>
          <t>C.已婚已育</t>
        </is>
      </c>
      <c r="Q14" s="2" t="inlineStr">
        <is>
          <t>A.否</t>
        </is>
      </c>
      <c r="R14" s="2" t="inlineStr">
        <is>
          <t>A.否</t>
        </is>
      </c>
      <c r="S14" s="2" t="inlineStr">
        <is>
          <t>A.保持当前工作内容和节奏，收入相对稳定即可</t>
        </is>
      </c>
      <c r="T14" s="2" t="inlineStr">
        <is>
          <t>A.基本满意，希望保持</t>
        </is>
      </c>
      <c r="U14" s="2" t="inlineStr">
        <is>
          <t>A.减少重复性事务</t>
        </is>
      </c>
      <c r="V14" s="2" t="inlineStr">
        <is>
          <t>A.没有</t>
        </is>
      </c>
      <c r="W14" s="2"/>
      <c r="X14" s="2" t="inlineStr">
        <is>
          <t>A.超负荷 (&gt;120%)</t>
        </is>
      </c>
      <c r="Y14" s="2" t="inlineStr">
        <is>
          <t>B.上游资料不全，导致反复沟通/返工;C.会议或日常协调过多，压缩产出时间;E.临时差旅、突发事件、会议加班;G.接收到任务分配单完成周期内要求的加班;J.在指导答疑协助上耗时过多导致的加班</t>
        </is>
      </c>
      <c r="Z14" s="2" t="inlineStr">
        <is>
          <t>专业问题协调</t>
        </is>
      </c>
      <c r="AA14" s="2" t="inlineStr">
        <is>
          <t>会议安排</t>
        </is>
      </c>
      <c r="AB14" s="2" t="inlineStr">
        <is>
          <t>专业问题协调</t>
        </is>
      </c>
      <c r="AC14" s="2" t="inlineStr">
        <is>
          <t>A.高度匹配（得心应手）</t>
        </is>
      </c>
      <c r="AD14" s="2" t="inlineStr">
        <is>
          <t>1，打通各系统数据，实现信息共享
2，简化跨部门协作流程，提升对接效率</t>
        </is>
      </c>
      <c r="AE14" s="2"/>
      <c r="AF14" s="2"/>
      <c r="AG14" s="2"/>
      <c r="AH14" s="2"/>
      <c r="AI14" s="7" t="n">
        <v>24.09</v>
      </c>
      <c r="AJ14" s="7" t="n">
        <v>27.39</v>
      </c>
      <c r="AK14" s="7" t="n">
        <v>3.27</v>
      </c>
      <c r="AL14" s="7" t="n">
        <v>3.67</v>
      </c>
      <c r="AM14" s="7" t="n">
        <v>2.3</v>
      </c>
      <c r="AN14" s="7" t="n">
        <v>4.6</v>
      </c>
      <c r="AO14" s="7" t="n">
        <v>0.22</v>
      </c>
      <c r="AP14" s="7" t="n">
        <v>0.22</v>
      </c>
      <c r="AQ14" s="7" t="n">
        <v>1.77</v>
      </c>
      <c r="AR14" s="7" t="n">
        <v>1.86</v>
      </c>
      <c r="AS14" s="7" t="n">
        <v>31.65</v>
      </c>
      <c r="AT14" s="7" t="n">
        <v>37.74</v>
      </c>
      <c r="AU14" s="7" t="n">
        <v>34.7</v>
      </c>
      <c r="AV14" s="2" t="inlineStr">
        <is>
          <t>超负荷</t>
        </is>
      </c>
      <c r="AW14" s="2" t="inlineStr">
        <is>
          <t>一致</t>
        </is>
      </c>
      <c r="AX14" s="2" t="inlineStr">
        <is>
          <t>086dbf32-7bc5-4a99-b4a9-7ee6a4679d4d</t>
        </is>
      </c>
      <c r="AY14" s="2" t="inlineStr">
        <is>
          <t>资产财务部    彭方媛</t>
        </is>
      </c>
      <c r="AZ14" s="2" t="inlineStr">
        <is>
          <t>Anonymous</t>
        </is>
      </c>
      <c r="BA14" s="2" t="inlineStr">
        <is>
          <t>Anonymous</t>
        </is>
      </c>
      <c r="BB14" s="2"/>
      <c r="BC14" s="2" t="inlineStr">
        <is>
          <t>2026-05-26 15:25:10</t>
        </is>
      </c>
      <c r="BD14" s="3" t="n">
        <v>1987</v>
      </c>
      <c r="BE14" s="3" t="n">
        <v>39</v>
      </c>
      <c r="BF14" s="2" t="inlineStr">
        <is>
          <t>A.无此需求</t>
        </is>
      </c>
      <c r="BG14" s="2" t="inlineStr">
        <is>
          <t>已生效</t>
        </is>
      </c>
      <c r="BH14" s="2" t="inlineStr">
        <is>
          <t>8af62dc2-2be2-4606-bb57-e04c75f33ca7</t>
        </is>
      </c>
      <c r="BI14" s="3" t="n">
        <v>1</v>
      </c>
      <c r="BJ14" s="2"/>
      <c r="BK14" s="2"/>
      <c r="BL14" s="2"/>
      <c r="BM14" s="2"/>
      <c r="BN14" s="2"/>
      <c r="BO14" s="2"/>
      <c r="BP14" s="2"/>
      <c r="BQ14" s="2"/>
      <c r="BR14" s="2"/>
      <c r="BS14" s="2" t="inlineStr">
        <is>
          <t>490acb89-a85b-4d91-a7cf-aa8358ee832c</t>
        </is>
      </c>
      <c r="BT14" s="3" t="n">
        <v>1</v>
      </c>
      <c r="BU14" s="2" t="inlineStr">
        <is>
          <t>流程审批类</t>
        </is>
      </c>
      <c r="BV14" s="2" t="inlineStr">
        <is>
          <t>ERP流程发起和审批</t>
        </is>
      </c>
      <c r="BW14" s="2" t="inlineStr">
        <is>
          <t>10次以上</t>
        </is>
      </c>
      <c r="BX14" s="3" t="n">
        <v>10</v>
      </c>
      <c r="BY14" s="3" t="n">
        <v>10</v>
      </c>
      <c r="BZ14" s="2" t="inlineStr">
        <is>
          <t>A.20分钟以内</t>
        </is>
      </c>
      <c r="CA14" s="7" t="n">
        <v>0.33</v>
      </c>
      <c r="CB14" s="7" t="n">
        <v>0.33</v>
      </c>
      <c r="CC14" s="7" t="n">
        <v>3.3</v>
      </c>
      <c r="CD14" s="7" t="n">
        <v>3.3</v>
      </c>
      <c r="CE14" s="2" t="inlineStr">
        <is>
          <t>流程审批类</t>
        </is>
      </c>
      <c r="CF14" s="2"/>
      <c r="CG14" s="2" t="inlineStr">
        <is>
          <t>财务管理流程</t>
        </is>
      </c>
      <c r="CH14" s="2" t="inlineStr">
        <is>
          <t>岗位职责</t>
        </is>
      </c>
      <c r="CI14" s="2" t="inlineStr">
        <is>
          <t>重要且紧急</t>
        </is>
      </c>
      <c r="CJ14" s="2" t="inlineStr">
        <is>
          <t>半标准化-有流程框架，需专业经验</t>
        </is>
      </c>
      <c r="CK14" s="2" t="inlineStr">
        <is>
          <t>中频（10%-30%）</t>
        </is>
      </c>
      <c r="CL14" s="2" t="inlineStr">
        <is>
          <t>责任/风险负荷</t>
        </is>
      </c>
      <c r="CM14" s="2"/>
      <c r="CN14" s="2" t="inlineStr">
        <is>
          <t>50b79544-6708-47c0-af8c-d62e274344bc</t>
        </is>
      </c>
      <c r="CO14" s="3" t="n">
        <v>1</v>
      </c>
      <c r="CP14" s="2"/>
      <c r="CQ14" s="2" t="inlineStr">
        <is>
          <t>跨区域事项涉税报告表</t>
        </is>
      </c>
      <c r="CR14" s="2" t="inlineStr">
        <is>
          <t>5次以上</t>
        </is>
      </c>
      <c r="CS14" s="3" t="n">
        <v>5</v>
      </c>
      <c r="CT14" s="3" t="n">
        <v>5</v>
      </c>
      <c r="CU14" s="2" t="inlineStr">
        <is>
          <t>B.2小时以内</t>
        </is>
      </c>
      <c r="CV14" s="7" t="n">
        <v>2</v>
      </c>
      <c r="CW14" s="7" t="n">
        <v>2</v>
      </c>
      <c r="CX14" s="7" t="n">
        <v>10</v>
      </c>
      <c r="CY14" s="7" t="n">
        <v>10</v>
      </c>
      <c r="CZ14" s="2" t="inlineStr">
        <is>
          <t>专业技术类</t>
        </is>
      </c>
      <c r="DA14" s="2"/>
      <c r="DB14" s="2" t="inlineStr">
        <is>
          <t>专业问题协调</t>
        </is>
      </c>
      <c r="DC14" s="2" t="inlineStr">
        <is>
          <t>岗位职责</t>
        </is>
      </c>
      <c r="DD14" s="2" t="inlineStr">
        <is>
          <t>重要且紧急</t>
        </is>
      </c>
      <c r="DE14" s="2" t="inlineStr">
        <is>
          <t>半标准化-有流程框架，需专业经验</t>
        </is>
      </c>
      <c r="DF14" s="2" t="inlineStr">
        <is>
          <t>中频（10%-30%）</t>
        </is>
      </c>
      <c r="DG14" s="2" t="inlineStr">
        <is>
          <t>责任/风险负荷</t>
        </is>
      </c>
      <c r="DH14" s="2"/>
      <c r="DI14" s="2" t="inlineStr">
        <is>
          <t>73398056-8068-41cb-8715-4164c7f90f73</t>
        </is>
      </c>
      <c r="DJ14" s="3" t="n">
        <v>1</v>
      </c>
      <c r="DK14" s="2"/>
      <c r="DL14" s="2" t="inlineStr">
        <is>
          <t>财务报表出具及审核</t>
        </is>
      </c>
      <c r="DM14" s="2" t="inlineStr">
        <is>
          <t>4-8次</t>
        </is>
      </c>
      <c r="DN14" s="3" t="n">
        <v>4</v>
      </c>
      <c r="DO14" s="3" t="n">
        <v>8</v>
      </c>
      <c r="DP14" s="2" t="inlineStr">
        <is>
          <t>B.2小时以内</t>
        </is>
      </c>
      <c r="DQ14" s="7" t="n">
        <v>2</v>
      </c>
      <c r="DR14" s="7" t="n">
        <v>2</v>
      </c>
      <c r="DS14" s="7" t="n">
        <v>8</v>
      </c>
      <c r="DT14" s="7" t="n">
        <v>16</v>
      </c>
      <c r="DU14" s="2" t="inlineStr">
        <is>
          <t>专业技术类</t>
        </is>
      </c>
      <c r="DV14" s="2"/>
      <c r="DW14" s="2" t="inlineStr">
        <is>
          <t>专业问题协调</t>
        </is>
      </c>
      <c r="DX14" s="2" t="inlineStr">
        <is>
          <t>岗位职责</t>
        </is>
      </c>
      <c r="DY14" s="2" t="inlineStr">
        <is>
          <t>重要且紧急</t>
        </is>
      </c>
      <c r="DZ14" s="2" t="inlineStr">
        <is>
          <t>半标准化-有流程框架，需专业经验</t>
        </is>
      </c>
      <c r="EA14" s="2" t="inlineStr">
        <is>
          <t>中频（10%-30%）</t>
        </is>
      </c>
      <c r="EB14" s="2" t="inlineStr">
        <is>
          <t>责任/风险负荷</t>
        </is>
      </c>
      <c r="EC14" s="2"/>
      <c r="ED14" s="2" t="inlineStr">
        <is>
          <t>dd50c7e3-81a4-4db5-9edc-ce3d47fbcf03</t>
        </is>
      </c>
      <c r="EE14" s="3" t="n">
        <v>1</v>
      </c>
      <c r="EF14" s="2"/>
      <c r="EG14" s="2" t="inlineStr">
        <is>
          <t>税金计算，尤其是印花税计算</t>
        </is>
      </c>
      <c r="EH14" s="2" t="inlineStr">
        <is>
          <t>3次及以上</t>
        </is>
      </c>
      <c r="EI14" s="3" t="n">
        <v>3</v>
      </c>
      <c r="EJ14" s="2" t="inlineStr">
        <is>
          <t>B.2小时以内</t>
        </is>
      </c>
      <c r="EK14" s="7" t="n">
        <v>2</v>
      </c>
      <c r="EL14" s="7" t="n">
        <v>2</v>
      </c>
      <c r="EM14" s="7" t="n">
        <v>6</v>
      </c>
      <c r="EN14" s="7" t="n">
        <v>6</v>
      </c>
      <c r="EO14" s="2" t="inlineStr">
        <is>
          <t>专业技术类</t>
        </is>
      </c>
      <c r="EP14" s="2"/>
      <c r="EQ14" s="2" t="inlineStr">
        <is>
          <t>专业问题协调</t>
        </is>
      </c>
      <c r="ER14" s="2" t="inlineStr">
        <is>
          <t>岗位职责</t>
        </is>
      </c>
      <c r="ES14" s="2" t="inlineStr">
        <is>
          <t>重要且紧急</t>
        </is>
      </c>
      <c r="ET14" s="2" t="inlineStr">
        <is>
          <t>半标准化-有流程框架，需专业经验</t>
        </is>
      </c>
      <c r="EU14" s="2" t="inlineStr">
        <is>
          <t>中频（10%-30%）</t>
        </is>
      </c>
      <c r="EV14" s="2" t="inlineStr">
        <is>
          <t>责任/风险负荷</t>
        </is>
      </c>
      <c r="EW14" s="2"/>
      <c r="EX14" s="2" t="inlineStr">
        <is>
          <t>594a5184-ad60-4c27-be0f-8cd0638023bb</t>
        </is>
      </c>
      <c r="EY14" s="3" t="n">
        <v>1</v>
      </c>
      <c r="EZ14" s="2"/>
      <c r="FA14" s="2" t="inlineStr">
        <is>
          <t>提供银行回单</t>
        </is>
      </c>
      <c r="FB14" s="2" t="inlineStr">
        <is>
          <t>每月3次以上</t>
        </is>
      </c>
      <c r="FC14" s="2" t="inlineStr">
        <is>
          <t>月</t>
        </is>
      </c>
      <c r="FD14" s="3" t="n">
        <v>3</v>
      </c>
      <c r="FE14" s="3" t="n">
        <v>3</v>
      </c>
      <c r="FF14" s="2" t="inlineStr">
        <is>
          <t>A.20分钟以内</t>
        </is>
      </c>
      <c r="FG14" s="7" t="n">
        <v>0.33</v>
      </c>
      <c r="FH14" s="7" t="n">
        <v>0.33</v>
      </c>
      <c r="FI14" s="7" t="n">
        <v>0.99</v>
      </c>
      <c r="FJ14" s="7" t="n">
        <v>0.99</v>
      </c>
      <c r="FK14" s="7" t="n">
        <v>0</v>
      </c>
      <c r="FL14" s="7" t="n">
        <v>0</v>
      </c>
      <c r="FM14" s="7" t="n">
        <v>0</v>
      </c>
      <c r="FN14" s="7" t="n">
        <v>0</v>
      </c>
      <c r="FO14" s="2" t="inlineStr">
        <is>
          <t>专业技术类</t>
        </is>
      </c>
      <c r="FP14" s="2"/>
      <c r="FQ14" s="2" t="inlineStr">
        <is>
          <t>专业问题协调</t>
        </is>
      </c>
      <c r="FR14" s="2" t="inlineStr">
        <is>
          <t>岗位职责</t>
        </is>
      </c>
      <c r="FS14" s="2" t="inlineStr">
        <is>
          <t>重要且紧急</t>
        </is>
      </c>
      <c r="FT14" s="2" t="inlineStr">
        <is>
          <t>半标准化-有流程框架，需专业经验</t>
        </is>
      </c>
      <c r="FU14" s="2" t="inlineStr">
        <is>
          <t>中频（10%-30%）</t>
        </is>
      </c>
      <c r="FV14" s="2" t="inlineStr">
        <is>
          <t>责任/风险负荷</t>
        </is>
      </c>
      <c r="FW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t="inlineStr">
        <is>
          <t>4290a5b7-b40e-4197-bbd5-464d604c0186</t>
        </is>
      </c>
      <c r="BT15" s="3" t="n">
        <v>2</v>
      </c>
      <c r="BU15" s="2" t="inlineStr">
        <is>
          <t>专业技术类</t>
        </is>
      </c>
      <c r="BV15" s="2" t="inlineStr">
        <is>
          <t>GS系统付款流程</t>
        </is>
      </c>
      <c r="BW15" s="2" t="inlineStr">
        <is>
          <t>10次以上</t>
        </is>
      </c>
      <c r="BX15" s="3" t="n">
        <v>10</v>
      </c>
      <c r="BY15" s="3" t="n">
        <v>10</v>
      </c>
      <c r="BZ15" s="2" t="inlineStr">
        <is>
          <t>A.20分钟以内</t>
        </is>
      </c>
      <c r="CA15" s="7" t="n">
        <v>0.33</v>
      </c>
      <c r="CB15" s="7" t="n">
        <v>0.33</v>
      </c>
      <c r="CC15" s="7" t="n">
        <v>3.3</v>
      </c>
      <c r="CD15" s="7" t="n">
        <v>3.3</v>
      </c>
      <c r="CE15" s="2" t="inlineStr">
        <is>
          <t>专业技术类</t>
        </is>
      </c>
      <c r="CF15" s="2"/>
      <c r="CG15" s="2" t="inlineStr">
        <is>
          <t>专业问题协调</t>
        </is>
      </c>
      <c r="CH15" s="2" t="inlineStr">
        <is>
          <t>岗位职责</t>
        </is>
      </c>
      <c r="CI15" s="2" t="inlineStr">
        <is>
          <t>重要且紧急</t>
        </is>
      </c>
      <c r="CJ15" s="2" t="inlineStr">
        <is>
          <t>半标准化-有流程框架，需专业经验</t>
        </is>
      </c>
      <c r="CK15" s="2" t="inlineStr">
        <is>
          <t>低频（5%-10%）</t>
        </is>
      </c>
      <c r="CL15" s="2" t="inlineStr">
        <is>
          <t>责任/风险负荷</t>
        </is>
      </c>
      <c r="CM15" s="2"/>
      <c r="CN15" s="2" t="inlineStr">
        <is>
          <t>8b3c80f8-5607-4c99-86fd-3496f9fbea5b</t>
        </is>
      </c>
      <c r="CO15" s="3" t="n">
        <v>2</v>
      </c>
      <c r="CP15" s="2"/>
      <c r="CQ15" s="2" t="inlineStr">
        <is>
          <t>梳理本周往来账款</t>
        </is>
      </c>
      <c r="CR15" s="2" t="inlineStr">
        <is>
          <t>2-3次</t>
        </is>
      </c>
      <c r="CS15" s="3" t="n">
        <v>2</v>
      </c>
      <c r="CT15" s="3" t="n">
        <v>3</v>
      </c>
      <c r="CU15" s="2" t="inlineStr">
        <is>
          <t>B.2小时以内</t>
        </is>
      </c>
      <c r="CV15" s="7" t="n">
        <v>2</v>
      </c>
      <c r="CW15" s="7" t="n">
        <v>2</v>
      </c>
      <c r="CX15" s="7" t="n">
        <v>4</v>
      </c>
      <c r="CY15" s="7" t="n">
        <v>6</v>
      </c>
      <c r="CZ15" s="2" t="inlineStr">
        <is>
          <t>专业技术类</t>
        </is>
      </c>
      <c r="DA15" s="2"/>
      <c r="DB15" s="2" t="inlineStr">
        <is>
          <t>专业问题协调</t>
        </is>
      </c>
      <c r="DC15" s="2" t="inlineStr">
        <is>
          <t>岗位职责</t>
        </is>
      </c>
      <c r="DD15" s="2" t="inlineStr">
        <is>
          <t>重要且紧急</t>
        </is>
      </c>
      <c r="DE15" s="2" t="inlineStr">
        <is>
          <t>半标准化-有流程框架，需专业经验</t>
        </is>
      </c>
      <c r="DF15" s="2" t="inlineStr">
        <is>
          <t>中频（10%-30%）</t>
        </is>
      </c>
      <c r="DG15" s="2" t="inlineStr">
        <is>
          <t>责任/风险负荷</t>
        </is>
      </c>
      <c r="DH15" s="2"/>
      <c r="DI15" s="2" t="inlineStr">
        <is>
          <t>9a9bc7e7-b649-41c3-b54e-209fc60f3fce</t>
        </is>
      </c>
      <c r="DJ15" s="3" t="n">
        <v>2</v>
      </c>
      <c r="DK15" s="2"/>
      <c r="DL15" s="2" t="inlineStr">
        <is>
          <t>税金计算、申报及缴纳</t>
        </is>
      </c>
      <c r="DM15" s="2" t="inlineStr">
        <is>
          <t>4-8次</t>
        </is>
      </c>
      <c r="DN15" s="3" t="n">
        <v>4</v>
      </c>
      <c r="DO15" s="3" t="n">
        <v>8</v>
      </c>
      <c r="DP15" s="2" t="inlineStr">
        <is>
          <t>B.2小时以内</t>
        </is>
      </c>
      <c r="DQ15" s="7" t="n">
        <v>2</v>
      </c>
      <c r="DR15" s="7" t="n">
        <v>2</v>
      </c>
      <c r="DS15" s="7" t="n">
        <v>8</v>
      </c>
      <c r="DT15" s="7" t="n">
        <v>16</v>
      </c>
      <c r="DU15" s="2" t="inlineStr">
        <is>
          <t>专业技术类</t>
        </is>
      </c>
      <c r="DV15" s="2"/>
      <c r="DW15" s="2" t="inlineStr">
        <is>
          <t>专业问题协调</t>
        </is>
      </c>
      <c r="DX15" s="2" t="inlineStr">
        <is>
          <t>岗位职责</t>
        </is>
      </c>
      <c r="DY15" s="2" t="inlineStr">
        <is>
          <t>重要且紧急</t>
        </is>
      </c>
      <c r="DZ15" s="2" t="inlineStr">
        <is>
          <t>半标准化-有流程框架，需专业经验</t>
        </is>
      </c>
      <c r="EA15" s="2" t="inlineStr">
        <is>
          <t>中频（10%-30%）</t>
        </is>
      </c>
      <c r="EB15" s="2" t="inlineStr">
        <is>
          <t>责任/风险负荷</t>
        </is>
      </c>
      <c r="EC15" s="2"/>
      <c r="ED15" s="2" t="inlineStr">
        <is>
          <t>890ac4f5-5240-4154-b851-18a68bdada19</t>
        </is>
      </c>
      <c r="EE15" s="3" t="n">
        <v>2</v>
      </c>
      <c r="EF15" s="2"/>
      <c r="EG15" s="2" t="inlineStr">
        <is>
          <t>企业所得税申报</t>
        </is>
      </c>
      <c r="EH15" s="2" t="inlineStr">
        <is>
          <t>1次</t>
        </is>
      </c>
      <c r="EI15" s="3" t="n">
        <v>1</v>
      </c>
      <c r="EJ15" s="2" t="inlineStr">
        <is>
          <t>A.20分钟以内</t>
        </is>
      </c>
      <c r="EK15" s="7" t="n">
        <v>0.33</v>
      </c>
      <c r="EL15" s="7" t="n">
        <v>0.33</v>
      </c>
      <c r="EM15" s="7" t="n">
        <v>0.33</v>
      </c>
      <c r="EN15" s="7" t="n">
        <v>0.33</v>
      </c>
      <c r="EO15" s="2" t="inlineStr">
        <is>
          <t>专业技术类</t>
        </is>
      </c>
      <c r="EP15" s="2"/>
      <c r="EQ15" s="2" t="inlineStr">
        <is>
          <t>专业问题协调</t>
        </is>
      </c>
      <c r="ER15" s="2" t="inlineStr">
        <is>
          <t>岗位职责</t>
        </is>
      </c>
      <c r="ES15" s="2" t="inlineStr">
        <is>
          <t>重要且紧急</t>
        </is>
      </c>
      <c r="ET15" s="2" t="inlineStr">
        <is>
          <t>半标准化-有流程框架，需专业经验</t>
        </is>
      </c>
      <c r="EU15" s="2" t="inlineStr">
        <is>
          <t>中频（10%-30%）</t>
        </is>
      </c>
      <c r="EV15" s="2" t="inlineStr">
        <is>
          <t>责任/风险负荷</t>
        </is>
      </c>
      <c r="EW15" s="2"/>
      <c r="EX15" s="2" t="inlineStr">
        <is>
          <t>b1f61da5-8139-4587-becc-fcc42bc143b8</t>
        </is>
      </c>
      <c r="EY15" s="3" t="n">
        <v>2</v>
      </c>
      <c r="EZ15" s="2"/>
      <c r="FA15" s="2" t="inlineStr">
        <is>
          <t>及时向相关人员传达税收政策变化</t>
        </is>
      </c>
      <c r="FB15" s="2" t="inlineStr">
        <is>
          <t>每月3次以上</t>
        </is>
      </c>
      <c r="FC15" s="2" t="inlineStr">
        <is>
          <t>月</t>
        </is>
      </c>
      <c r="FD15" s="3" t="n">
        <v>3</v>
      </c>
      <c r="FE15" s="3" t="n">
        <v>3</v>
      </c>
      <c r="FF15" s="2" t="inlineStr">
        <is>
          <t>B.2小时以内</t>
        </is>
      </c>
      <c r="FG15" s="7" t="n">
        <v>2</v>
      </c>
      <c r="FH15" s="7" t="n">
        <v>2</v>
      </c>
      <c r="FI15" s="7" t="n">
        <v>6</v>
      </c>
      <c r="FJ15" s="7" t="n">
        <v>6</v>
      </c>
      <c r="FK15" s="7" t="n">
        <v>0</v>
      </c>
      <c r="FL15" s="7" t="n">
        <v>0</v>
      </c>
      <c r="FM15" s="7" t="n">
        <v>0</v>
      </c>
      <c r="FN15" s="7" t="n">
        <v>0</v>
      </c>
      <c r="FO15" s="2" t="inlineStr">
        <is>
          <t>专业技术类</t>
        </is>
      </c>
      <c r="FP15" s="2"/>
      <c r="FQ15" s="2" t="inlineStr">
        <is>
          <t>专业问题协调</t>
        </is>
      </c>
      <c r="FR15" s="2" t="inlineStr">
        <is>
          <t>岗位职责</t>
        </is>
      </c>
      <c r="FS15" s="2" t="inlineStr">
        <is>
          <t>重要且紧急</t>
        </is>
      </c>
      <c r="FT15" s="2" t="inlineStr">
        <is>
          <t>半标准化-有流程框架，需专业经验</t>
        </is>
      </c>
      <c r="FU15" s="2" t="inlineStr">
        <is>
          <t>中频（10%-30%）</t>
        </is>
      </c>
      <c r="FV15" s="2" t="inlineStr">
        <is>
          <t>责任/风险负荷</t>
        </is>
      </c>
      <c r="FW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t="inlineStr">
        <is>
          <t>572ff86d-e07d-4fa5-bc7f-4c76383e4adb</t>
        </is>
      </c>
      <c r="BT16" s="3" t="n">
        <v>3</v>
      </c>
      <c r="BU16" s="2" t="inlineStr">
        <is>
          <t>专业技术类</t>
        </is>
      </c>
      <c r="BV16" s="2" t="inlineStr">
        <is>
          <t>GS系统制单流程</t>
        </is>
      </c>
      <c r="BW16" s="2" t="inlineStr">
        <is>
          <t>10次以上</t>
        </is>
      </c>
      <c r="BX16" s="3" t="n">
        <v>10</v>
      </c>
      <c r="BY16" s="3" t="n">
        <v>10</v>
      </c>
      <c r="BZ16" s="2" t="inlineStr">
        <is>
          <t>A.20分钟以内</t>
        </is>
      </c>
      <c r="CA16" s="7" t="n">
        <v>0.33</v>
      </c>
      <c r="CB16" s="7" t="n">
        <v>0.33</v>
      </c>
      <c r="CC16" s="7" t="n">
        <v>3.3</v>
      </c>
      <c r="CD16" s="7" t="n">
        <v>3.3</v>
      </c>
      <c r="CE16" s="2" t="inlineStr">
        <is>
          <t>专业技术类</t>
        </is>
      </c>
      <c r="CF16" s="2"/>
      <c r="CG16" s="2" t="inlineStr">
        <is>
          <t>专业问题协调</t>
        </is>
      </c>
      <c r="CH16" s="2" t="inlineStr">
        <is>
          <t>岗位职责</t>
        </is>
      </c>
      <c r="CI16" s="2" t="inlineStr">
        <is>
          <t>重要且紧急</t>
        </is>
      </c>
      <c r="CJ16" s="2" t="inlineStr">
        <is>
          <t>半标准化-有流程框架，需专业经验</t>
        </is>
      </c>
      <c r="CK16" s="2" t="inlineStr">
        <is>
          <t>低频（5%-10%）</t>
        </is>
      </c>
      <c r="CL16" s="2" t="inlineStr">
        <is>
          <t>责任/风险负荷</t>
        </is>
      </c>
      <c r="CM16" s="2"/>
      <c r="CN16" s="2" t="inlineStr">
        <is>
          <t>31353917-6e18-4d5b-8419-b311e9566239</t>
        </is>
      </c>
      <c r="CO16" s="3" t="n">
        <v>3</v>
      </c>
      <c r="CP16" s="2"/>
      <c r="CQ16" s="2" t="inlineStr">
        <is>
          <t>向相关人员提供资金报表</t>
        </is>
      </c>
      <c r="CR16" s="2" t="inlineStr">
        <is>
          <t>1次</t>
        </is>
      </c>
      <c r="CS16" s="3" t="n">
        <v>1</v>
      </c>
      <c r="CT16" s="3" t="n">
        <v>1</v>
      </c>
      <c r="CU16" s="2" t="inlineStr">
        <is>
          <t>A.20分钟以内</t>
        </is>
      </c>
      <c r="CV16" s="7" t="n">
        <v>0.33</v>
      </c>
      <c r="CW16" s="7" t="n">
        <v>0.33</v>
      </c>
      <c r="CX16" s="7" t="n">
        <v>0.33</v>
      </c>
      <c r="CY16" s="7" t="n">
        <v>0.33</v>
      </c>
      <c r="CZ16" s="2" t="inlineStr">
        <is>
          <t>专业技术类</t>
        </is>
      </c>
      <c r="DA16" s="2"/>
      <c r="DB16" s="2" t="inlineStr">
        <is>
          <t>专业问题协调</t>
        </is>
      </c>
      <c r="DC16" s="2" t="inlineStr">
        <is>
          <t>岗位职责</t>
        </is>
      </c>
      <c r="DD16" s="2" t="inlineStr">
        <is>
          <t>重要且紧急</t>
        </is>
      </c>
      <c r="DE16" s="2" t="inlineStr">
        <is>
          <t>半标准化-有流程框架，需专业经验</t>
        </is>
      </c>
      <c r="DF16" s="2" t="inlineStr">
        <is>
          <t>中频（10%-30%）</t>
        </is>
      </c>
      <c r="DG16" s="2" t="inlineStr">
        <is>
          <t>责任/风险负荷</t>
        </is>
      </c>
      <c r="DH16" s="2"/>
      <c r="DI16" s="2" t="inlineStr">
        <is>
          <t>24b9c539-81fe-4c6f-a11d-46a923687432</t>
        </is>
      </c>
      <c r="DJ16" s="3" t="n">
        <v>3</v>
      </c>
      <c r="DK16" s="2"/>
      <c r="DL16" s="2" t="inlineStr">
        <is>
          <t>提供动态资金报表</t>
        </is>
      </c>
      <c r="DM16" s="2" t="inlineStr">
        <is>
          <t>4-8次</t>
        </is>
      </c>
      <c r="DN16" s="3" t="n">
        <v>4</v>
      </c>
      <c r="DO16" s="3" t="n">
        <v>8</v>
      </c>
      <c r="DP16" s="2" t="inlineStr">
        <is>
          <t>B.2小时以内</t>
        </is>
      </c>
      <c r="DQ16" s="7" t="n">
        <v>2</v>
      </c>
      <c r="DR16" s="7" t="n">
        <v>2</v>
      </c>
      <c r="DS16" s="7" t="n">
        <v>8</v>
      </c>
      <c r="DT16" s="7" t="n">
        <v>16</v>
      </c>
      <c r="DU16" s="2" t="inlineStr">
        <is>
          <t>专业技术类</t>
        </is>
      </c>
      <c r="DV16" s="2"/>
      <c r="DW16" s="2" t="inlineStr">
        <is>
          <t>专业问题协调</t>
        </is>
      </c>
      <c r="DX16" s="2" t="inlineStr">
        <is>
          <t>岗位职责</t>
        </is>
      </c>
      <c r="DY16" s="2" t="inlineStr">
        <is>
          <t>重要不紧急</t>
        </is>
      </c>
      <c r="DZ16" s="2" t="inlineStr">
        <is>
          <t>半标准化-有流程框架，需专业经验</t>
        </is>
      </c>
      <c r="EA16" s="2" t="inlineStr">
        <is>
          <t>中频（10%-30%）</t>
        </is>
      </c>
      <c r="EB16" s="2" t="inlineStr">
        <is>
          <t>责任/风险负荷</t>
        </is>
      </c>
      <c r="EC16" s="2"/>
      <c r="ED16" s="2" t="inlineStr">
        <is>
          <t>645d8a59-8f12-4f13-b4b1-ee3ec2dbdc25</t>
        </is>
      </c>
      <c r="EE16" s="3" t="n">
        <v>3</v>
      </c>
      <c r="EF16" s="2"/>
      <c r="EG16" s="2" t="inlineStr">
        <is>
          <t>配合会计报表年报审计</t>
        </is>
      </c>
      <c r="EH16" s="2" t="inlineStr">
        <is>
          <t>3次及以上</t>
        </is>
      </c>
      <c r="EI16" s="3" t="n">
        <v>3</v>
      </c>
      <c r="EJ16" s="2" t="inlineStr">
        <is>
          <t>E.8小时以上</t>
        </is>
      </c>
      <c r="EK16" s="7" t="n">
        <v>8</v>
      </c>
      <c r="EL16" s="7" t="n">
        <v>8</v>
      </c>
      <c r="EM16" s="7" t="n">
        <v>24</v>
      </c>
      <c r="EN16" s="7" t="n">
        <v>24</v>
      </c>
      <c r="EO16" s="2" t="inlineStr">
        <is>
          <t>专业技术类</t>
        </is>
      </c>
      <c r="EP16" s="2"/>
      <c r="EQ16" s="2" t="inlineStr">
        <is>
          <t>专业问题协调</t>
        </is>
      </c>
      <c r="ER16" s="2" t="inlineStr">
        <is>
          <t>岗位职责</t>
        </is>
      </c>
      <c r="ES16" s="2" t="inlineStr">
        <is>
          <t>重要且紧急</t>
        </is>
      </c>
      <c r="ET16" s="2" t="inlineStr">
        <is>
          <t>半标准化-有流程框架，需专业经验</t>
        </is>
      </c>
      <c r="EU16" s="2" t="inlineStr">
        <is>
          <t>中频（10%-30%）</t>
        </is>
      </c>
      <c r="EV16" s="2" t="inlineStr">
        <is>
          <t>责任/风险负荷</t>
        </is>
      </c>
      <c r="EW16" s="2"/>
      <c r="EX16" s="2" t="inlineStr">
        <is>
          <t>f859bf6e-e9f5-4825-944f-1d51d28afc76</t>
        </is>
      </c>
      <c r="EY16" s="3" t="n">
        <v>3</v>
      </c>
      <c r="EZ16" s="2"/>
      <c r="FA16" s="2" t="inlineStr">
        <is>
          <t>临时向领导提供财务数据</t>
        </is>
      </c>
      <c r="FB16" s="2" t="inlineStr">
        <is>
          <t>每月3次以上</t>
        </is>
      </c>
      <c r="FC16" s="2" t="inlineStr">
        <is>
          <t>月</t>
        </is>
      </c>
      <c r="FD16" s="3" t="n">
        <v>3</v>
      </c>
      <c r="FE16" s="3" t="n">
        <v>3</v>
      </c>
      <c r="FF16" s="2" t="inlineStr">
        <is>
          <t>B.2小时以内</t>
        </is>
      </c>
      <c r="FG16" s="7" t="n">
        <v>2</v>
      </c>
      <c r="FH16" s="7" t="n">
        <v>2</v>
      </c>
      <c r="FI16" s="7" t="n">
        <v>6</v>
      </c>
      <c r="FJ16" s="7" t="n">
        <v>6</v>
      </c>
      <c r="FK16" s="7" t="n">
        <v>0</v>
      </c>
      <c r="FL16" s="7" t="n">
        <v>0</v>
      </c>
      <c r="FM16" s="7" t="n">
        <v>0</v>
      </c>
      <c r="FN16" s="7" t="n">
        <v>0</v>
      </c>
      <c r="FO16" s="2" t="inlineStr">
        <is>
          <t>专业技术类</t>
        </is>
      </c>
      <c r="FP16" s="2"/>
      <c r="FQ16" s="2" t="inlineStr">
        <is>
          <t>专业问题协调</t>
        </is>
      </c>
      <c r="FR16" s="2" t="inlineStr">
        <is>
          <t>岗位职责</t>
        </is>
      </c>
      <c r="FS16" s="2" t="inlineStr">
        <is>
          <t>重要且紧急</t>
        </is>
      </c>
      <c r="FT16" s="2" t="inlineStr">
        <is>
          <t>半标准化-有流程框架，需专业经验</t>
        </is>
      </c>
      <c r="FU16" s="2" t="inlineStr">
        <is>
          <t>中频（10%-30%）</t>
        </is>
      </c>
      <c r="FV16" s="2" t="inlineStr">
        <is>
          <t>责任/风险负荷</t>
        </is>
      </c>
      <c r="FW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t="inlineStr">
        <is>
          <t>2e9df887-bcfe-4360-ac0d-d9367e3dc781</t>
        </is>
      </c>
      <c r="BT17" s="3" t="n">
        <v>4</v>
      </c>
      <c r="BU17" s="2" t="inlineStr">
        <is>
          <t>专业技术类</t>
        </is>
      </c>
      <c r="BV17" s="2" t="inlineStr">
        <is>
          <t>GS系统发票申请流程</t>
        </is>
      </c>
      <c r="BW17" s="2" t="inlineStr">
        <is>
          <t>6-10次</t>
        </is>
      </c>
      <c r="BX17" s="3" t="n">
        <v>6</v>
      </c>
      <c r="BY17" s="3" t="n">
        <v>10</v>
      </c>
      <c r="BZ17" s="2" t="inlineStr">
        <is>
          <t>A.20分钟以内</t>
        </is>
      </c>
      <c r="CA17" s="7" t="n">
        <v>0.33</v>
      </c>
      <c r="CB17" s="7" t="n">
        <v>0.33</v>
      </c>
      <c r="CC17" s="7" t="n">
        <v>1.98</v>
      </c>
      <c r="CD17" s="7" t="n">
        <v>3.3</v>
      </c>
      <c r="CE17" s="2" t="inlineStr">
        <is>
          <t>专业技术类</t>
        </is>
      </c>
      <c r="CF17" s="2"/>
      <c r="CG17" s="2" t="inlineStr">
        <is>
          <t>专业问题协调</t>
        </is>
      </c>
      <c r="CH17" s="2" t="inlineStr">
        <is>
          <t>岗位职责</t>
        </is>
      </c>
      <c r="CI17" s="2" t="inlineStr">
        <is>
          <t>重要且紧急</t>
        </is>
      </c>
      <c r="CJ17" s="2" t="inlineStr">
        <is>
          <t>半标准化-有流程框架，需专业经验</t>
        </is>
      </c>
      <c r="CK17" s="2" t="inlineStr">
        <is>
          <t>低频（5%-10%）</t>
        </is>
      </c>
      <c r="CL17" s="2" t="inlineStr">
        <is>
          <t>责任/风险负荷</t>
        </is>
      </c>
      <c r="CM17" s="2"/>
      <c r="CN17" s="2" t="inlineStr">
        <is>
          <t>026683f7-467f-4e33-ab3a-45473e00fe76</t>
        </is>
      </c>
      <c r="CO17" s="3" t="n">
        <v>4</v>
      </c>
      <c r="CP17" s="2"/>
      <c r="CQ17" s="2" t="inlineStr">
        <is>
          <t>梳理整理本周成本明细、营收情况，</t>
        </is>
      </c>
      <c r="CR17" s="2" t="inlineStr">
        <is>
          <t>1次</t>
        </is>
      </c>
      <c r="CS17" s="3" t="n">
        <v>1</v>
      </c>
      <c r="CT17" s="3" t="n">
        <v>1</v>
      </c>
      <c r="CU17" s="2" t="inlineStr">
        <is>
          <t>B.2小时以内</t>
        </is>
      </c>
      <c r="CV17" s="7" t="n">
        <v>2</v>
      </c>
      <c r="CW17" s="7" t="n">
        <v>2</v>
      </c>
      <c r="CX17" s="7" t="n">
        <v>2</v>
      </c>
      <c r="CY17" s="7" t="n">
        <v>2</v>
      </c>
      <c r="CZ17" s="2" t="inlineStr">
        <is>
          <t>专业技术类</t>
        </is>
      </c>
      <c r="DA17" s="2"/>
      <c r="DB17" s="2" t="inlineStr">
        <is>
          <t>专业问题协调</t>
        </is>
      </c>
      <c r="DC17" s="2" t="inlineStr">
        <is>
          <t>岗位职责</t>
        </is>
      </c>
      <c r="DD17" s="2" t="inlineStr">
        <is>
          <t>重要且紧急</t>
        </is>
      </c>
      <c r="DE17" s="2" t="inlineStr">
        <is>
          <t>半标准化-有流程框架，需专业经验</t>
        </is>
      </c>
      <c r="DF17" s="2" t="inlineStr">
        <is>
          <t>中频（10%-30%）</t>
        </is>
      </c>
      <c r="DG17" s="2" t="inlineStr">
        <is>
          <t>责任/风险负荷</t>
        </is>
      </c>
      <c r="DH17" s="2"/>
      <c r="DI17" s="2" t="inlineStr">
        <is>
          <t>fa1cd6b9-0dbd-4e96-83ea-1d0dfa877d2f</t>
        </is>
      </c>
      <c r="DJ17" s="3" t="n">
        <v>4</v>
      </c>
      <c r="DK17" s="2"/>
      <c r="DL17" s="2" t="inlineStr">
        <is>
          <t>整理打印、会计凭证</t>
        </is>
      </c>
      <c r="DM17" s="2" t="inlineStr">
        <is>
          <t>4-8次</t>
        </is>
      </c>
      <c r="DN17" s="3" t="n">
        <v>4</v>
      </c>
      <c r="DO17" s="3" t="n">
        <v>8</v>
      </c>
      <c r="DP17" s="2" t="inlineStr">
        <is>
          <t>B.2小时以内</t>
        </is>
      </c>
      <c r="DQ17" s="7" t="n">
        <v>2</v>
      </c>
      <c r="DR17" s="7" t="n">
        <v>2</v>
      </c>
      <c r="DS17" s="7" t="n">
        <v>8</v>
      </c>
      <c r="DT17" s="7" t="n">
        <v>16</v>
      </c>
      <c r="DU17" s="2" t="inlineStr">
        <is>
          <t>专业技术类</t>
        </is>
      </c>
      <c r="DV17" s="2"/>
      <c r="DW17" s="2" t="inlineStr">
        <is>
          <t>专业问题协调</t>
        </is>
      </c>
      <c r="DX17" s="2" t="inlineStr">
        <is>
          <t>岗位职责</t>
        </is>
      </c>
      <c r="DY17" s="2" t="inlineStr">
        <is>
          <t>重要且紧急</t>
        </is>
      </c>
      <c r="DZ17" s="2" t="inlineStr">
        <is>
          <t>半标准化-有流程框架，需专业经验</t>
        </is>
      </c>
      <c r="EA17" s="2" t="inlineStr">
        <is>
          <t>中频（10%-30%）</t>
        </is>
      </c>
      <c r="EB17" s="2" t="inlineStr">
        <is>
          <t>责任/风险负荷</t>
        </is>
      </c>
      <c r="EC17" s="2"/>
      <c r="ED17" s="2" t="inlineStr">
        <is>
          <t>76aa7b06-7e6d-4298-8a22-d17dce6a4bd4</t>
        </is>
      </c>
      <c r="EE17" s="3" t="n">
        <v>4</v>
      </c>
      <c r="EF17" s="2"/>
      <c r="EG17" s="2" t="inlineStr">
        <is>
          <t>配合税务审计</t>
        </is>
      </c>
      <c r="EH17" s="2" t="inlineStr">
        <is>
          <t>3次及以上</t>
        </is>
      </c>
      <c r="EI17" s="3" t="n">
        <v>3</v>
      </c>
      <c r="EJ17" s="2" t="inlineStr">
        <is>
          <t>E.8小时以上</t>
        </is>
      </c>
      <c r="EK17" s="7" t="n">
        <v>8</v>
      </c>
      <c r="EL17" s="7" t="n">
        <v>8</v>
      </c>
      <c r="EM17" s="7" t="n">
        <v>24</v>
      </c>
      <c r="EN17" s="7" t="n">
        <v>24</v>
      </c>
      <c r="EO17" s="2" t="inlineStr">
        <is>
          <t>专业技术类</t>
        </is>
      </c>
      <c r="EP17" s="2"/>
      <c r="EQ17" s="2" t="inlineStr">
        <is>
          <t>专业问题协调</t>
        </is>
      </c>
      <c r="ER17" s="2" t="inlineStr">
        <is>
          <t>岗位职责</t>
        </is>
      </c>
      <c r="ES17" s="2" t="inlineStr">
        <is>
          <t>重要且紧急</t>
        </is>
      </c>
      <c r="ET17" s="2" t="inlineStr">
        <is>
          <t>半标准化-有流程框架，需专业经验</t>
        </is>
      </c>
      <c r="EU17" s="2" t="inlineStr">
        <is>
          <t>中频（10%-30%）</t>
        </is>
      </c>
      <c r="EV17" s="2" t="inlineStr">
        <is>
          <t>责任/风险负荷</t>
        </is>
      </c>
      <c r="EW17" s="2"/>
      <c r="EX17" s="2" t="inlineStr">
        <is>
          <t>a7aad312-7f89-4d85-9d6f-70cc4188304c</t>
        </is>
      </c>
      <c r="EY17" s="3" t="n">
        <v>4</v>
      </c>
      <c r="EZ17" s="2"/>
      <c r="FA17" s="2" t="inlineStr">
        <is>
          <t>银行保函等申请</t>
        </is>
      </c>
      <c r="FB17" s="2" t="inlineStr">
        <is>
          <t>每月3次以上</t>
        </is>
      </c>
      <c r="FC17" s="2" t="inlineStr">
        <is>
          <t>月</t>
        </is>
      </c>
      <c r="FD17" s="3" t="n">
        <v>3</v>
      </c>
      <c r="FE17" s="3" t="n">
        <v>3</v>
      </c>
      <c r="FF17" s="2" t="inlineStr">
        <is>
          <t>B.2小时以内</t>
        </is>
      </c>
      <c r="FG17" s="7" t="n">
        <v>2</v>
      </c>
      <c r="FH17" s="7" t="n">
        <v>2</v>
      </c>
      <c r="FI17" s="7" t="n">
        <v>6</v>
      </c>
      <c r="FJ17" s="7" t="n">
        <v>6</v>
      </c>
      <c r="FK17" s="7" t="n">
        <v>0</v>
      </c>
      <c r="FL17" s="7" t="n">
        <v>0</v>
      </c>
      <c r="FM17" s="7" t="n">
        <v>0</v>
      </c>
      <c r="FN17" s="7" t="n">
        <v>0</v>
      </c>
      <c r="FO17" s="2" t="inlineStr">
        <is>
          <t>专业技术类</t>
        </is>
      </c>
      <c r="FP17" s="2"/>
      <c r="FQ17" s="2" t="inlineStr">
        <is>
          <t>专业问题协调</t>
        </is>
      </c>
      <c r="FR17" s="2" t="inlineStr">
        <is>
          <t>岗位职责</t>
        </is>
      </c>
      <c r="FS17" s="2" t="inlineStr">
        <is>
          <t>重要且紧急</t>
        </is>
      </c>
      <c r="FT17" s="2" t="inlineStr">
        <is>
          <t>半标准化-有流程框架，需专业经验</t>
        </is>
      </c>
      <c r="FU17" s="2" t="inlineStr">
        <is>
          <t>中频（10%-30%）</t>
        </is>
      </c>
      <c r="FV17" s="2" t="inlineStr">
        <is>
          <t>责任/风险负荷</t>
        </is>
      </c>
      <c r="FW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t="inlineStr">
        <is>
          <t>852e01b5-b407-4337-95ab-388e3f5fe5aa</t>
        </is>
      </c>
      <c r="BT18" s="3" t="n">
        <v>5</v>
      </c>
      <c r="BU18" s="2" t="inlineStr">
        <is>
          <t>专业技术类</t>
        </is>
      </c>
      <c r="BV18" s="2" t="inlineStr">
        <is>
          <t>GS系统收款流程</t>
        </is>
      </c>
      <c r="BW18" s="2" t="inlineStr">
        <is>
          <t>2-5次</t>
        </is>
      </c>
      <c r="BX18" s="3" t="n">
        <v>2</v>
      </c>
      <c r="BY18" s="3" t="n">
        <v>5</v>
      </c>
      <c r="BZ18" s="2" t="inlineStr">
        <is>
          <t>A.20分钟以内</t>
        </is>
      </c>
      <c r="CA18" s="7" t="n">
        <v>0.33</v>
      </c>
      <c r="CB18" s="7" t="n">
        <v>0.33</v>
      </c>
      <c r="CC18" s="7" t="n">
        <v>0.66</v>
      </c>
      <c r="CD18" s="7" t="n">
        <v>1.65</v>
      </c>
      <c r="CE18" s="2" t="inlineStr">
        <is>
          <t>专业技术类</t>
        </is>
      </c>
      <c r="CF18" s="2"/>
      <c r="CG18" s="2" t="inlineStr">
        <is>
          <t>专业问题协调</t>
        </is>
      </c>
      <c r="CH18" s="2" t="inlineStr">
        <is>
          <t>岗位职责</t>
        </is>
      </c>
      <c r="CI18" s="2" t="inlineStr">
        <is>
          <t>重要且紧急</t>
        </is>
      </c>
      <c r="CJ18" s="2" t="inlineStr">
        <is>
          <t>半标准化-有流程框架，需专业经验</t>
        </is>
      </c>
      <c r="CK18" s="2" t="inlineStr">
        <is>
          <t>低频（5%-10%）</t>
        </is>
      </c>
      <c r="CL18" s="2" t="inlineStr">
        <is>
          <t>责任/风险负荷</t>
        </is>
      </c>
      <c r="CM18" s="2"/>
      <c r="CN18" s="2"/>
      <c r="CO18" s="2"/>
      <c r="CP18" s="2"/>
      <c r="CQ18" s="2"/>
      <c r="CR18" s="2"/>
      <c r="CS18" s="2"/>
      <c r="CT18" s="2"/>
      <c r="CU18" s="2"/>
      <c r="CV18" s="2"/>
      <c r="CW18" s="2"/>
      <c r="CX18" s="2"/>
      <c r="CY18" s="2"/>
      <c r="CZ18" s="2"/>
      <c r="DA18" s="2"/>
      <c r="DB18" s="2"/>
      <c r="DC18" s="2"/>
      <c r="DD18" s="2"/>
      <c r="DE18" s="2"/>
      <c r="DF18" s="2"/>
      <c r="DG18" s="2"/>
      <c r="DH18" s="2"/>
      <c r="DI18" s="2" t="inlineStr">
        <is>
          <t>10dbafff-8d35-4e52-8198-37489ea67ccb</t>
        </is>
      </c>
      <c r="DJ18" s="3" t="n">
        <v>5</v>
      </c>
      <c r="DK18" s="2"/>
      <c r="DL18" s="2" t="inlineStr">
        <is>
          <t>复核会计凭证正确性</t>
        </is>
      </c>
      <c r="DM18" s="2" t="inlineStr">
        <is>
          <t>4-8次</t>
        </is>
      </c>
      <c r="DN18" s="3" t="n">
        <v>4</v>
      </c>
      <c r="DO18" s="3" t="n">
        <v>8</v>
      </c>
      <c r="DP18" s="2" t="inlineStr">
        <is>
          <t>B.2小时以内</t>
        </is>
      </c>
      <c r="DQ18" s="7" t="n">
        <v>2</v>
      </c>
      <c r="DR18" s="7" t="n">
        <v>2</v>
      </c>
      <c r="DS18" s="7" t="n">
        <v>8</v>
      </c>
      <c r="DT18" s="7" t="n">
        <v>16</v>
      </c>
      <c r="DU18" s="2" t="inlineStr">
        <is>
          <t>专业技术类</t>
        </is>
      </c>
      <c r="DV18" s="2"/>
      <c r="DW18" s="2" t="inlineStr">
        <is>
          <t>专业问题协调</t>
        </is>
      </c>
      <c r="DX18" s="2" t="inlineStr">
        <is>
          <t>岗位职责</t>
        </is>
      </c>
      <c r="DY18" s="2" t="inlineStr">
        <is>
          <t>重要且紧急</t>
        </is>
      </c>
      <c r="DZ18" s="2" t="inlineStr">
        <is>
          <t>半标准化-有流程框架，需专业经验</t>
        </is>
      </c>
      <c r="EA18" s="2" t="inlineStr">
        <is>
          <t>中频（10%-30%）</t>
        </is>
      </c>
      <c r="EB18" s="2" t="inlineStr">
        <is>
          <t>责任/风险负荷</t>
        </is>
      </c>
      <c r="EC18" s="2"/>
      <c r="ED18" s="2"/>
      <c r="EE18" s="2"/>
      <c r="EF18" s="2"/>
      <c r="EG18" s="2"/>
      <c r="EH18" s="2"/>
      <c r="EI18" s="2"/>
      <c r="EJ18" s="2"/>
      <c r="EK18" s="2"/>
      <c r="EL18" s="2"/>
      <c r="EM18" s="2"/>
      <c r="EN18" s="2"/>
      <c r="EO18" s="2"/>
      <c r="EP18" s="2"/>
      <c r="EQ18" s="2"/>
      <c r="ER18" s="2"/>
      <c r="ES18" s="2"/>
      <c r="ET18" s="2"/>
      <c r="EU18" s="2"/>
      <c r="EV18" s="2"/>
      <c r="EW18" s="2"/>
      <c r="EX18" s="2" t="inlineStr">
        <is>
          <t>4386ca6f-6eea-4f6b-84b5-b66d8e467f62</t>
        </is>
      </c>
      <c r="EY18" s="3" t="n">
        <v>5</v>
      </c>
      <c r="EZ18" s="2"/>
      <c r="FA18" s="2" t="inlineStr">
        <is>
          <t>回复往来询证函</t>
        </is>
      </c>
      <c r="FB18" s="2" t="inlineStr">
        <is>
          <t>每月3次以上</t>
        </is>
      </c>
      <c r="FC18" s="2" t="inlineStr">
        <is>
          <t>月</t>
        </is>
      </c>
      <c r="FD18" s="3" t="n">
        <v>3</v>
      </c>
      <c r="FE18" s="3" t="n">
        <v>3</v>
      </c>
      <c r="FF18" s="2" t="inlineStr">
        <is>
          <t>B.2小时以内</t>
        </is>
      </c>
      <c r="FG18" s="7" t="n">
        <v>2</v>
      </c>
      <c r="FH18" s="7" t="n">
        <v>2</v>
      </c>
      <c r="FI18" s="7" t="n">
        <v>6</v>
      </c>
      <c r="FJ18" s="7" t="n">
        <v>6</v>
      </c>
      <c r="FK18" s="7" t="n">
        <v>0</v>
      </c>
      <c r="FL18" s="7" t="n">
        <v>0</v>
      </c>
      <c r="FM18" s="7" t="n">
        <v>0</v>
      </c>
      <c r="FN18" s="7" t="n">
        <v>0</v>
      </c>
      <c r="FO18" s="2" t="inlineStr">
        <is>
          <t>专业技术类</t>
        </is>
      </c>
      <c r="FP18" s="2"/>
      <c r="FQ18" s="2" t="inlineStr">
        <is>
          <t>专业问题协调</t>
        </is>
      </c>
      <c r="FR18" s="2" t="inlineStr">
        <is>
          <t>岗位职责</t>
        </is>
      </c>
      <c r="FS18" s="2" t="inlineStr">
        <is>
          <t>紧急不重要</t>
        </is>
      </c>
      <c r="FT18" s="2" t="inlineStr">
        <is>
          <t>半标准化-有流程框架，需专业经验</t>
        </is>
      </c>
      <c r="FU18" s="2" t="inlineStr">
        <is>
          <t>中频（10%-30%）</t>
        </is>
      </c>
      <c r="FV18" s="2" t="inlineStr">
        <is>
          <t>责任/风险负荷</t>
        </is>
      </c>
      <c r="FW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t="inlineStr">
        <is>
          <t>1ce5bcf8-1d89-42c8-b961-722db55b3a50</t>
        </is>
      </c>
      <c r="BT19" s="3" t="n">
        <v>6</v>
      </c>
      <c r="BU19" s="2" t="inlineStr">
        <is>
          <t>专业技术类</t>
        </is>
      </c>
      <c r="BV19" s="2" t="inlineStr">
        <is>
          <t>核对每日现金、银行存款、承兑汇票流水余额</t>
        </is>
      </c>
      <c r="BW19" s="2" t="inlineStr">
        <is>
          <t>1次</t>
        </is>
      </c>
      <c r="BX19" s="3" t="n">
        <v>1</v>
      </c>
      <c r="BY19" s="3" t="n">
        <v>1</v>
      </c>
      <c r="BZ19" s="2" t="inlineStr">
        <is>
          <t>A.20分钟以内</t>
        </is>
      </c>
      <c r="CA19" s="7" t="n">
        <v>0.33</v>
      </c>
      <c r="CB19" s="7" t="n">
        <v>0.33</v>
      </c>
      <c r="CC19" s="7" t="n">
        <v>0.33</v>
      </c>
      <c r="CD19" s="7" t="n">
        <v>0.33</v>
      </c>
      <c r="CE19" s="2" t="inlineStr">
        <is>
          <t>专业技术类</t>
        </is>
      </c>
      <c r="CF19" s="2"/>
      <c r="CG19" s="2" t="inlineStr">
        <is>
          <t>专业问题协调</t>
        </is>
      </c>
      <c r="CH19" s="2" t="inlineStr">
        <is>
          <t>岗位职责</t>
        </is>
      </c>
      <c r="CI19" s="2" t="inlineStr">
        <is>
          <t>重要且紧急</t>
        </is>
      </c>
      <c r="CJ19" s="2" t="inlineStr">
        <is>
          <t>半标准化-有流程框架，需专业经验</t>
        </is>
      </c>
      <c r="CK19" s="2" t="inlineStr">
        <is>
          <t>低频（5%-10%）</t>
        </is>
      </c>
      <c r="CL19" s="2" t="inlineStr">
        <is>
          <t>责任/风险负荷</t>
        </is>
      </c>
      <c r="CM19" s="2"/>
      <c r="CN19" s="2"/>
      <c r="CO19" s="2"/>
      <c r="CP19" s="2"/>
      <c r="CQ19" s="2"/>
      <c r="CR19" s="2"/>
      <c r="CS19" s="2"/>
      <c r="CT19" s="2"/>
      <c r="CU19" s="2"/>
      <c r="CV19" s="2"/>
      <c r="CW19" s="2"/>
      <c r="CX19" s="2"/>
      <c r="CY19" s="2"/>
      <c r="CZ19" s="2"/>
      <c r="DA19" s="2"/>
      <c r="DB19" s="2"/>
      <c r="DC19" s="2"/>
      <c r="DD19" s="2"/>
      <c r="DE19" s="2"/>
      <c r="DF19" s="2"/>
      <c r="DG19" s="2"/>
      <c r="DH19" s="2"/>
      <c r="DI19" s="2" t="inlineStr">
        <is>
          <t>ae0ba01c-46de-4850-b40e-00d4b088ac24</t>
        </is>
      </c>
      <c r="DJ19" s="3" t="n">
        <v>6</v>
      </c>
      <c r="DK19" s="2"/>
      <c r="DL19" s="2" t="inlineStr">
        <is>
          <t>与现场沟通项目运行情况</t>
        </is>
      </c>
      <c r="DM19" s="2" t="inlineStr">
        <is>
          <t>4-8次</t>
        </is>
      </c>
      <c r="DN19" s="3" t="n">
        <v>4</v>
      </c>
      <c r="DO19" s="3" t="n">
        <v>8</v>
      </c>
      <c r="DP19" s="2" t="inlineStr">
        <is>
          <t>B.2小时以内</t>
        </is>
      </c>
      <c r="DQ19" s="7" t="n">
        <v>2</v>
      </c>
      <c r="DR19" s="7" t="n">
        <v>2</v>
      </c>
      <c r="DS19" s="7" t="n">
        <v>8</v>
      </c>
      <c r="DT19" s="7" t="n">
        <v>16</v>
      </c>
      <c r="DU19" s="2" t="inlineStr">
        <is>
          <t>专业技术类</t>
        </is>
      </c>
      <c r="DV19" s="2"/>
      <c r="DW19" s="2" t="inlineStr">
        <is>
          <t>专业问题协调</t>
        </is>
      </c>
      <c r="DX19" s="2" t="inlineStr">
        <is>
          <t>跨部门协同</t>
        </is>
      </c>
      <c r="DY19" s="2" t="inlineStr">
        <is>
          <t>重要且紧急</t>
        </is>
      </c>
      <c r="DZ19" s="2" t="inlineStr">
        <is>
          <t>半标准化-有流程框架，需专业经验</t>
        </is>
      </c>
      <c r="EA19" s="2" t="inlineStr">
        <is>
          <t>中频（10%-30%）</t>
        </is>
      </c>
      <c r="EB19" s="2" t="inlineStr">
        <is>
          <t>责任/风险负荷</t>
        </is>
      </c>
      <c r="EC19" s="2"/>
      <c r="ED19" s="2"/>
      <c r="EE19" s="2"/>
      <c r="EF19" s="2"/>
      <c r="EG19" s="2"/>
      <c r="EH19" s="2"/>
      <c r="EI19" s="2"/>
      <c r="EJ19" s="2"/>
      <c r="EK19" s="2"/>
      <c r="EL19" s="2"/>
      <c r="EM19" s="2"/>
      <c r="EN19" s="2"/>
      <c r="EO19" s="2"/>
      <c r="EP19" s="2"/>
      <c r="EQ19" s="2"/>
      <c r="ER19" s="2"/>
      <c r="ES19" s="2"/>
      <c r="ET19" s="2"/>
      <c r="EU19" s="2"/>
      <c r="EV19" s="2"/>
      <c r="EW19" s="2"/>
      <c r="EX19" s="2" t="inlineStr">
        <is>
          <t>846c4bc1-51d2-4155-888d-0d4032f060aa</t>
        </is>
      </c>
      <c r="EY19" s="3" t="n">
        <v>6</v>
      </c>
      <c r="EZ19" s="2"/>
      <c r="FA19" s="2" t="inlineStr">
        <is>
          <t>及时向相关人员传达会计政策变化</t>
        </is>
      </c>
      <c r="FB19" s="2" t="inlineStr">
        <is>
          <t>每月3次以上</t>
        </is>
      </c>
      <c r="FC19" s="2" t="inlineStr">
        <is>
          <t>月</t>
        </is>
      </c>
      <c r="FD19" s="3" t="n">
        <v>3</v>
      </c>
      <c r="FE19" s="3" t="n">
        <v>3</v>
      </c>
      <c r="FF19" s="2" t="inlineStr">
        <is>
          <t>B.2小时以内</t>
        </is>
      </c>
      <c r="FG19" s="7" t="n">
        <v>2</v>
      </c>
      <c r="FH19" s="7" t="n">
        <v>2</v>
      </c>
      <c r="FI19" s="7" t="n">
        <v>6</v>
      </c>
      <c r="FJ19" s="7" t="n">
        <v>6</v>
      </c>
      <c r="FK19" s="7" t="n">
        <v>0</v>
      </c>
      <c r="FL19" s="7" t="n">
        <v>0</v>
      </c>
      <c r="FM19" s="7" t="n">
        <v>0</v>
      </c>
      <c r="FN19" s="7" t="n">
        <v>0</v>
      </c>
      <c r="FO19" s="2" t="inlineStr">
        <is>
          <t>专业技术类</t>
        </is>
      </c>
      <c r="FP19" s="2"/>
      <c r="FQ19" s="2" t="inlineStr">
        <is>
          <t>专业问题协调</t>
        </is>
      </c>
      <c r="FR19" s="2" t="inlineStr">
        <is>
          <t>岗位职责</t>
        </is>
      </c>
      <c r="FS19" s="2" t="inlineStr">
        <is>
          <t>紧急不重要</t>
        </is>
      </c>
      <c r="FT19" s="2" t="inlineStr">
        <is>
          <t>半标准化-有流程框架，需专业经验</t>
        </is>
      </c>
      <c r="FU19" s="2" t="inlineStr">
        <is>
          <t>中频（10%-30%）</t>
        </is>
      </c>
      <c r="FV19" s="2" t="inlineStr">
        <is>
          <t>责任/风险负荷</t>
        </is>
      </c>
      <c r="FW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t="inlineStr">
        <is>
          <t>40da38e5-f71d-4039-8133-927d892eb93f</t>
        </is>
      </c>
      <c r="BT20" s="3" t="n">
        <v>7</v>
      </c>
      <c r="BU20" s="2" t="inlineStr">
        <is>
          <t>专业技术类</t>
        </is>
      </c>
      <c r="BV20" s="2" t="inlineStr">
        <is>
          <t>GS票据类复核</t>
        </is>
      </c>
      <c r="BW20" s="2" t="inlineStr">
        <is>
          <t>2-5次</t>
        </is>
      </c>
      <c r="BX20" s="3" t="n">
        <v>2</v>
      </c>
      <c r="BY20" s="3" t="n">
        <v>5</v>
      </c>
      <c r="BZ20" s="2" t="inlineStr">
        <is>
          <t>A.20分钟以内</t>
        </is>
      </c>
      <c r="CA20" s="7" t="n">
        <v>0.33</v>
      </c>
      <c r="CB20" s="7" t="n">
        <v>0.33</v>
      </c>
      <c r="CC20" s="7" t="n">
        <v>0.66</v>
      </c>
      <c r="CD20" s="7" t="n">
        <v>1.65</v>
      </c>
      <c r="CE20" s="2" t="inlineStr">
        <is>
          <t>专业技术类</t>
        </is>
      </c>
      <c r="CF20" s="2"/>
      <c r="CG20" s="2" t="inlineStr">
        <is>
          <t>专业问题协调</t>
        </is>
      </c>
      <c r="CH20" s="2" t="inlineStr">
        <is>
          <t>岗位职责</t>
        </is>
      </c>
      <c r="CI20" s="2" t="inlineStr">
        <is>
          <t>重要且紧急</t>
        </is>
      </c>
      <c r="CJ20" s="2" t="inlineStr">
        <is>
          <t>半标准化-有流程框架，需专业经验</t>
        </is>
      </c>
      <c r="CK20" s="2" t="inlineStr">
        <is>
          <t>低频（5%-10%）</t>
        </is>
      </c>
      <c r="CL20" s="2" t="inlineStr">
        <is>
          <t>责任/风险负荷</t>
        </is>
      </c>
      <c r="CM20" s="2"/>
      <c r="CN20" s="2"/>
      <c r="CO20" s="2"/>
      <c r="CP20" s="2"/>
      <c r="CQ20" s="2"/>
      <c r="CR20" s="2"/>
      <c r="CS20" s="2"/>
      <c r="CT20" s="2"/>
      <c r="CU20" s="2"/>
      <c r="CV20" s="2"/>
      <c r="CW20" s="2"/>
      <c r="CX20" s="2"/>
      <c r="CY20" s="2"/>
      <c r="CZ20" s="2"/>
      <c r="DA20" s="2"/>
      <c r="DB20" s="2"/>
      <c r="DC20" s="2"/>
      <c r="DD20" s="2"/>
      <c r="DE20" s="2"/>
      <c r="DF20" s="2"/>
      <c r="DG20" s="2"/>
      <c r="DH20" s="2"/>
      <c r="DI20" s="2" t="inlineStr">
        <is>
          <t>021a7e7e-0b78-476b-b822-443133aff447</t>
        </is>
      </c>
      <c r="DJ20" s="3" t="n">
        <v>7</v>
      </c>
      <c r="DK20" s="2"/>
      <c r="DL20" s="2" t="inlineStr">
        <is>
          <t>计提各类税费</t>
        </is>
      </c>
      <c r="DM20" s="2" t="inlineStr">
        <is>
          <t>4-8次</t>
        </is>
      </c>
      <c r="DN20" s="3" t="n">
        <v>4</v>
      </c>
      <c r="DO20" s="3" t="n">
        <v>8</v>
      </c>
      <c r="DP20" s="2" t="inlineStr">
        <is>
          <t>A.20分钟以内</t>
        </is>
      </c>
      <c r="DQ20" s="7" t="n">
        <v>0.33</v>
      </c>
      <c r="DR20" s="7" t="n">
        <v>0.33</v>
      </c>
      <c r="DS20" s="7" t="n">
        <v>1.32</v>
      </c>
      <c r="DT20" s="7" t="n">
        <v>2.64</v>
      </c>
      <c r="DU20" s="2" t="inlineStr">
        <is>
          <t>专业技术类</t>
        </is>
      </c>
      <c r="DV20" s="2"/>
      <c r="DW20" s="2" t="inlineStr">
        <is>
          <t>专业问题协调</t>
        </is>
      </c>
      <c r="DX20" s="2" t="inlineStr">
        <is>
          <t>岗位职责</t>
        </is>
      </c>
      <c r="DY20" s="2" t="inlineStr">
        <is>
          <t>重要且紧急</t>
        </is>
      </c>
      <c r="DZ20" s="2" t="inlineStr">
        <is>
          <t>半标准化-有流程框架，需专业经验</t>
        </is>
      </c>
      <c r="EA20" s="2" t="inlineStr">
        <is>
          <t>中频（10%-30%）</t>
        </is>
      </c>
      <c r="EB20" s="2" t="inlineStr">
        <is>
          <t>责任/风险负荷</t>
        </is>
      </c>
      <c r="EC20" s="2"/>
      <c r="ED20" s="2"/>
      <c r="EE20" s="2"/>
      <c r="EF20" s="2"/>
      <c r="EG20" s="2"/>
      <c r="EH20" s="2"/>
      <c r="EI20" s="2"/>
      <c r="EJ20" s="2"/>
      <c r="EK20" s="2"/>
      <c r="EL20" s="2"/>
      <c r="EM20" s="2"/>
      <c r="EN20" s="2"/>
      <c r="EO20" s="2"/>
      <c r="EP20" s="2"/>
      <c r="EQ20" s="2"/>
      <c r="ER20" s="2"/>
      <c r="ES20" s="2"/>
      <c r="ET20" s="2"/>
      <c r="EU20" s="2"/>
      <c r="EV20" s="2"/>
      <c r="EW20" s="2"/>
      <c r="EX20" s="2" t="inlineStr">
        <is>
          <t>37007c17-4e18-4094-b861-857c7c94505f</t>
        </is>
      </c>
      <c r="EY20" s="3" t="n">
        <v>7</v>
      </c>
      <c r="EZ20" s="2"/>
      <c r="FA20" s="2" t="inlineStr">
        <is>
          <t>投标找发票等资料</t>
        </is>
      </c>
      <c r="FB20" s="2" t="inlineStr">
        <is>
          <t>每月3次以上</t>
        </is>
      </c>
      <c r="FC20" s="2" t="inlineStr">
        <is>
          <t>月</t>
        </is>
      </c>
      <c r="FD20" s="3" t="n">
        <v>3</v>
      </c>
      <c r="FE20" s="3" t="n">
        <v>3</v>
      </c>
      <c r="FF20" s="2" t="inlineStr">
        <is>
          <t>B.2小时以内</t>
        </is>
      </c>
      <c r="FG20" s="7" t="n">
        <v>2</v>
      </c>
      <c r="FH20" s="7" t="n">
        <v>2</v>
      </c>
      <c r="FI20" s="7" t="n">
        <v>6</v>
      </c>
      <c r="FJ20" s="7" t="n">
        <v>6</v>
      </c>
      <c r="FK20" s="7" t="n">
        <v>0</v>
      </c>
      <c r="FL20" s="7" t="n">
        <v>0</v>
      </c>
      <c r="FM20" s="7" t="n">
        <v>0</v>
      </c>
      <c r="FN20" s="7" t="n">
        <v>0</v>
      </c>
      <c r="FO20" s="2" t="inlineStr">
        <is>
          <t>专业技术类</t>
        </is>
      </c>
      <c r="FP20" s="2"/>
      <c r="FQ20" s="2" t="inlineStr">
        <is>
          <t>专业问题协调</t>
        </is>
      </c>
      <c r="FR20" s="2" t="inlineStr">
        <is>
          <t>岗位职责</t>
        </is>
      </c>
      <c r="FS20" s="2" t="inlineStr">
        <is>
          <t>重要且紧急</t>
        </is>
      </c>
      <c r="FT20" s="2" t="inlineStr">
        <is>
          <t>半标准化-有流程框架，需专业经验</t>
        </is>
      </c>
      <c r="FU20" s="2" t="inlineStr">
        <is>
          <t>中频（10%-30%）</t>
        </is>
      </c>
      <c r="FV20" s="2" t="inlineStr">
        <is>
          <t>责任/风险负荷</t>
        </is>
      </c>
      <c r="FW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t="inlineStr">
        <is>
          <t>26624235-a6dc-4f56-9faf-4bb91c8a3ec8</t>
        </is>
      </c>
      <c r="BT21" s="3" t="n">
        <v>8</v>
      </c>
      <c r="BU21" s="2" t="inlineStr">
        <is>
          <t>专业技术类</t>
        </is>
      </c>
      <c r="BV21" s="2" t="inlineStr">
        <is>
          <t>ERP系统项目资金表审核对账</t>
        </is>
      </c>
      <c r="BW21" s="2" t="inlineStr">
        <is>
          <t>1次</t>
        </is>
      </c>
      <c r="BX21" s="3" t="n">
        <v>1</v>
      </c>
      <c r="BY21" s="3" t="n">
        <v>1</v>
      </c>
      <c r="BZ21" s="2" t="inlineStr">
        <is>
          <t>A.20分钟以内</t>
        </is>
      </c>
      <c r="CA21" s="7" t="n">
        <v>0.33</v>
      </c>
      <c r="CB21" s="7" t="n">
        <v>0.33</v>
      </c>
      <c r="CC21" s="7" t="n">
        <v>0.33</v>
      </c>
      <c r="CD21" s="7" t="n">
        <v>0.33</v>
      </c>
      <c r="CE21" s="2" t="inlineStr">
        <is>
          <t>专业技术类</t>
        </is>
      </c>
      <c r="CF21" s="2"/>
      <c r="CG21" s="2" t="inlineStr">
        <is>
          <t>专业问题协调</t>
        </is>
      </c>
      <c r="CH21" s="2" t="inlineStr">
        <is>
          <t>岗位职责</t>
        </is>
      </c>
      <c r="CI21" s="2" t="inlineStr">
        <is>
          <t>重要且紧急</t>
        </is>
      </c>
      <c r="CJ21" s="2" t="inlineStr">
        <is>
          <t>半标准化-有流程框架，需专业经验</t>
        </is>
      </c>
      <c r="CK21" s="2" t="inlineStr">
        <is>
          <t>中频（10%-30%）</t>
        </is>
      </c>
      <c r="CL21" s="2" t="inlineStr">
        <is>
          <t>责任/风险负荷</t>
        </is>
      </c>
      <c r="CM21" s="2"/>
      <c r="CN21" s="2"/>
      <c r="CO21" s="2"/>
      <c r="CP21" s="2"/>
      <c r="CQ21" s="2"/>
      <c r="CR21" s="2"/>
      <c r="CS21" s="2"/>
      <c r="CT21" s="2"/>
      <c r="CU21" s="2"/>
      <c r="CV21" s="2"/>
      <c r="CW21" s="2"/>
      <c r="CX21" s="2"/>
      <c r="CY21" s="2"/>
      <c r="CZ21" s="2"/>
      <c r="DA21" s="2"/>
      <c r="DB21" s="2"/>
      <c r="DC21" s="2"/>
      <c r="DD21" s="2"/>
      <c r="DE21" s="2"/>
      <c r="DF21" s="2"/>
      <c r="DG21" s="2"/>
      <c r="DH21" s="2"/>
      <c r="DI21" s="2" t="inlineStr">
        <is>
          <t>a3e2aeb4-7d84-4595-8133-7d56a2c0f5c5</t>
        </is>
      </c>
      <c r="DJ21" s="3" t="n">
        <v>8</v>
      </c>
      <c r="DK21" s="2"/>
      <c r="DL21" s="2" t="inlineStr">
        <is>
          <t>具体当月工资、社保、公积金、福利费</t>
        </is>
      </c>
      <c r="DM21" s="2" t="inlineStr">
        <is>
          <t>4-8次</t>
        </is>
      </c>
      <c r="DN21" s="3" t="n">
        <v>4</v>
      </c>
      <c r="DO21" s="3" t="n">
        <v>8</v>
      </c>
      <c r="DP21" s="2" t="inlineStr">
        <is>
          <t>A.20分钟以内</t>
        </is>
      </c>
      <c r="DQ21" s="7" t="n">
        <v>0.33</v>
      </c>
      <c r="DR21" s="7" t="n">
        <v>0.33</v>
      </c>
      <c r="DS21" s="7" t="n">
        <v>1.32</v>
      </c>
      <c r="DT21" s="7" t="n">
        <v>2.64</v>
      </c>
      <c r="DU21" s="2" t="inlineStr">
        <is>
          <t>专业技术类</t>
        </is>
      </c>
      <c r="DV21" s="2"/>
      <c r="DW21" s="2" t="inlineStr">
        <is>
          <t>专业问题协调</t>
        </is>
      </c>
      <c r="DX21" s="2" t="inlineStr">
        <is>
          <t>岗位职责</t>
        </is>
      </c>
      <c r="DY21" s="2" t="inlineStr">
        <is>
          <t>重要且紧急</t>
        </is>
      </c>
      <c r="DZ21" s="2" t="inlineStr">
        <is>
          <t>半标准化-有流程框架，需专业经验</t>
        </is>
      </c>
      <c r="EA21" s="2" t="inlineStr">
        <is>
          <t>中频（10%-30%）</t>
        </is>
      </c>
      <c r="EB21" s="2" t="inlineStr">
        <is>
          <t>责任/风险负荷</t>
        </is>
      </c>
      <c r="EC21" s="2"/>
      <c r="ED21" s="2"/>
      <c r="EE21" s="2"/>
      <c r="EF21" s="2"/>
      <c r="EG21" s="2"/>
      <c r="EH21" s="2"/>
      <c r="EI21" s="2"/>
      <c r="EJ21" s="2"/>
      <c r="EK21" s="2"/>
      <c r="EL21" s="2"/>
      <c r="EM21" s="2"/>
      <c r="EN21" s="2"/>
      <c r="EO21" s="2"/>
      <c r="EP21" s="2"/>
      <c r="EQ21" s="2"/>
      <c r="ER21" s="2"/>
      <c r="ES21" s="2"/>
      <c r="ET21" s="2"/>
      <c r="EU21" s="2"/>
      <c r="EV21" s="2"/>
      <c r="EW21" s="2"/>
      <c r="EX21" s="2" t="inlineStr">
        <is>
          <t>d5e5db33-2262-4515-8471-8223ccbe7851</t>
        </is>
      </c>
      <c r="EY21" s="3" t="n">
        <v>8</v>
      </c>
      <c r="EZ21" s="2"/>
      <c r="FA21" s="2" t="inlineStr">
        <is>
          <t>整理记录会议纪要</t>
        </is>
      </c>
      <c r="FB21" s="2" t="inlineStr">
        <is>
          <t>每月1-2次</t>
        </is>
      </c>
      <c r="FC21" s="2" t="inlineStr">
        <is>
          <t>月</t>
        </is>
      </c>
      <c r="FD21" s="3" t="n">
        <v>1</v>
      </c>
      <c r="FE21" s="3" t="n">
        <v>2</v>
      </c>
      <c r="FF21" s="2" t="inlineStr">
        <is>
          <t>B.2小时以内</t>
        </is>
      </c>
      <c r="FG21" s="7" t="n">
        <v>2</v>
      </c>
      <c r="FH21" s="7" t="n">
        <v>2</v>
      </c>
      <c r="FI21" s="7" t="n">
        <v>2</v>
      </c>
      <c r="FJ21" s="7" t="n">
        <v>4</v>
      </c>
      <c r="FK21" s="7" t="n">
        <v>0</v>
      </c>
      <c r="FL21" s="7" t="n">
        <v>0</v>
      </c>
      <c r="FM21" s="7" t="n">
        <v>0</v>
      </c>
      <c r="FN21" s="7" t="n">
        <v>0</v>
      </c>
      <c r="FO21" s="2" t="inlineStr">
        <is>
          <t>专业技术类</t>
        </is>
      </c>
      <c r="FP21" s="2"/>
      <c r="FQ21" s="2" t="inlineStr">
        <is>
          <t>专业问题协调</t>
        </is>
      </c>
      <c r="FR21" s="2" t="inlineStr">
        <is>
          <t>岗位职责</t>
        </is>
      </c>
      <c r="FS21" s="2" t="inlineStr">
        <is>
          <t>重要且紧急</t>
        </is>
      </c>
      <c r="FT21" s="2" t="inlineStr">
        <is>
          <t>半标准化-有流程框架，需专业经验</t>
        </is>
      </c>
      <c r="FU21" s="2" t="inlineStr">
        <is>
          <t>中频（10%-30%）</t>
        </is>
      </c>
      <c r="FV21" s="2" t="inlineStr">
        <is>
          <t>责任/风险负荷</t>
        </is>
      </c>
      <c r="FW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t="inlineStr">
        <is>
          <t>47178148-19f0-4f9d-abc9-272ccb651aa3</t>
        </is>
      </c>
      <c r="BT22" s="3" t="n">
        <v>9</v>
      </c>
      <c r="BU22" s="2" t="inlineStr">
        <is>
          <t>专业技术类</t>
        </is>
      </c>
      <c r="BV22" s="2" t="inlineStr">
        <is>
          <t>提供电子回单及打印纸质回单</t>
        </is>
      </c>
      <c r="BW22" s="2" t="inlineStr">
        <is>
          <t>10次以上</t>
        </is>
      </c>
      <c r="BX22" s="3" t="n">
        <v>10</v>
      </c>
      <c r="BY22" s="3" t="n">
        <v>10</v>
      </c>
      <c r="BZ22" s="2" t="inlineStr">
        <is>
          <t>A.20分钟以内</t>
        </is>
      </c>
      <c r="CA22" s="7" t="n">
        <v>0.33</v>
      </c>
      <c r="CB22" s="7" t="n">
        <v>0.33</v>
      </c>
      <c r="CC22" s="7" t="n">
        <v>3.3</v>
      </c>
      <c r="CD22" s="7" t="n">
        <v>3.3</v>
      </c>
      <c r="CE22" s="2" t="inlineStr">
        <is>
          <t>专业技术类</t>
        </is>
      </c>
      <c r="CF22" s="2"/>
      <c r="CG22" s="2" t="inlineStr">
        <is>
          <t>专业问题协调</t>
        </is>
      </c>
      <c r="CH22" s="2" t="inlineStr">
        <is>
          <t>岗位职责</t>
        </is>
      </c>
      <c r="CI22" s="2" t="inlineStr">
        <is>
          <t>重要且紧急</t>
        </is>
      </c>
      <c r="CJ22" s="2" t="inlineStr">
        <is>
          <t>半标准化-有流程框架，需专业经验</t>
        </is>
      </c>
      <c r="CK22" s="2" t="inlineStr">
        <is>
          <t>低频（5%-10%）</t>
        </is>
      </c>
      <c r="CL22" s="2" t="inlineStr">
        <is>
          <t>时效/强度负荷</t>
        </is>
      </c>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t="inlineStr">
        <is>
          <t>8abdd266-23cc-440d-afe2-9d5ba528af6d</t>
        </is>
      </c>
      <c r="BT23" s="3" t="n">
        <v>10</v>
      </c>
      <c r="BU23" s="2" t="inlineStr">
        <is>
          <t>专业技术类</t>
        </is>
      </c>
      <c r="BV23" s="2" t="inlineStr">
        <is>
          <t>整理复核原始凭证</t>
        </is>
      </c>
      <c r="BW23" s="2" t="inlineStr">
        <is>
          <t>10次以上</t>
        </is>
      </c>
      <c r="BX23" s="3" t="n">
        <v>10</v>
      </c>
      <c r="BY23" s="3" t="n">
        <v>10</v>
      </c>
      <c r="BZ23" s="2" t="inlineStr">
        <is>
          <t>A.20分钟以内</t>
        </is>
      </c>
      <c r="CA23" s="7" t="n">
        <v>0.33</v>
      </c>
      <c r="CB23" s="7" t="n">
        <v>0.33</v>
      </c>
      <c r="CC23" s="7" t="n">
        <v>3.3</v>
      </c>
      <c r="CD23" s="7" t="n">
        <v>3.3</v>
      </c>
      <c r="CE23" s="2" t="inlineStr">
        <is>
          <t>专业技术类</t>
        </is>
      </c>
      <c r="CF23" s="2"/>
      <c r="CG23" s="2" t="inlineStr">
        <is>
          <t>专业问题协调</t>
        </is>
      </c>
      <c r="CH23" s="2" t="inlineStr">
        <is>
          <t>岗位职责</t>
        </is>
      </c>
      <c r="CI23" s="2" t="inlineStr">
        <is>
          <t>重要且紧急</t>
        </is>
      </c>
      <c r="CJ23" s="2" t="inlineStr">
        <is>
          <t>半标准化-有流程框架，需专业经验</t>
        </is>
      </c>
      <c r="CK23" s="2" t="inlineStr">
        <is>
          <t>低频（5%-10%）</t>
        </is>
      </c>
      <c r="CL23" s="2" t="inlineStr">
        <is>
          <t>时效/强度负荷</t>
        </is>
      </c>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t="inlineStr">
        <is>
          <t>5564153d-26e9-40a1-949c-54eca165e37f</t>
        </is>
      </c>
      <c r="BT24" s="3" t="n">
        <v>11</v>
      </c>
      <c r="BU24" s="2" t="inlineStr">
        <is>
          <t>专业技术类</t>
        </is>
      </c>
      <c r="BV24" s="2" t="inlineStr">
        <is>
          <t>进项税认证</t>
        </is>
      </c>
      <c r="BW24" s="2" t="inlineStr">
        <is>
          <t>10次以上</t>
        </is>
      </c>
      <c r="BX24" s="3" t="n">
        <v>10</v>
      </c>
      <c r="BY24" s="3" t="n">
        <v>10</v>
      </c>
      <c r="BZ24" s="2" t="inlineStr">
        <is>
          <t>A.20分钟以内</t>
        </is>
      </c>
      <c r="CA24" s="7" t="n">
        <v>0.33</v>
      </c>
      <c r="CB24" s="7" t="n">
        <v>0.33</v>
      </c>
      <c r="CC24" s="7" t="n">
        <v>3.3</v>
      </c>
      <c r="CD24" s="7" t="n">
        <v>3.3</v>
      </c>
      <c r="CE24" s="2" t="inlineStr">
        <is>
          <t>专业技术类</t>
        </is>
      </c>
      <c r="CF24" s="2"/>
      <c r="CG24" s="2" t="inlineStr">
        <is>
          <t>专业问题协调</t>
        </is>
      </c>
      <c r="CH24" s="2" t="inlineStr">
        <is>
          <t>岗位职责</t>
        </is>
      </c>
      <c r="CI24" s="2" t="inlineStr">
        <is>
          <t>重要且紧急</t>
        </is>
      </c>
      <c r="CJ24" s="2" t="inlineStr">
        <is>
          <t>半标准化-有流程框架，需专业经验</t>
        </is>
      </c>
      <c r="CK24" s="2" t="inlineStr">
        <is>
          <t>低频（5%-10%）</t>
        </is>
      </c>
      <c r="CL24" s="2" t="inlineStr">
        <is>
          <t>责任/风险负荷</t>
        </is>
      </c>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t="inlineStr">
        <is>
          <t>95b45b28-6773-494c-8a01-5cd9c45b9b62</t>
        </is>
      </c>
      <c r="BT25" s="3" t="n">
        <v>12</v>
      </c>
      <c r="BU25" s="2" t="inlineStr">
        <is>
          <t>专业技术类</t>
        </is>
      </c>
      <c r="BV25" s="2" t="inlineStr">
        <is>
          <t>登记编制投标保证金相关表格</t>
        </is>
      </c>
      <c r="BW25" s="2" t="inlineStr">
        <is>
          <t>1次</t>
        </is>
      </c>
      <c r="BX25" s="3" t="n">
        <v>1</v>
      </c>
      <c r="BY25" s="3" t="n">
        <v>1</v>
      </c>
      <c r="BZ25" s="2" t="inlineStr">
        <is>
          <t>A.20分钟以内</t>
        </is>
      </c>
      <c r="CA25" s="7" t="n">
        <v>0.33</v>
      </c>
      <c r="CB25" s="7" t="n">
        <v>0.33</v>
      </c>
      <c r="CC25" s="7" t="n">
        <v>0.33</v>
      </c>
      <c r="CD25" s="7" t="n">
        <v>0.33</v>
      </c>
      <c r="CE25" s="2" t="inlineStr">
        <is>
          <t>专业技术类</t>
        </is>
      </c>
      <c r="CF25" s="2"/>
      <c r="CG25" s="2" t="inlineStr">
        <is>
          <t>专业问题协调</t>
        </is>
      </c>
      <c r="CH25" s="2" t="inlineStr">
        <is>
          <t>岗位职责</t>
        </is>
      </c>
      <c r="CI25" s="2" t="inlineStr">
        <is>
          <t>重要不紧急</t>
        </is>
      </c>
      <c r="CJ25" s="2" t="inlineStr">
        <is>
          <t>半标准化-有流程框架，需专业经验</t>
        </is>
      </c>
      <c r="CK25" s="2" t="inlineStr">
        <is>
          <t>低频（5%-10%）</t>
        </is>
      </c>
      <c r="CL25" s="2" t="inlineStr">
        <is>
          <t>脑力/复杂度负荷</t>
        </is>
      </c>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row>
    <row r="26">
      <c r="A26" s="2" t="inlineStr">
        <is>
          <t>2026-05-26 15:18:37</t>
        </is>
      </c>
      <c r="B26" s="2" t="inlineStr">
        <is>
          <t>王蕾</t>
        </is>
      </c>
      <c r="C26" s="2" t="inlineStr">
        <is>
          <t>资产财务部</t>
        </is>
      </c>
      <c r="D26" s="2" t="inlineStr">
        <is>
          <t>女</t>
        </is>
      </c>
      <c r="E26" s="2" t="inlineStr">
        <is>
          <t>320112198512210469</t>
        </is>
      </c>
      <c r="F26" s="2" t="inlineStr">
        <is>
          <t>专业工程师</t>
        </is>
      </c>
      <c r="G26" s="2" t="inlineStr">
        <is>
          <t>2012-04</t>
        </is>
      </c>
      <c r="H26" s="2" t="inlineStr">
        <is>
          <t>淮阴工学院</t>
        </is>
      </c>
      <c r="I26" s="2" t="inlineStr">
        <is>
          <t>会计</t>
        </is>
      </c>
      <c r="J26" s="2" t="inlineStr">
        <is>
          <t>本科</t>
        </is>
      </c>
      <c r="K26" s="2"/>
      <c r="L26" s="6">
        <f>HYPERLINK("https://www.h3yun.com/Form/Attachments/?schemacode=D1483577de63ede327d4760b10664bd57671d7e&amp;bizObjectId=4fc7930e-595a-466a-8407-b6f6a605d292&amp;name=F0000046","点击查看")</f>
        <v>0</v>
      </c>
      <c r="M26" s="2" t="inlineStr">
        <is>
          <t>重复性工作</t>
        </is>
      </c>
      <c r="N26" s="2" t="inlineStr">
        <is>
          <t>每日工作;每周工作;每月工作;每季度/阶段性工作;临时/突发工作</t>
        </is>
      </c>
      <c r="O26" s="2" t="inlineStr">
        <is>
          <t>41-45岁</t>
        </is>
      </c>
      <c r="P26" s="2" t="inlineStr">
        <is>
          <t>C.已婚已育</t>
        </is>
      </c>
      <c r="Q26" s="2" t="inlineStr">
        <is>
          <t>A.否</t>
        </is>
      </c>
      <c r="R26" s="2" t="inlineStr">
        <is>
          <t>A.否</t>
        </is>
      </c>
      <c r="S26" s="2" t="inlineStr">
        <is>
          <t>A.保持当前工作内容和节奏，收入相对稳定即可</t>
        </is>
      </c>
      <c r="T26" s="2" t="inlineStr">
        <is>
          <t>A.基本满意，希望保持</t>
        </is>
      </c>
      <c r="U26" s="2" t="inlineStr">
        <is>
          <t>A.减少重复性事务</t>
        </is>
      </c>
      <c r="V26" s="2" t="inlineStr">
        <is>
          <t>A.没有</t>
        </is>
      </c>
      <c r="W26" s="2"/>
      <c r="X26" s="2" t="inlineStr">
        <is>
          <t>B.满负荷 (100%-120%)</t>
        </is>
      </c>
      <c r="Y26" s="2" t="inlineStr">
        <is>
          <t>B.上游资料不全，导致反复沟通/返工;C.会议或日常协调过多，压缩产出时间;E.临时差旅、突发事件、会议加班;I.因正常工作任务截止日遇上节假日所需加班</t>
        </is>
      </c>
      <c r="Z26" s="2" t="inlineStr">
        <is>
          <t>专业问题协调</t>
        </is>
      </c>
      <c r="AA26" s="2" t="inlineStr">
        <is>
          <t>会议安排</t>
        </is>
      </c>
      <c r="AB26" s="2" t="inlineStr">
        <is>
          <t>财务管理流程</t>
        </is>
      </c>
      <c r="AC26" s="2" t="inlineStr">
        <is>
          <t>B.基本匹配（正常履行）</t>
        </is>
      </c>
      <c r="AD26" s="2" t="inlineStr">
        <is>
          <t>减少无效会议</t>
        </is>
      </c>
      <c r="AE26" s="2"/>
      <c r="AF26" s="2"/>
      <c r="AG26" s="2"/>
      <c r="AH26" s="2"/>
      <c r="AI26" s="7" t="n">
        <v>19.47</v>
      </c>
      <c r="AJ26" s="7" t="n">
        <v>24.09</v>
      </c>
      <c r="AK26" s="7" t="n">
        <v>3.2</v>
      </c>
      <c r="AL26" s="7" t="n">
        <v>4.4</v>
      </c>
      <c r="AM26" s="7" t="n">
        <v>1.73</v>
      </c>
      <c r="AN26" s="7" t="n">
        <v>3.18</v>
      </c>
      <c r="AO26" s="7" t="n">
        <v>0.23</v>
      </c>
      <c r="AP26" s="7" t="n">
        <v>0.23</v>
      </c>
      <c r="AQ26" s="7" t="n">
        <v>0.45</v>
      </c>
      <c r="AR26" s="7" t="n">
        <v>1.15</v>
      </c>
      <c r="AS26" s="7" t="n">
        <v>25.08</v>
      </c>
      <c r="AT26" s="7" t="n">
        <v>33.05</v>
      </c>
      <c r="AU26" s="7" t="n">
        <v>29.07</v>
      </c>
      <c r="AV26" s="2" t="inlineStr">
        <is>
          <t>超负荷</t>
        </is>
      </c>
      <c r="AW26" s="2" t="inlineStr">
        <is>
          <t>不一致</t>
        </is>
      </c>
      <c r="AX26" s="2" t="inlineStr">
        <is>
          <t>4fc7930e-595a-466a-8407-b6f6a605d292</t>
        </is>
      </c>
      <c r="AY26" s="2" t="inlineStr">
        <is>
          <t>资产财务部    王蕾</t>
        </is>
      </c>
      <c r="AZ26" s="2" t="inlineStr">
        <is>
          <t>Anonymous</t>
        </is>
      </c>
      <c r="BA26" s="2" t="inlineStr">
        <is>
          <t>Anonymous</t>
        </is>
      </c>
      <c r="BB26" s="2"/>
      <c r="BC26" s="2" t="inlineStr">
        <is>
          <t>2026-05-26 15:18:37</t>
        </is>
      </c>
      <c r="BD26" s="3" t="n">
        <v>1985</v>
      </c>
      <c r="BE26" s="3" t="n">
        <v>41</v>
      </c>
      <c r="BF26" s="2" t="inlineStr">
        <is>
          <t>A.无此需求</t>
        </is>
      </c>
      <c r="BG26" s="2" t="inlineStr">
        <is>
          <t>已生效</t>
        </is>
      </c>
      <c r="BH26" s="2" t="inlineStr">
        <is>
          <t>adbe4a6e-7a8d-4022-a5a6-87403e09f734</t>
        </is>
      </c>
      <c r="BI26" s="3" t="n">
        <v>1</v>
      </c>
      <c r="BJ26" s="2"/>
      <c r="BK26" s="2"/>
      <c r="BL26" s="2"/>
      <c r="BM26" s="2"/>
      <c r="BN26" s="2"/>
      <c r="BO26" s="2"/>
      <c r="BP26" s="2"/>
      <c r="BQ26" s="2"/>
      <c r="BR26" s="2"/>
      <c r="BS26" s="2" t="inlineStr">
        <is>
          <t>dbd341f3-d6cd-4598-bf36-bd922fc76cbd</t>
        </is>
      </c>
      <c r="BT26" s="3" t="n">
        <v>1</v>
      </c>
      <c r="BU26" s="2" t="inlineStr">
        <is>
          <t>流程审批类</t>
        </is>
      </c>
      <c r="BV26" s="2" t="inlineStr">
        <is>
          <t>ERP流程审批</t>
        </is>
      </c>
      <c r="BW26" s="2" t="inlineStr">
        <is>
          <t>10次以上</t>
        </is>
      </c>
      <c r="BX26" s="3" t="n">
        <v>10</v>
      </c>
      <c r="BY26" s="3" t="n">
        <v>10</v>
      </c>
      <c r="BZ26" s="2" t="inlineStr">
        <is>
          <t>A.20分钟以内</t>
        </is>
      </c>
      <c r="CA26" s="7" t="n">
        <v>0.33</v>
      </c>
      <c r="CB26" s="7" t="n">
        <v>0.33</v>
      </c>
      <c r="CC26" s="7" t="n">
        <v>3.3</v>
      </c>
      <c r="CD26" s="7" t="n">
        <v>3.3</v>
      </c>
      <c r="CE26" s="2" t="inlineStr">
        <is>
          <t>流程审批类</t>
        </is>
      </c>
      <c r="CF26" s="2"/>
      <c r="CG26" s="2" t="inlineStr">
        <is>
          <t>财务管理流程</t>
        </is>
      </c>
      <c r="CH26" s="2" t="inlineStr">
        <is>
          <t>上级指令</t>
        </is>
      </c>
      <c r="CI26" s="2" t="inlineStr">
        <is>
          <t>重要且紧急</t>
        </is>
      </c>
      <c r="CJ26" s="2" t="inlineStr">
        <is>
          <t>半标准化-有流程框架，需专业经验</t>
        </is>
      </c>
      <c r="CK26" s="2" t="inlineStr">
        <is>
          <t>中频（10%-30%）</t>
        </is>
      </c>
      <c r="CL26" s="2" t="inlineStr">
        <is>
          <t>责任/风险负荷</t>
        </is>
      </c>
      <c r="CM26" s="2"/>
      <c r="CN26" s="2" t="inlineStr">
        <is>
          <t>742ab8be-6308-4dec-8b93-601081d507c2</t>
        </is>
      </c>
      <c r="CO26" s="3" t="n">
        <v>1</v>
      </c>
      <c r="CP26" s="2"/>
      <c r="CQ26" s="2" t="inlineStr">
        <is>
          <t>跨区域事项报告申请</t>
        </is>
      </c>
      <c r="CR26" s="2" t="inlineStr">
        <is>
          <t>4-5次</t>
        </is>
      </c>
      <c r="CS26" s="3" t="n">
        <v>4</v>
      </c>
      <c r="CT26" s="3" t="n">
        <v>5</v>
      </c>
      <c r="CU26" s="2" t="inlineStr">
        <is>
          <t>B.2小时以内</t>
        </is>
      </c>
      <c r="CV26" s="7" t="n">
        <v>2</v>
      </c>
      <c r="CW26" s="7" t="n">
        <v>2</v>
      </c>
      <c r="CX26" s="7" t="n">
        <v>8</v>
      </c>
      <c r="CY26" s="7" t="n">
        <v>10</v>
      </c>
      <c r="CZ26" s="2" t="inlineStr">
        <is>
          <t>专业技术类</t>
        </is>
      </c>
      <c r="DA26" s="2"/>
      <c r="DB26" s="2" t="inlineStr">
        <is>
          <t>专业问题协调</t>
        </is>
      </c>
      <c r="DC26" s="2" t="inlineStr">
        <is>
          <t>岗位职责</t>
        </is>
      </c>
      <c r="DD26" s="2" t="inlineStr">
        <is>
          <t>重要且紧急</t>
        </is>
      </c>
      <c r="DE26" s="2" t="inlineStr">
        <is>
          <t>半标准化-有流程框架，需专业经验</t>
        </is>
      </c>
      <c r="DF26" s="2" t="inlineStr">
        <is>
          <t>低频（5%-10%）</t>
        </is>
      </c>
      <c r="DG26" s="2" t="inlineStr">
        <is>
          <t>责任/风险负荷</t>
        </is>
      </c>
      <c r="DH26" s="2"/>
      <c r="DI26" s="2" t="inlineStr">
        <is>
          <t>5e99c85d-1ea5-4324-b5e8-05d6f9b563bb</t>
        </is>
      </c>
      <c r="DJ26" s="3" t="n">
        <v>1</v>
      </c>
      <c r="DK26" s="2"/>
      <c r="DL26" s="2" t="inlineStr">
        <is>
          <t>财务报表出具及审核</t>
        </is>
      </c>
      <c r="DM26" s="2" t="inlineStr">
        <is>
          <t>2-3次</t>
        </is>
      </c>
      <c r="DN26" s="3" t="n">
        <v>2</v>
      </c>
      <c r="DO26" s="3" t="n">
        <v>3</v>
      </c>
      <c r="DP26" s="2" t="inlineStr">
        <is>
          <t>B.2小时以内</t>
        </is>
      </c>
      <c r="DQ26" s="7" t="n">
        <v>2</v>
      </c>
      <c r="DR26" s="7" t="n">
        <v>2</v>
      </c>
      <c r="DS26" s="7" t="n">
        <v>4</v>
      </c>
      <c r="DT26" s="7" t="n">
        <v>6</v>
      </c>
      <c r="DU26" s="2" t="inlineStr">
        <is>
          <t>专业技术类</t>
        </is>
      </c>
      <c r="DV26" s="2"/>
      <c r="DW26" s="2" t="inlineStr">
        <is>
          <t>专业问题协调</t>
        </is>
      </c>
      <c r="DX26" s="2" t="inlineStr">
        <is>
          <t>岗位职责</t>
        </is>
      </c>
      <c r="DY26" s="2" t="inlineStr">
        <is>
          <t>重要且紧急</t>
        </is>
      </c>
      <c r="DZ26" s="2" t="inlineStr">
        <is>
          <t>半标准化-有流程框架，需专业经验</t>
        </is>
      </c>
      <c r="EA26" s="2" t="inlineStr">
        <is>
          <t>低频（5%-10%）</t>
        </is>
      </c>
      <c r="EB26" s="2" t="inlineStr">
        <is>
          <t>责任/风险负荷</t>
        </is>
      </c>
      <c r="EC26" s="2"/>
      <c r="ED26" s="2" t="inlineStr">
        <is>
          <t>85df4646-fe43-45cc-8a0f-ed6b34bc8bc8</t>
        </is>
      </c>
      <c r="EE26" s="3" t="n">
        <v>1</v>
      </c>
      <c r="EF26" s="2"/>
      <c r="EG26" s="2" t="inlineStr">
        <is>
          <t>印花税计算</t>
        </is>
      </c>
      <c r="EH26" s="2" t="inlineStr">
        <is>
          <t>3次及以上</t>
        </is>
      </c>
      <c r="EI26" s="3" t="n">
        <v>3</v>
      </c>
      <c r="EJ26" s="2" t="inlineStr">
        <is>
          <t>B.2小时以内</t>
        </is>
      </c>
      <c r="EK26" s="7" t="n">
        <v>2</v>
      </c>
      <c r="EL26" s="7" t="n">
        <v>2</v>
      </c>
      <c r="EM26" s="7" t="n">
        <v>6</v>
      </c>
      <c r="EN26" s="7" t="n">
        <v>6</v>
      </c>
      <c r="EO26" s="2" t="inlineStr">
        <is>
          <t>专业技术类</t>
        </is>
      </c>
      <c r="EP26" s="2"/>
      <c r="EQ26" s="2" t="inlineStr">
        <is>
          <t>专业问题协调</t>
        </is>
      </c>
      <c r="ER26" s="2" t="inlineStr">
        <is>
          <t>岗位职责</t>
        </is>
      </c>
      <c r="ES26" s="2" t="inlineStr">
        <is>
          <t>重要且紧急</t>
        </is>
      </c>
      <c r="ET26" s="2" t="inlineStr">
        <is>
          <t>半标准化-有流程框架，需专业经验</t>
        </is>
      </c>
      <c r="EU26" s="2" t="inlineStr">
        <is>
          <t>低频（5%-10%）</t>
        </is>
      </c>
      <c r="EV26" s="2" t="inlineStr">
        <is>
          <t>责任/风险负荷</t>
        </is>
      </c>
      <c r="EW26" s="2"/>
      <c r="EX26" s="2" t="inlineStr">
        <is>
          <t>8937df6e-14cd-4f04-8c45-4ce08b7241c1</t>
        </is>
      </c>
      <c r="EY26" s="3" t="n">
        <v>1</v>
      </c>
      <c r="EZ26" s="2"/>
      <c r="FA26" s="2" t="inlineStr">
        <is>
          <t>提供银行回单</t>
        </is>
      </c>
      <c r="FB26" s="2" t="inlineStr">
        <is>
          <t>每月3次以上</t>
        </is>
      </c>
      <c r="FC26" s="2" t="inlineStr">
        <is>
          <t>月</t>
        </is>
      </c>
      <c r="FD26" s="3" t="n">
        <v>3</v>
      </c>
      <c r="FE26" s="3" t="n">
        <v>3</v>
      </c>
      <c r="FF26" s="2" t="inlineStr">
        <is>
          <t>A.20分钟以内</t>
        </is>
      </c>
      <c r="FG26" s="7" t="n">
        <v>0.33</v>
      </c>
      <c r="FH26" s="7" t="n">
        <v>0.33</v>
      </c>
      <c r="FI26" s="7" t="n">
        <v>0.99</v>
      </c>
      <c r="FJ26" s="7" t="n">
        <v>0.99</v>
      </c>
      <c r="FK26" s="7" t="n">
        <v>0</v>
      </c>
      <c r="FL26" s="7" t="n">
        <v>0</v>
      </c>
      <c r="FM26" s="7" t="n">
        <v>0</v>
      </c>
      <c r="FN26" s="7" t="n">
        <v>0</v>
      </c>
      <c r="FO26" s="2" t="inlineStr">
        <is>
          <t>专业技术类</t>
        </is>
      </c>
      <c r="FP26" s="2"/>
      <c r="FQ26" s="2" t="inlineStr">
        <is>
          <t>专业问题协调</t>
        </is>
      </c>
      <c r="FR26" s="2" t="inlineStr">
        <is>
          <t>岗位职责</t>
        </is>
      </c>
      <c r="FS26" s="2" t="inlineStr">
        <is>
          <t>重要且紧急</t>
        </is>
      </c>
      <c r="FT26" s="2" t="inlineStr">
        <is>
          <t>半标准化-有流程框架，需专业经验</t>
        </is>
      </c>
      <c r="FU26" s="2" t="inlineStr">
        <is>
          <t>低频（5%-10%）</t>
        </is>
      </c>
      <c r="FV26" s="2" t="inlineStr">
        <is>
          <t>责任/风险负荷</t>
        </is>
      </c>
      <c r="FW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t="inlineStr">
        <is>
          <t>f1cdcad8-c97b-42fe-8675-2736a5449bf1</t>
        </is>
      </c>
      <c r="BT27" s="3" t="n">
        <v>2</v>
      </c>
      <c r="BU27" s="2" t="inlineStr">
        <is>
          <t>专业技术类</t>
        </is>
      </c>
      <c r="BV27" s="2" t="inlineStr">
        <is>
          <t>GS系统付款流程</t>
        </is>
      </c>
      <c r="BW27" s="2" t="inlineStr">
        <is>
          <t>10次以上</t>
        </is>
      </c>
      <c r="BX27" s="3" t="n">
        <v>10</v>
      </c>
      <c r="BY27" s="3" t="n">
        <v>10</v>
      </c>
      <c r="BZ27" s="2" t="inlineStr">
        <is>
          <t>A.20分钟以内</t>
        </is>
      </c>
      <c r="CA27" s="7" t="n">
        <v>0.33</v>
      </c>
      <c r="CB27" s="7" t="n">
        <v>0.33</v>
      </c>
      <c r="CC27" s="7" t="n">
        <v>3.3</v>
      </c>
      <c r="CD27" s="7" t="n">
        <v>3.3</v>
      </c>
      <c r="CE27" s="2" t="inlineStr">
        <is>
          <t>专业技术类</t>
        </is>
      </c>
      <c r="CF27" s="2"/>
      <c r="CG27" s="2" t="inlineStr">
        <is>
          <t>专业问题协调</t>
        </is>
      </c>
      <c r="CH27" s="2" t="inlineStr">
        <is>
          <t>岗位职责</t>
        </is>
      </c>
      <c r="CI27" s="2" t="inlineStr">
        <is>
          <t>重要且紧急</t>
        </is>
      </c>
      <c r="CJ27" s="2" t="inlineStr">
        <is>
          <t>半标准化-有流程框架，需专业经验</t>
        </is>
      </c>
      <c r="CK27" s="2" t="inlineStr">
        <is>
          <t>低频（5%-10%）</t>
        </is>
      </c>
      <c r="CL27" s="2" t="inlineStr">
        <is>
          <t>责任/风险负荷</t>
        </is>
      </c>
      <c r="CM27" s="2"/>
      <c r="CN27" s="2" t="inlineStr">
        <is>
          <t>23e5f890-8b90-4948-a693-1e6ebfb6a0bf</t>
        </is>
      </c>
      <c r="CO27" s="3" t="n">
        <v>2</v>
      </c>
      <c r="CP27" s="2"/>
      <c r="CQ27" s="2" t="inlineStr">
        <is>
          <t>往来单位对账</t>
        </is>
      </c>
      <c r="CR27" s="2" t="inlineStr">
        <is>
          <t>2-3次</t>
        </is>
      </c>
      <c r="CS27" s="3" t="n">
        <v>2</v>
      </c>
      <c r="CT27" s="3" t="n">
        <v>3</v>
      </c>
      <c r="CU27" s="2" t="inlineStr">
        <is>
          <t>B.2小时以内</t>
        </is>
      </c>
      <c r="CV27" s="7" t="n">
        <v>2</v>
      </c>
      <c r="CW27" s="7" t="n">
        <v>2</v>
      </c>
      <c r="CX27" s="7" t="n">
        <v>4</v>
      </c>
      <c r="CY27" s="7" t="n">
        <v>6</v>
      </c>
      <c r="CZ27" s="2" t="inlineStr">
        <is>
          <t>专业技术类</t>
        </is>
      </c>
      <c r="DA27" s="2"/>
      <c r="DB27" s="2" t="inlineStr">
        <is>
          <t>专业问题协调</t>
        </is>
      </c>
      <c r="DC27" s="2" t="inlineStr">
        <is>
          <t>岗位职责</t>
        </is>
      </c>
      <c r="DD27" s="2" t="inlineStr">
        <is>
          <t>重要且紧急</t>
        </is>
      </c>
      <c r="DE27" s="2" t="inlineStr">
        <is>
          <t>半标准化-有流程框架，需专业经验</t>
        </is>
      </c>
      <c r="DF27" s="2" t="inlineStr">
        <is>
          <t>低频（5%-10%）</t>
        </is>
      </c>
      <c r="DG27" s="2" t="inlineStr">
        <is>
          <t>责任/风险负荷</t>
        </is>
      </c>
      <c r="DH27" s="2"/>
      <c r="DI27" s="2" t="inlineStr">
        <is>
          <t>01ce6d25-8a48-4d71-aaae-a27dd33548c3</t>
        </is>
      </c>
      <c r="DJ27" s="3" t="n">
        <v>2</v>
      </c>
      <c r="DK27" s="2"/>
      <c r="DL27" s="2" t="inlineStr">
        <is>
          <t>税金计算申报及缴纳</t>
        </is>
      </c>
      <c r="DM27" s="2" t="inlineStr">
        <is>
          <t>2-3次</t>
        </is>
      </c>
      <c r="DN27" s="3" t="n">
        <v>2</v>
      </c>
      <c r="DO27" s="3" t="n">
        <v>3</v>
      </c>
      <c r="DP27" s="2" t="inlineStr">
        <is>
          <t>B.2小时以内</t>
        </is>
      </c>
      <c r="DQ27" s="7" t="n">
        <v>2</v>
      </c>
      <c r="DR27" s="7" t="n">
        <v>2</v>
      </c>
      <c r="DS27" s="7" t="n">
        <v>4</v>
      </c>
      <c r="DT27" s="7" t="n">
        <v>6</v>
      </c>
      <c r="DU27" s="2" t="inlineStr">
        <is>
          <t>专业技术类</t>
        </is>
      </c>
      <c r="DV27" s="2"/>
      <c r="DW27" s="2" t="inlineStr">
        <is>
          <t>专业问题协调</t>
        </is>
      </c>
      <c r="DX27" s="2" t="inlineStr">
        <is>
          <t>岗位职责</t>
        </is>
      </c>
      <c r="DY27" s="2" t="inlineStr">
        <is>
          <t>重要且紧急</t>
        </is>
      </c>
      <c r="DZ27" s="2" t="inlineStr">
        <is>
          <t>半标准化-有流程框架，需专业经验</t>
        </is>
      </c>
      <c r="EA27" s="2" t="inlineStr">
        <is>
          <t>低频（5%-10%）</t>
        </is>
      </c>
      <c r="EB27" s="2" t="inlineStr">
        <is>
          <t>责任/风险负荷</t>
        </is>
      </c>
      <c r="EC27" s="2"/>
      <c r="ED27" s="2" t="inlineStr">
        <is>
          <t>1eae43f6-2e5b-4e3d-be87-b090e1c0b032</t>
        </is>
      </c>
      <c r="EE27" s="3" t="n">
        <v>2</v>
      </c>
      <c r="EF27" s="2"/>
      <c r="EG27" s="2" t="inlineStr">
        <is>
          <t>配合会计报表年报审计</t>
        </is>
      </c>
      <c r="EH27" s="2" t="inlineStr">
        <is>
          <t>3次及以上</t>
        </is>
      </c>
      <c r="EI27" s="3" t="n">
        <v>3</v>
      </c>
      <c r="EJ27" s="2" t="inlineStr">
        <is>
          <t>E.8小时以上</t>
        </is>
      </c>
      <c r="EK27" s="7" t="n">
        <v>8</v>
      </c>
      <c r="EL27" s="7" t="n">
        <v>8</v>
      </c>
      <c r="EM27" s="7" t="n">
        <v>24</v>
      </c>
      <c r="EN27" s="7" t="n">
        <v>24</v>
      </c>
      <c r="EO27" s="2" t="inlineStr">
        <is>
          <t>专业技术类</t>
        </is>
      </c>
      <c r="EP27" s="2"/>
      <c r="EQ27" s="2" t="inlineStr">
        <is>
          <t>专业问题协调</t>
        </is>
      </c>
      <c r="ER27" s="2" t="inlineStr">
        <is>
          <t>岗位职责</t>
        </is>
      </c>
      <c r="ES27" s="2" t="inlineStr">
        <is>
          <t>重要且紧急</t>
        </is>
      </c>
      <c r="ET27" s="2" t="inlineStr">
        <is>
          <t>半标准化-有流程框架，需专业经验</t>
        </is>
      </c>
      <c r="EU27" s="2" t="inlineStr">
        <is>
          <t>低频（5%-10%）</t>
        </is>
      </c>
      <c r="EV27" s="2" t="inlineStr">
        <is>
          <t>责任/风险负荷</t>
        </is>
      </c>
      <c r="EW27" s="2"/>
      <c r="EX27" s="2" t="inlineStr">
        <is>
          <t>f137bad7-f2ab-4f75-aa39-aa08a3bbb4e3</t>
        </is>
      </c>
      <c r="EY27" s="3" t="n">
        <v>2</v>
      </c>
      <c r="EZ27" s="2"/>
      <c r="FA27" s="2" t="inlineStr">
        <is>
          <t>及时向相关人员传达税收政策变化</t>
        </is>
      </c>
      <c r="FB27" s="2" t="inlineStr">
        <is>
          <t>每季3次以上</t>
        </is>
      </c>
      <c r="FC27" s="2" t="inlineStr">
        <is>
          <t>季</t>
        </is>
      </c>
      <c r="FD27" s="3" t="n">
        <v>3</v>
      </c>
      <c r="FE27" s="3" t="n">
        <v>3</v>
      </c>
      <c r="FF27" s="2" t="inlineStr">
        <is>
          <t>B.2小时以内</t>
        </is>
      </c>
      <c r="FG27" s="7" t="n">
        <v>2</v>
      </c>
      <c r="FH27" s="7" t="n">
        <v>2</v>
      </c>
      <c r="FI27" s="7" t="n">
        <v>0</v>
      </c>
      <c r="FJ27" s="7" t="n">
        <v>0</v>
      </c>
      <c r="FK27" s="7" t="n">
        <v>6</v>
      </c>
      <c r="FL27" s="7" t="n">
        <v>6</v>
      </c>
      <c r="FM27" s="7" t="n">
        <v>0</v>
      </c>
      <c r="FN27" s="7" t="n">
        <v>0</v>
      </c>
      <c r="FO27" s="2" t="inlineStr">
        <is>
          <t>专业技术类</t>
        </is>
      </c>
      <c r="FP27" s="2"/>
      <c r="FQ27" s="2" t="inlineStr">
        <is>
          <t>专业问题协调</t>
        </is>
      </c>
      <c r="FR27" s="2" t="inlineStr">
        <is>
          <t>岗位职责</t>
        </is>
      </c>
      <c r="FS27" s="2" t="inlineStr">
        <is>
          <t>重要且紧急</t>
        </is>
      </c>
      <c r="FT27" s="2" t="inlineStr">
        <is>
          <t>半标准化-有流程框架，需专业经验</t>
        </is>
      </c>
      <c r="FU27" s="2" t="inlineStr">
        <is>
          <t>低频（5%-10%）</t>
        </is>
      </c>
      <c r="FV27" s="2" t="inlineStr">
        <is>
          <t>责任/风险负荷</t>
        </is>
      </c>
      <c r="FW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t="inlineStr">
        <is>
          <t>cd8281bd-b03e-47ff-8698-a9f80a55023c</t>
        </is>
      </c>
      <c r="BT28" s="3" t="n">
        <v>3</v>
      </c>
      <c r="BU28" s="2" t="inlineStr">
        <is>
          <t>专业技术类</t>
        </is>
      </c>
      <c r="BV28" s="2" t="inlineStr">
        <is>
          <t>GS系统制单流程</t>
        </is>
      </c>
      <c r="BW28" s="2" t="inlineStr">
        <is>
          <t>10次以上</t>
        </is>
      </c>
      <c r="BX28" s="3" t="n">
        <v>10</v>
      </c>
      <c r="BY28" s="3" t="n">
        <v>10</v>
      </c>
      <c r="BZ28" s="2" t="inlineStr">
        <is>
          <t>A.20分钟以内</t>
        </is>
      </c>
      <c r="CA28" s="7" t="n">
        <v>0.33</v>
      </c>
      <c r="CB28" s="7" t="n">
        <v>0.33</v>
      </c>
      <c r="CC28" s="7" t="n">
        <v>3.3</v>
      </c>
      <c r="CD28" s="7" t="n">
        <v>3.3</v>
      </c>
      <c r="CE28" s="2" t="inlineStr">
        <is>
          <t>专业技术类</t>
        </is>
      </c>
      <c r="CF28" s="2"/>
      <c r="CG28" s="2" t="inlineStr">
        <is>
          <t>专业问题协调</t>
        </is>
      </c>
      <c r="CH28" s="2" t="inlineStr">
        <is>
          <t>岗位职责</t>
        </is>
      </c>
      <c r="CI28" s="2" t="inlineStr">
        <is>
          <t>重要且紧急</t>
        </is>
      </c>
      <c r="CJ28" s="2" t="inlineStr">
        <is>
          <t>半标准化-有流程框架，需专业经验</t>
        </is>
      </c>
      <c r="CK28" s="2" t="inlineStr">
        <is>
          <t>低频（5%-10%）</t>
        </is>
      </c>
      <c r="CL28" s="2" t="inlineStr">
        <is>
          <t>责任/风险负荷</t>
        </is>
      </c>
      <c r="CM28" s="2"/>
      <c r="CN28" s="2" t="inlineStr">
        <is>
          <t>c57abc12-225c-47e7-a55f-60e838c93f89</t>
        </is>
      </c>
      <c r="CO28" s="3" t="n">
        <v>3</v>
      </c>
      <c r="CP28" s="2"/>
      <c r="CQ28" s="2" t="inlineStr">
        <is>
          <t>向相关人员提供资金报表</t>
        </is>
      </c>
      <c r="CR28" s="2" t="inlineStr">
        <is>
          <t>2-3次</t>
        </is>
      </c>
      <c r="CS28" s="3" t="n">
        <v>2</v>
      </c>
      <c r="CT28" s="3" t="n">
        <v>3</v>
      </c>
      <c r="CU28" s="2" t="inlineStr">
        <is>
          <t>B.2小时以内</t>
        </is>
      </c>
      <c r="CV28" s="7" t="n">
        <v>2</v>
      </c>
      <c r="CW28" s="7" t="n">
        <v>2</v>
      </c>
      <c r="CX28" s="7" t="n">
        <v>4</v>
      </c>
      <c r="CY28" s="7" t="n">
        <v>6</v>
      </c>
      <c r="CZ28" s="2" t="inlineStr">
        <is>
          <t>专业技术类</t>
        </is>
      </c>
      <c r="DA28" s="2"/>
      <c r="DB28" s="2" t="inlineStr">
        <is>
          <t>专业问题协调</t>
        </is>
      </c>
      <c r="DC28" s="2" t="inlineStr">
        <is>
          <t>岗位职责</t>
        </is>
      </c>
      <c r="DD28" s="2" t="inlineStr">
        <is>
          <t>重要且紧急</t>
        </is>
      </c>
      <c r="DE28" s="2" t="inlineStr">
        <is>
          <t>半标准化-有流程框架，需专业经验</t>
        </is>
      </c>
      <c r="DF28" s="2" t="inlineStr">
        <is>
          <t>低频（5%-10%）</t>
        </is>
      </c>
      <c r="DG28" s="2" t="inlineStr">
        <is>
          <t>责任/风险负荷</t>
        </is>
      </c>
      <c r="DH28" s="2"/>
      <c r="DI28" s="2" t="inlineStr">
        <is>
          <t>dd784e8e-9cb5-490b-8c1c-deb571bedddd</t>
        </is>
      </c>
      <c r="DJ28" s="3" t="n">
        <v>3</v>
      </c>
      <c r="DK28" s="2"/>
      <c r="DL28" s="2" t="inlineStr">
        <is>
          <t>提供动态资金报表</t>
        </is>
      </c>
      <c r="DM28" s="2" t="inlineStr">
        <is>
          <t>2-3次</t>
        </is>
      </c>
      <c r="DN28" s="3" t="n">
        <v>2</v>
      </c>
      <c r="DO28" s="3" t="n">
        <v>3</v>
      </c>
      <c r="DP28" s="2" t="inlineStr">
        <is>
          <t>B.2小时以内</t>
        </is>
      </c>
      <c r="DQ28" s="7" t="n">
        <v>2</v>
      </c>
      <c r="DR28" s="7" t="n">
        <v>2</v>
      </c>
      <c r="DS28" s="7" t="n">
        <v>4</v>
      </c>
      <c r="DT28" s="7" t="n">
        <v>6</v>
      </c>
      <c r="DU28" s="2" t="inlineStr">
        <is>
          <t>专业技术类</t>
        </is>
      </c>
      <c r="DV28" s="2"/>
      <c r="DW28" s="2" t="inlineStr">
        <is>
          <t>专业问题协调</t>
        </is>
      </c>
      <c r="DX28" s="2" t="inlineStr">
        <is>
          <t>岗位职责</t>
        </is>
      </c>
      <c r="DY28" s="2" t="inlineStr">
        <is>
          <t>重要且紧急</t>
        </is>
      </c>
      <c r="DZ28" s="2" t="inlineStr">
        <is>
          <t>半标准化-有流程框架，需专业经验</t>
        </is>
      </c>
      <c r="EA28" s="2" t="inlineStr">
        <is>
          <t>低频（5%-10%）</t>
        </is>
      </c>
      <c r="EB28" s="2" t="inlineStr">
        <is>
          <t>责任/风险负荷</t>
        </is>
      </c>
      <c r="EC28" s="2"/>
      <c r="ED28" s="2" t="inlineStr">
        <is>
          <t>b13e0b3f-7f43-460c-b464-98465af3bbf1</t>
        </is>
      </c>
      <c r="EE28" s="3" t="n">
        <v>3</v>
      </c>
      <c r="EF28" s="2"/>
      <c r="EG28" s="2" t="inlineStr">
        <is>
          <t>配合税务审计</t>
        </is>
      </c>
      <c r="EH28" s="2" t="inlineStr">
        <is>
          <t>3次及以上</t>
        </is>
      </c>
      <c r="EI28" s="3" t="n">
        <v>3</v>
      </c>
      <c r="EJ28" s="2" t="inlineStr">
        <is>
          <t>E.8小时以上</t>
        </is>
      </c>
      <c r="EK28" s="7" t="n">
        <v>8</v>
      </c>
      <c r="EL28" s="7" t="n">
        <v>8</v>
      </c>
      <c r="EM28" s="7" t="n">
        <v>24</v>
      </c>
      <c r="EN28" s="7" t="n">
        <v>24</v>
      </c>
      <c r="EO28" s="2" t="inlineStr">
        <is>
          <t>专业技术类</t>
        </is>
      </c>
      <c r="EP28" s="2"/>
      <c r="EQ28" s="2" t="inlineStr">
        <is>
          <t>专业问题协调</t>
        </is>
      </c>
      <c r="ER28" s="2" t="inlineStr">
        <is>
          <t>岗位职责</t>
        </is>
      </c>
      <c r="ES28" s="2" t="inlineStr">
        <is>
          <t>重要且紧急</t>
        </is>
      </c>
      <c r="ET28" s="2" t="inlineStr">
        <is>
          <t>半标准化-有流程框架，需专业经验</t>
        </is>
      </c>
      <c r="EU28" s="2" t="inlineStr">
        <is>
          <t>低频（5%-10%）</t>
        </is>
      </c>
      <c r="EV28" s="2" t="inlineStr">
        <is>
          <t>责任/风险负荷</t>
        </is>
      </c>
      <c r="EW28" s="2"/>
      <c r="EX28" s="2" t="inlineStr">
        <is>
          <t>2368b77d-c6a6-4393-a805-ed9955cbe940</t>
        </is>
      </c>
      <c r="EY28" s="3" t="n">
        <v>3</v>
      </c>
      <c r="EZ28" s="2"/>
      <c r="FA28" s="2" t="inlineStr">
        <is>
          <t>临时向领导提供财务数据</t>
        </is>
      </c>
      <c r="FB28" s="2" t="inlineStr">
        <is>
          <t>每月1-2次</t>
        </is>
      </c>
      <c r="FC28" s="2" t="inlineStr">
        <is>
          <t>月</t>
        </is>
      </c>
      <c r="FD28" s="3" t="n">
        <v>1</v>
      </c>
      <c r="FE28" s="3" t="n">
        <v>2</v>
      </c>
      <c r="FF28" s="2" t="inlineStr">
        <is>
          <t>C.2-4小时</t>
        </is>
      </c>
      <c r="FG28" s="7" t="n">
        <v>2</v>
      </c>
      <c r="FH28" s="7" t="n">
        <v>4</v>
      </c>
      <c r="FI28" s="7" t="n">
        <v>2</v>
      </c>
      <c r="FJ28" s="7" t="n">
        <v>8</v>
      </c>
      <c r="FK28" s="7" t="n">
        <v>0</v>
      </c>
      <c r="FL28" s="7" t="n">
        <v>0</v>
      </c>
      <c r="FM28" s="7" t="n">
        <v>0</v>
      </c>
      <c r="FN28" s="7" t="n">
        <v>0</v>
      </c>
      <c r="FO28" s="2" t="inlineStr">
        <is>
          <t>专业技术类</t>
        </is>
      </c>
      <c r="FP28" s="2"/>
      <c r="FQ28" s="2" t="inlineStr">
        <is>
          <t>专业问题协调</t>
        </is>
      </c>
      <c r="FR28" s="2" t="inlineStr">
        <is>
          <t>岗位职责</t>
        </is>
      </c>
      <c r="FS28" s="2" t="inlineStr">
        <is>
          <t>重要且紧急</t>
        </is>
      </c>
      <c r="FT28" s="2" t="inlineStr">
        <is>
          <t>半标准化-有流程框架，需专业经验</t>
        </is>
      </c>
      <c r="FU28" s="2" t="inlineStr">
        <is>
          <t>低频（5%-10%）</t>
        </is>
      </c>
      <c r="FV28" s="2" t="inlineStr">
        <is>
          <t>责任/风险负荷</t>
        </is>
      </c>
      <c r="FW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t="inlineStr">
        <is>
          <t>550a0f56-a8d0-4904-8a0f-2b558e560611</t>
        </is>
      </c>
      <c r="BT29" s="3" t="n">
        <v>4</v>
      </c>
      <c r="BU29" s="2" t="inlineStr">
        <is>
          <t>专业技术类</t>
        </is>
      </c>
      <c r="BV29" s="2" t="inlineStr">
        <is>
          <t>GS系统发票申请流程</t>
        </is>
      </c>
      <c r="BW29" s="2" t="inlineStr">
        <is>
          <t>6-10次</t>
        </is>
      </c>
      <c r="BX29" s="3" t="n">
        <v>6</v>
      </c>
      <c r="BY29" s="3" t="n">
        <v>10</v>
      </c>
      <c r="BZ29" s="2" t="inlineStr">
        <is>
          <t>A.20分钟以内</t>
        </is>
      </c>
      <c r="CA29" s="7" t="n">
        <v>0.33</v>
      </c>
      <c r="CB29" s="7" t="n">
        <v>0.33</v>
      </c>
      <c r="CC29" s="7" t="n">
        <v>1.98</v>
      </c>
      <c r="CD29" s="7" t="n">
        <v>3.3</v>
      </c>
      <c r="CE29" s="2" t="inlineStr">
        <is>
          <t>专业技术类</t>
        </is>
      </c>
      <c r="CF29" s="2"/>
      <c r="CG29" s="2" t="inlineStr">
        <is>
          <t>专业问题协调</t>
        </is>
      </c>
      <c r="CH29" s="2" t="inlineStr">
        <is>
          <t>岗位职责</t>
        </is>
      </c>
      <c r="CI29" s="2" t="inlineStr">
        <is>
          <t>重要且紧急</t>
        </is>
      </c>
      <c r="CJ29" s="2" t="inlineStr">
        <is>
          <t>半标准化-有流程框架，需专业经验</t>
        </is>
      </c>
      <c r="CK29" s="2" t="inlineStr">
        <is>
          <t>低频（5%-10%）</t>
        </is>
      </c>
      <c r="CL29" s="2" t="inlineStr">
        <is>
          <t>责任/风险负荷</t>
        </is>
      </c>
      <c r="CM29" s="2"/>
      <c r="CN29" s="2"/>
      <c r="CO29" s="2"/>
      <c r="CP29" s="2"/>
      <c r="CQ29" s="2"/>
      <c r="CR29" s="2"/>
      <c r="CS29" s="2"/>
      <c r="CT29" s="2"/>
      <c r="CU29" s="2"/>
      <c r="CV29" s="2"/>
      <c r="CW29" s="2"/>
      <c r="CX29" s="2"/>
      <c r="CY29" s="2"/>
      <c r="CZ29" s="2"/>
      <c r="DA29" s="2"/>
      <c r="DB29" s="2"/>
      <c r="DC29" s="2"/>
      <c r="DD29" s="2"/>
      <c r="DE29" s="2"/>
      <c r="DF29" s="2"/>
      <c r="DG29" s="2"/>
      <c r="DH29" s="2"/>
      <c r="DI29" s="2" t="inlineStr">
        <is>
          <t>a02e3e6f-e02c-4829-86cb-0388fb7c59ca</t>
        </is>
      </c>
      <c r="DJ29" s="3" t="n">
        <v>4</v>
      </c>
      <c r="DK29" s="2"/>
      <c r="DL29" s="2" t="inlineStr">
        <is>
          <t>整理打印会计凭证</t>
        </is>
      </c>
      <c r="DM29" s="2" t="inlineStr">
        <is>
          <t>2-3次</t>
        </is>
      </c>
      <c r="DN29" s="3" t="n">
        <v>2</v>
      </c>
      <c r="DO29" s="3" t="n">
        <v>3</v>
      </c>
      <c r="DP29" s="2" t="inlineStr">
        <is>
          <t>B.2小时以内</t>
        </is>
      </c>
      <c r="DQ29" s="7" t="n">
        <v>2</v>
      </c>
      <c r="DR29" s="7" t="n">
        <v>2</v>
      </c>
      <c r="DS29" s="7" t="n">
        <v>4</v>
      </c>
      <c r="DT29" s="7" t="n">
        <v>6</v>
      </c>
      <c r="DU29" s="2" t="inlineStr">
        <is>
          <t>专业技术类</t>
        </is>
      </c>
      <c r="DV29" s="2"/>
      <c r="DW29" s="2" t="inlineStr">
        <is>
          <t>专业问题协调</t>
        </is>
      </c>
      <c r="DX29" s="2" t="inlineStr">
        <is>
          <t>岗位职责</t>
        </is>
      </c>
      <c r="DY29" s="2" t="inlineStr">
        <is>
          <t>重要且紧急</t>
        </is>
      </c>
      <c r="DZ29" s="2" t="inlineStr">
        <is>
          <t>半标准化-有流程框架，需专业经验</t>
        </is>
      </c>
      <c r="EA29" s="2" t="inlineStr">
        <is>
          <t>低频（5%-10%）</t>
        </is>
      </c>
      <c r="EB29" s="2" t="inlineStr">
        <is>
          <t>责任/风险负荷</t>
        </is>
      </c>
      <c r="EC29" s="2"/>
      <c r="ED29" s="2" t="inlineStr">
        <is>
          <t>1e2a8a5b-d547-47bb-b3d0-389111a8fd71</t>
        </is>
      </c>
      <c r="EE29" s="3" t="n">
        <v>4</v>
      </c>
      <c r="EF29" s="2"/>
      <c r="EG29" s="2" t="inlineStr">
        <is>
          <t>配合合同部填报统计报表</t>
        </is>
      </c>
      <c r="EH29" s="2" t="inlineStr">
        <is>
          <t>2次</t>
        </is>
      </c>
      <c r="EI29" s="3" t="n">
        <v>2</v>
      </c>
      <c r="EJ29" s="2" t="inlineStr">
        <is>
          <t>B.2小时以内</t>
        </is>
      </c>
      <c r="EK29" s="7" t="n">
        <v>2</v>
      </c>
      <c r="EL29" s="7" t="n">
        <v>2</v>
      </c>
      <c r="EM29" s="7" t="n">
        <v>4</v>
      </c>
      <c r="EN29" s="7" t="n">
        <v>4</v>
      </c>
      <c r="EO29" s="2" t="inlineStr">
        <is>
          <t>专业技术类</t>
        </is>
      </c>
      <c r="EP29" s="2"/>
      <c r="EQ29" s="2" t="inlineStr">
        <is>
          <t>专业问题协调</t>
        </is>
      </c>
      <c r="ER29" s="2" t="inlineStr">
        <is>
          <t>岗位职责</t>
        </is>
      </c>
      <c r="ES29" s="2" t="inlineStr">
        <is>
          <t>重要且紧急</t>
        </is>
      </c>
      <c r="ET29" s="2" t="inlineStr">
        <is>
          <t>半标准化-有流程框架，需专业经验</t>
        </is>
      </c>
      <c r="EU29" s="2" t="inlineStr">
        <is>
          <t>低频（5%-10%）</t>
        </is>
      </c>
      <c r="EV29" s="2" t="inlineStr">
        <is>
          <t>责任/风险负荷</t>
        </is>
      </c>
      <c r="EW29" s="2"/>
      <c r="EX29" s="2" t="inlineStr">
        <is>
          <t>e432f413-800b-43bf-a5c8-e9fd2864717d</t>
        </is>
      </c>
      <c r="EY29" s="3" t="n">
        <v>4</v>
      </c>
      <c r="EZ29" s="2"/>
      <c r="FA29" s="2" t="inlineStr">
        <is>
          <t>银行保函等申请</t>
        </is>
      </c>
      <c r="FB29" s="2" t="inlineStr">
        <is>
          <t>每月1-2次</t>
        </is>
      </c>
      <c r="FC29" s="2" t="inlineStr">
        <is>
          <t>月</t>
        </is>
      </c>
      <c r="FD29" s="3" t="n">
        <v>1</v>
      </c>
      <c r="FE29" s="3" t="n">
        <v>2</v>
      </c>
      <c r="FF29" s="2" t="inlineStr">
        <is>
          <t>B.2小时以内</t>
        </is>
      </c>
      <c r="FG29" s="7" t="n">
        <v>2</v>
      </c>
      <c r="FH29" s="7" t="n">
        <v>2</v>
      </c>
      <c r="FI29" s="7" t="n">
        <v>2</v>
      </c>
      <c r="FJ29" s="7" t="n">
        <v>4</v>
      </c>
      <c r="FK29" s="7" t="n">
        <v>0</v>
      </c>
      <c r="FL29" s="7" t="n">
        <v>0</v>
      </c>
      <c r="FM29" s="7" t="n">
        <v>0</v>
      </c>
      <c r="FN29" s="7" t="n">
        <v>0</v>
      </c>
      <c r="FO29" s="2" t="inlineStr">
        <is>
          <t>专业技术类</t>
        </is>
      </c>
      <c r="FP29" s="2"/>
      <c r="FQ29" s="2" t="inlineStr">
        <is>
          <t>专业问题协调</t>
        </is>
      </c>
      <c r="FR29" s="2" t="inlineStr">
        <is>
          <t>岗位职责</t>
        </is>
      </c>
      <c r="FS29" s="2" t="inlineStr">
        <is>
          <t>重要且紧急</t>
        </is>
      </c>
      <c r="FT29" s="2" t="inlineStr">
        <is>
          <t>半标准化-有流程框架，需专业经验</t>
        </is>
      </c>
      <c r="FU29" s="2" t="inlineStr">
        <is>
          <t>低频（5%-10%）</t>
        </is>
      </c>
      <c r="FV29" s="2" t="inlineStr">
        <is>
          <t>责任/风险负荷</t>
        </is>
      </c>
      <c r="FW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t="inlineStr">
        <is>
          <t>5afe471f-93a2-4d6b-b6a4-f15aec136f11</t>
        </is>
      </c>
      <c r="BT30" s="3" t="n">
        <v>5</v>
      </c>
      <c r="BU30" s="2" t="inlineStr">
        <is>
          <t>专业技术类</t>
        </is>
      </c>
      <c r="BV30" s="2" t="inlineStr">
        <is>
          <t>GS系统收款流程</t>
        </is>
      </c>
      <c r="BW30" s="2" t="inlineStr">
        <is>
          <t>2-5次</t>
        </is>
      </c>
      <c r="BX30" s="3" t="n">
        <v>2</v>
      </c>
      <c r="BY30" s="3" t="n">
        <v>5</v>
      </c>
      <c r="BZ30" s="2" t="inlineStr">
        <is>
          <t>A.20分钟以内</t>
        </is>
      </c>
      <c r="CA30" s="7" t="n">
        <v>0.33</v>
      </c>
      <c r="CB30" s="7" t="n">
        <v>0.33</v>
      </c>
      <c r="CC30" s="7" t="n">
        <v>0.66</v>
      </c>
      <c r="CD30" s="7" t="n">
        <v>1.65</v>
      </c>
      <c r="CE30" s="2" t="inlineStr">
        <is>
          <t>专业技术类</t>
        </is>
      </c>
      <c r="CF30" s="2"/>
      <c r="CG30" s="2" t="inlineStr">
        <is>
          <t>专业问题协调</t>
        </is>
      </c>
      <c r="CH30" s="2" t="inlineStr">
        <is>
          <t>岗位职责</t>
        </is>
      </c>
      <c r="CI30" s="2" t="inlineStr">
        <is>
          <t>重要且紧急</t>
        </is>
      </c>
      <c r="CJ30" s="2" t="inlineStr">
        <is>
          <t>半标准化-有流程框架，需专业经验</t>
        </is>
      </c>
      <c r="CK30" s="2" t="inlineStr">
        <is>
          <t>低频（5%-10%）</t>
        </is>
      </c>
      <c r="CL30" s="2" t="inlineStr">
        <is>
          <t>责任/风险负荷</t>
        </is>
      </c>
      <c r="CM30" s="2"/>
      <c r="CN30" s="2"/>
      <c r="CO30" s="2"/>
      <c r="CP30" s="2"/>
      <c r="CQ30" s="2"/>
      <c r="CR30" s="2"/>
      <c r="CS30" s="2"/>
      <c r="CT30" s="2"/>
      <c r="CU30" s="2"/>
      <c r="CV30" s="2"/>
      <c r="CW30" s="2"/>
      <c r="CX30" s="2"/>
      <c r="CY30" s="2"/>
      <c r="CZ30" s="2"/>
      <c r="DA30" s="2"/>
      <c r="DB30" s="2"/>
      <c r="DC30" s="2"/>
      <c r="DD30" s="2"/>
      <c r="DE30" s="2"/>
      <c r="DF30" s="2"/>
      <c r="DG30" s="2"/>
      <c r="DH30" s="2"/>
      <c r="DI30" s="2" t="inlineStr">
        <is>
          <t>df490b5a-33f4-4ca9-95f6-a8392ab26767</t>
        </is>
      </c>
      <c r="DJ30" s="3" t="n">
        <v>5</v>
      </c>
      <c r="DK30" s="2"/>
      <c r="DL30" s="2" t="inlineStr">
        <is>
          <t>复核会计凭证正确性</t>
        </is>
      </c>
      <c r="DM30" s="2" t="inlineStr">
        <is>
          <t>4-8次</t>
        </is>
      </c>
      <c r="DN30" s="3" t="n">
        <v>4</v>
      </c>
      <c r="DO30" s="3" t="n">
        <v>8</v>
      </c>
      <c r="DP30" s="2" t="inlineStr">
        <is>
          <t>B.2小时以内</t>
        </is>
      </c>
      <c r="DQ30" s="7" t="n">
        <v>2</v>
      </c>
      <c r="DR30" s="7" t="n">
        <v>2</v>
      </c>
      <c r="DS30" s="7" t="n">
        <v>8</v>
      </c>
      <c r="DT30" s="7" t="n">
        <v>16</v>
      </c>
      <c r="DU30" s="2" t="inlineStr">
        <is>
          <t>专业技术类</t>
        </is>
      </c>
      <c r="DV30" s="2"/>
      <c r="DW30" s="2" t="inlineStr">
        <is>
          <t>专业问题协调</t>
        </is>
      </c>
      <c r="DX30" s="2" t="inlineStr">
        <is>
          <t>岗位职责</t>
        </is>
      </c>
      <c r="DY30" s="2" t="inlineStr">
        <is>
          <t>重要且紧急</t>
        </is>
      </c>
      <c r="DZ30" s="2" t="inlineStr">
        <is>
          <t>半标准化-有流程框架，需专业经验</t>
        </is>
      </c>
      <c r="EA30" s="2" t="inlineStr">
        <is>
          <t>低频（5%-10%）</t>
        </is>
      </c>
      <c r="EB30" s="2" t="inlineStr">
        <is>
          <t>责任/风险负荷</t>
        </is>
      </c>
      <c r="EC30" s="2"/>
      <c r="ED30" s="2"/>
      <c r="EE30" s="2"/>
      <c r="EF30" s="2"/>
      <c r="EG30" s="2"/>
      <c r="EH30" s="2"/>
      <c r="EI30" s="2"/>
      <c r="EJ30" s="2"/>
      <c r="EK30" s="2"/>
      <c r="EL30" s="2"/>
      <c r="EM30" s="2"/>
      <c r="EN30" s="2"/>
      <c r="EO30" s="2"/>
      <c r="EP30" s="2"/>
      <c r="EQ30" s="2"/>
      <c r="ER30" s="2"/>
      <c r="ES30" s="2"/>
      <c r="ET30" s="2"/>
      <c r="EU30" s="2"/>
      <c r="EV30" s="2"/>
      <c r="EW30" s="2"/>
      <c r="EX30" s="2" t="inlineStr">
        <is>
          <t>edb1acde-9d9b-48e8-a6e6-fd12cc7fe6d9</t>
        </is>
      </c>
      <c r="EY30" s="3" t="n">
        <v>5</v>
      </c>
      <c r="EZ30" s="2"/>
      <c r="FA30" s="2" t="inlineStr">
        <is>
          <t>回复往来询证函</t>
        </is>
      </c>
      <c r="FB30" s="2" t="inlineStr">
        <is>
          <t>每年1-2次</t>
        </is>
      </c>
      <c r="FC30" s="2" t="inlineStr">
        <is>
          <t>年</t>
        </is>
      </c>
      <c r="FD30" s="3" t="n">
        <v>1</v>
      </c>
      <c r="FE30" s="3" t="n">
        <v>2</v>
      </c>
      <c r="FF30" s="2" t="inlineStr">
        <is>
          <t>C.2-4小时</t>
        </is>
      </c>
      <c r="FG30" s="7" t="n">
        <v>2</v>
      </c>
      <c r="FH30" s="7" t="n">
        <v>4</v>
      </c>
      <c r="FI30" s="7" t="n">
        <v>0</v>
      </c>
      <c r="FJ30" s="7" t="n">
        <v>0</v>
      </c>
      <c r="FK30" s="7" t="n">
        <v>0</v>
      </c>
      <c r="FL30" s="7" t="n">
        <v>0</v>
      </c>
      <c r="FM30" s="7" t="n">
        <v>2</v>
      </c>
      <c r="FN30" s="7" t="n">
        <v>8</v>
      </c>
      <c r="FO30" s="2" t="inlineStr">
        <is>
          <t>专业技术类</t>
        </is>
      </c>
      <c r="FP30" s="2"/>
      <c r="FQ30" s="2" t="inlineStr">
        <is>
          <t>专业问题协调</t>
        </is>
      </c>
      <c r="FR30" s="2" t="inlineStr">
        <is>
          <t>岗位职责</t>
        </is>
      </c>
      <c r="FS30" s="2" t="inlineStr">
        <is>
          <t>重要且紧急</t>
        </is>
      </c>
      <c r="FT30" s="2" t="inlineStr">
        <is>
          <t>半标准化-有流程框架，需专业经验</t>
        </is>
      </c>
      <c r="FU30" s="2" t="inlineStr">
        <is>
          <t>低频（5%-10%）</t>
        </is>
      </c>
      <c r="FV30" s="2" t="inlineStr">
        <is>
          <t>责任/风险负荷</t>
        </is>
      </c>
      <c r="FW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t="inlineStr">
        <is>
          <t>5c300a84-2305-4be1-8324-c9c8a6a18a0a</t>
        </is>
      </c>
      <c r="BT31" s="3" t="n">
        <v>6</v>
      </c>
      <c r="BU31" s="2" t="inlineStr">
        <is>
          <t>专业技术类</t>
        </is>
      </c>
      <c r="BV31" s="2" t="inlineStr">
        <is>
          <t>GS资金类对账</t>
        </is>
      </c>
      <c r="BW31" s="2" t="inlineStr">
        <is>
          <t>1次</t>
        </is>
      </c>
      <c r="BX31" s="3" t="n">
        <v>1</v>
      </c>
      <c r="BY31" s="3" t="n">
        <v>1</v>
      </c>
      <c r="BZ31" s="2" t="inlineStr">
        <is>
          <t>A.20分钟以内</t>
        </is>
      </c>
      <c r="CA31" s="7" t="n">
        <v>0.33</v>
      </c>
      <c r="CB31" s="7" t="n">
        <v>0.33</v>
      </c>
      <c r="CC31" s="7" t="n">
        <v>0.33</v>
      </c>
      <c r="CD31" s="7" t="n">
        <v>0.33</v>
      </c>
      <c r="CE31" s="2" t="inlineStr">
        <is>
          <t>专业技术类</t>
        </is>
      </c>
      <c r="CF31" s="2"/>
      <c r="CG31" s="2" t="inlineStr">
        <is>
          <t>专业问题协调</t>
        </is>
      </c>
      <c r="CH31" s="2" t="inlineStr">
        <is>
          <t>岗位职责</t>
        </is>
      </c>
      <c r="CI31" s="2" t="inlineStr">
        <is>
          <t>重要且紧急</t>
        </is>
      </c>
      <c r="CJ31" s="2" t="inlineStr">
        <is>
          <t>半标准化-有流程框架，需专业经验</t>
        </is>
      </c>
      <c r="CK31" s="2" t="inlineStr">
        <is>
          <t>低频（5%-10%）</t>
        </is>
      </c>
      <c r="CL31" s="2" t="inlineStr">
        <is>
          <t>责任/风险负荷</t>
        </is>
      </c>
      <c r="CM31" s="2"/>
      <c r="CN31" s="2"/>
      <c r="CO31" s="2"/>
      <c r="CP31" s="2"/>
      <c r="CQ31" s="2"/>
      <c r="CR31" s="2"/>
      <c r="CS31" s="2"/>
      <c r="CT31" s="2"/>
      <c r="CU31" s="2"/>
      <c r="CV31" s="2"/>
      <c r="CW31" s="2"/>
      <c r="CX31" s="2"/>
      <c r="CY31" s="2"/>
      <c r="CZ31" s="2"/>
      <c r="DA31" s="2"/>
      <c r="DB31" s="2"/>
      <c r="DC31" s="2"/>
      <c r="DD31" s="2"/>
      <c r="DE31" s="2"/>
      <c r="DF31" s="2"/>
      <c r="DG31" s="2"/>
      <c r="DH31" s="2"/>
      <c r="DI31" s="2" t="inlineStr">
        <is>
          <t>f7d36cfc-5858-4fbc-81e7-4beb091bdbd9</t>
        </is>
      </c>
      <c r="DJ31" s="3" t="n">
        <v>6</v>
      </c>
      <c r="DK31" s="2"/>
      <c r="DL31" s="2" t="inlineStr">
        <is>
          <t>与现场沟通项目运行情况</t>
        </is>
      </c>
      <c r="DM31" s="2" t="inlineStr">
        <is>
          <t>4-8次</t>
        </is>
      </c>
      <c r="DN31" s="3" t="n">
        <v>4</v>
      </c>
      <c r="DO31" s="3" t="n">
        <v>8</v>
      </c>
      <c r="DP31" s="2" t="inlineStr">
        <is>
          <t>B.2小时以内</t>
        </is>
      </c>
      <c r="DQ31" s="7" t="n">
        <v>2</v>
      </c>
      <c r="DR31" s="7" t="n">
        <v>2</v>
      </c>
      <c r="DS31" s="7" t="n">
        <v>8</v>
      </c>
      <c r="DT31" s="7" t="n">
        <v>16</v>
      </c>
      <c r="DU31" s="2" t="inlineStr">
        <is>
          <t>专业技术类</t>
        </is>
      </c>
      <c r="DV31" s="2"/>
      <c r="DW31" s="2" t="inlineStr">
        <is>
          <t>专业问题协调</t>
        </is>
      </c>
      <c r="DX31" s="2" t="inlineStr">
        <is>
          <t>岗位职责</t>
        </is>
      </c>
      <c r="DY31" s="2" t="inlineStr">
        <is>
          <t>重要且紧急</t>
        </is>
      </c>
      <c r="DZ31" s="2" t="inlineStr">
        <is>
          <t>半标准化-有流程框架，需专业经验</t>
        </is>
      </c>
      <c r="EA31" s="2" t="inlineStr">
        <is>
          <t>低频（5%-10%）</t>
        </is>
      </c>
      <c r="EB31" s="2" t="inlineStr">
        <is>
          <t>责任/风险负荷</t>
        </is>
      </c>
      <c r="EC31" s="2"/>
      <c r="ED31" s="2"/>
      <c r="EE31" s="2"/>
      <c r="EF31" s="2"/>
      <c r="EG31" s="2"/>
      <c r="EH31" s="2"/>
      <c r="EI31" s="2"/>
      <c r="EJ31" s="2"/>
      <c r="EK31" s="2"/>
      <c r="EL31" s="2"/>
      <c r="EM31" s="2"/>
      <c r="EN31" s="2"/>
      <c r="EO31" s="2"/>
      <c r="EP31" s="2"/>
      <c r="EQ31" s="2"/>
      <c r="ER31" s="2"/>
      <c r="ES31" s="2"/>
      <c r="ET31" s="2"/>
      <c r="EU31" s="2"/>
      <c r="EV31" s="2"/>
      <c r="EW31" s="2"/>
      <c r="EX31" s="2" t="inlineStr">
        <is>
          <t>182371e3-d70a-4b87-8e08-81fd1fa4b6ac</t>
        </is>
      </c>
      <c r="EY31" s="3" t="n">
        <v>6</v>
      </c>
      <c r="EZ31" s="2"/>
      <c r="FA31" s="2" t="inlineStr">
        <is>
          <t>及时传达会计政策变化</t>
        </is>
      </c>
      <c r="FB31" s="2" t="inlineStr">
        <is>
          <t>每季1-2次</t>
        </is>
      </c>
      <c r="FC31" s="2" t="inlineStr">
        <is>
          <t>季</t>
        </is>
      </c>
      <c r="FD31" s="3" t="n">
        <v>1</v>
      </c>
      <c r="FE31" s="3" t="n">
        <v>2</v>
      </c>
      <c r="FF31" s="2" t="inlineStr">
        <is>
          <t>B.2小时以内</t>
        </is>
      </c>
      <c r="FG31" s="7" t="n">
        <v>2</v>
      </c>
      <c r="FH31" s="7" t="n">
        <v>2</v>
      </c>
      <c r="FI31" s="7" t="n">
        <v>0</v>
      </c>
      <c r="FJ31" s="7" t="n">
        <v>0</v>
      </c>
      <c r="FK31" s="7" t="n">
        <v>2</v>
      </c>
      <c r="FL31" s="7" t="n">
        <v>4</v>
      </c>
      <c r="FM31" s="7" t="n">
        <v>0</v>
      </c>
      <c r="FN31" s="7" t="n">
        <v>0</v>
      </c>
      <c r="FO31" s="2" t="inlineStr">
        <is>
          <t>专业技术类</t>
        </is>
      </c>
      <c r="FP31" s="2"/>
      <c r="FQ31" s="2" t="inlineStr">
        <is>
          <t>专业问题协调</t>
        </is>
      </c>
      <c r="FR31" s="2" t="inlineStr">
        <is>
          <t>岗位职责</t>
        </is>
      </c>
      <c r="FS31" s="2" t="inlineStr">
        <is>
          <t>重要且紧急</t>
        </is>
      </c>
      <c r="FT31" s="2" t="inlineStr">
        <is>
          <t>半标准化-有流程框架，需专业经验</t>
        </is>
      </c>
      <c r="FU31" s="2" t="inlineStr">
        <is>
          <t>低频（5%-10%）</t>
        </is>
      </c>
      <c r="FV31" s="2" t="inlineStr">
        <is>
          <t>责任/风险负荷</t>
        </is>
      </c>
      <c r="FW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t="inlineStr">
        <is>
          <t>739e9a7e-3712-497a-a314-3eb2ea5dcaf1</t>
        </is>
      </c>
      <c r="BT32" s="3" t="n">
        <v>7</v>
      </c>
      <c r="BU32" s="2" t="inlineStr">
        <is>
          <t>专业技术类</t>
        </is>
      </c>
      <c r="BV32" s="2" t="inlineStr">
        <is>
          <t>GS票据类复核</t>
        </is>
      </c>
      <c r="BW32" s="2" t="inlineStr">
        <is>
          <t>2-5次</t>
        </is>
      </c>
      <c r="BX32" s="3" t="n">
        <v>2</v>
      </c>
      <c r="BY32" s="3" t="n">
        <v>5</v>
      </c>
      <c r="BZ32" s="2" t="inlineStr">
        <is>
          <t>A.20分钟以内</t>
        </is>
      </c>
      <c r="CA32" s="7" t="n">
        <v>0.33</v>
      </c>
      <c r="CB32" s="7" t="n">
        <v>0.33</v>
      </c>
      <c r="CC32" s="7" t="n">
        <v>0.66</v>
      </c>
      <c r="CD32" s="7" t="n">
        <v>1.65</v>
      </c>
      <c r="CE32" s="2" t="inlineStr">
        <is>
          <t>专业技术类</t>
        </is>
      </c>
      <c r="CF32" s="2"/>
      <c r="CG32" s="2" t="inlineStr">
        <is>
          <t>专业问题协调</t>
        </is>
      </c>
      <c r="CH32" s="2" t="inlineStr">
        <is>
          <t>岗位职责</t>
        </is>
      </c>
      <c r="CI32" s="2" t="inlineStr">
        <is>
          <t>重要且紧急</t>
        </is>
      </c>
      <c r="CJ32" s="2" t="inlineStr">
        <is>
          <t>半标准化-有流程框架，需专业经验</t>
        </is>
      </c>
      <c r="CK32" s="2" t="inlineStr">
        <is>
          <t>低频（5%-10%）</t>
        </is>
      </c>
      <c r="CL32" s="2" t="inlineStr">
        <is>
          <t>责任/风险负荷</t>
        </is>
      </c>
      <c r="CM32" s="2"/>
      <c r="CN32" s="2"/>
      <c r="CO32" s="2"/>
      <c r="CP32" s="2"/>
      <c r="CQ32" s="2"/>
      <c r="CR32" s="2"/>
      <c r="CS32" s="2"/>
      <c r="CT32" s="2"/>
      <c r="CU32" s="2"/>
      <c r="CV32" s="2"/>
      <c r="CW32" s="2"/>
      <c r="CX32" s="2"/>
      <c r="CY32" s="2"/>
      <c r="CZ32" s="2"/>
      <c r="DA32" s="2"/>
      <c r="DB32" s="2"/>
      <c r="DC32" s="2"/>
      <c r="DD32" s="2"/>
      <c r="DE32" s="2"/>
      <c r="DF32" s="2"/>
      <c r="DG32" s="2"/>
      <c r="DH32" s="2"/>
      <c r="DI32" s="2" t="inlineStr">
        <is>
          <t>7d3b905b-61d7-434f-bfec-c1974a95015a</t>
        </is>
      </c>
      <c r="DJ32" s="3" t="n">
        <v>7</v>
      </c>
      <c r="DK32" s="2"/>
      <c r="DL32" s="2" t="inlineStr">
        <is>
          <t>劳保用品对账</t>
        </is>
      </c>
      <c r="DM32" s="2" t="inlineStr">
        <is>
          <t>1次</t>
        </is>
      </c>
      <c r="DN32" s="3" t="n">
        <v>1</v>
      </c>
      <c r="DO32" s="3" t="n">
        <v>1</v>
      </c>
      <c r="DP32" s="2" t="inlineStr">
        <is>
          <t>B.2小时以内</t>
        </is>
      </c>
      <c r="DQ32" s="7" t="n">
        <v>2</v>
      </c>
      <c r="DR32" s="7" t="n">
        <v>2</v>
      </c>
      <c r="DS32" s="7" t="n">
        <v>2</v>
      </c>
      <c r="DT32" s="7" t="n">
        <v>2</v>
      </c>
      <c r="DU32" s="2" t="inlineStr">
        <is>
          <t>专业技术类</t>
        </is>
      </c>
      <c r="DV32" s="2"/>
      <c r="DW32" s="2" t="inlineStr">
        <is>
          <t>专业问题协调</t>
        </is>
      </c>
      <c r="DX32" s="2" t="inlineStr">
        <is>
          <t>岗位职责</t>
        </is>
      </c>
      <c r="DY32" s="2" t="inlineStr">
        <is>
          <t>重要且紧急</t>
        </is>
      </c>
      <c r="DZ32" s="2" t="inlineStr">
        <is>
          <t>半标准化-有流程框架，需专业经验</t>
        </is>
      </c>
      <c r="EA32" s="2" t="inlineStr">
        <is>
          <t>低频（5%-10%）</t>
        </is>
      </c>
      <c r="EB32" s="2" t="inlineStr">
        <is>
          <t>责任/风险负荷</t>
        </is>
      </c>
      <c r="EC32" s="2"/>
      <c r="ED32" s="2"/>
      <c r="EE32" s="2"/>
      <c r="EF32" s="2"/>
      <c r="EG32" s="2"/>
      <c r="EH32" s="2"/>
      <c r="EI32" s="2"/>
      <c r="EJ32" s="2"/>
      <c r="EK32" s="2"/>
      <c r="EL32" s="2"/>
      <c r="EM32" s="2"/>
      <c r="EN32" s="2"/>
      <c r="EO32" s="2"/>
      <c r="EP32" s="2"/>
      <c r="EQ32" s="2"/>
      <c r="ER32" s="2"/>
      <c r="ES32" s="2"/>
      <c r="ET32" s="2"/>
      <c r="EU32" s="2"/>
      <c r="EV32" s="2"/>
      <c r="EW32" s="2"/>
      <c r="EX32" s="2" t="inlineStr">
        <is>
          <t>5a8bd820-b691-4fb1-9c5a-3b72c08d509d</t>
        </is>
      </c>
      <c r="EY32" s="3" t="n">
        <v>7</v>
      </c>
      <c r="EZ32" s="2"/>
      <c r="FA32" s="2" t="inlineStr">
        <is>
          <t>查找投标用发票</t>
        </is>
      </c>
      <c r="FB32" s="2" t="inlineStr">
        <is>
          <t>每月1-2次</t>
        </is>
      </c>
      <c r="FC32" s="2" t="inlineStr">
        <is>
          <t>月</t>
        </is>
      </c>
      <c r="FD32" s="3" t="n">
        <v>1</v>
      </c>
      <c r="FE32" s="3" t="n">
        <v>2</v>
      </c>
      <c r="FF32" s="2" t="inlineStr">
        <is>
          <t>C.2-4小时</t>
        </is>
      </c>
      <c r="FG32" s="7" t="n">
        <v>2</v>
      </c>
      <c r="FH32" s="7" t="n">
        <v>4</v>
      </c>
      <c r="FI32" s="7" t="n">
        <v>2</v>
      </c>
      <c r="FJ32" s="7" t="n">
        <v>8</v>
      </c>
      <c r="FK32" s="7" t="n">
        <v>0</v>
      </c>
      <c r="FL32" s="7" t="n">
        <v>0</v>
      </c>
      <c r="FM32" s="7" t="n">
        <v>0</v>
      </c>
      <c r="FN32" s="7" t="n">
        <v>0</v>
      </c>
      <c r="FO32" s="2" t="inlineStr">
        <is>
          <t>专业技术类</t>
        </is>
      </c>
      <c r="FP32" s="2"/>
      <c r="FQ32" s="2" t="inlineStr">
        <is>
          <t>专业问题协调</t>
        </is>
      </c>
      <c r="FR32" s="2" t="inlineStr">
        <is>
          <t>岗位职责</t>
        </is>
      </c>
      <c r="FS32" s="2" t="inlineStr">
        <is>
          <t>重要且紧急</t>
        </is>
      </c>
      <c r="FT32" s="2" t="inlineStr">
        <is>
          <t>半标准化-有流程框架，需专业经验</t>
        </is>
      </c>
      <c r="FU32" s="2" t="inlineStr">
        <is>
          <t>低频（5%-10%）</t>
        </is>
      </c>
      <c r="FV32" s="2" t="inlineStr">
        <is>
          <t>责任/风险负荷</t>
        </is>
      </c>
      <c r="FW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t="inlineStr">
        <is>
          <t>0d1064f4-d263-4c33-adab-639348aa7cb8</t>
        </is>
      </c>
      <c r="BT33" s="3" t="n">
        <v>8</v>
      </c>
      <c r="BU33" s="2" t="inlineStr">
        <is>
          <t>专业技术类</t>
        </is>
      </c>
      <c r="BV33" s="2" t="inlineStr">
        <is>
          <t>ERP系统项目资金表对账</t>
        </is>
      </c>
      <c r="BW33" s="2" t="inlineStr">
        <is>
          <t>1次</t>
        </is>
      </c>
      <c r="BX33" s="3" t="n">
        <v>1</v>
      </c>
      <c r="BY33" s="3" t="n">
        <v>1</v>
      </c>
      <c r="BZ33" s="2" t="inlineStr">
        <is>
          <t>A.20分钟以内</t>
        </is>
      </c>
      <c r="CA33" s="7" t="n">
        <v>0.33</v>
      </c>
      <c r="CB33" s="7" t="n">
        <v>0.33</v>
      </c>
      <c r="CC33" s="7" t="n">
        <v>0.33</v>
      </c>
      <c r="CD33" s="7" t="n">
        <v>0.33</v>
      </c>
      <c r="CE33" s="2" t="inlineStr">
        <is>
          <t>专业技术类</t>
        </is>
      </c>
      <c r="CF33" s="2"/>
      <c r="CG33" s="2" t="inlineStr">
        <is>
          <t>专业问题协调</t>
        </is>
      </c>
      <c r="CH33" s="2" t="inlineStr">
        <is>
          <t>岗位职责</t>
        </is>
      </c>
      <c r="CI33" s="2" t="inlineStr">
        <is>
          <t>重要且紧急</t>
        </is>
      </c>
      <c r="CJ33" s="2" t="inlineStr">
        <is>
          <t>半标准化-有流程框架，需专业经验</t>
        </is>
      </c>
      <c r="CK33" s="2" t="inlineStr">
        <is>
          <t>低频（5%-10%）</t>
        </is>
      </c>
      <c r="CL33" s="2" t="inlineStr">
        <is>
          <t>责任/风险负荷</t>
        </is>
      </c>
      <c r="CM33" s="2"/>
      <c r="CN33" s="2"/>
      <c r="CO33" s="2"/>
      <c r="CP33" s="2"/>
      <c r="CQ33" s="2"/>
      <c r="CR33" s="2"/>
      <c r="CS33" s="2"/>
      <c r="CT33" s="2"/>
      <c r="CU33" s="2"/>
      <c r="CV33" s="2"/>
      <c r="CW33" s="2"/>
      <c r="CX33" s="2"/>
      <c r="CY33" s="2"/>
      <c r="CZ33" s="2"/>
      <c r="DA33" s="2"/>
      <c r="DB33" s="2"/>
      <c r="DC33" s="2"/>
      <c r="DD33" s="2"/>
      <c r="DE33" s="2"/>
      <c r="DF33" s="2"/>
      <c r="DG33" s="2"/>
      <c r="DH33" s="2"/>
      <c r="DI33" s="2" t="inlineStr">
        <is>
          <t>ec5aa831-7ac2-4e62-a4b9-9114ef555d8c</t>
        </is>
      </c>
      <c r="DJ33" s="3" t="n">
        <v>8</v>
      </c>
      <c r="DK33" s="2"/>
      <c r="DL33" s="2" t="inlineStr">
        <is>
          <t>汇总报表</t>
        </is>
      </c>
      <c r="DM33" s="2" t="inlineStr">
        <is>
          <t>2-3次</t>
        </is>
      </c>
      <c r="DN33" s="3" t="n">
        <v>2</v>
      </c>
      <c r="DO33" s="3" t="n">
        <v>3</v>
      </c>
      <c r="DP33" s="2" t="inlineStr">
        <is>
          <t>C.2-4小时</t>
        </is>
      </c>
      <c r="DQ33" s="7" t="n">
        <v>2</v>
      </c>
      <c r="DR33" s="7" t="n">
        <v>4</v>
      </c>
      <c r="DS33" s="7" t="n">
        <v>4</v>
      </c>
      <c r="DT33" s="7" t="n">
        <v>12</v>
      </c>
      <c r="DU33" s="2" t="inlineStr">
        <is>
          <t>专业技术类</t>
        </is>
      </c>
      <c r="DV33" s="2"/>
      <c r="DW33" s="2" t="inlineStr">
        <is>
          <t>专业问题协调</t>
        </is>
      </c>
      <c r="DX33" s="2" t="inlineStr">
        <is>
          <t>岗位职责</t>
        </is>
      </c>
      <c r="DY33" s="2" t="inlineStr">
        <is>
          <t>重要且紧急</t>
        </is>
      </c>
      <c r="DZ33" s="2" t="inlineStr">
        <is>
          <t>半标准化-有流程框架，需专业经验</t>
        </is>
      </c>
      <c r="EA33" s="2" t="inlineStr">
        <is>
          <t>低频（5%-10%）</t>
        </is>
      </c>
      <c r="EB33" s="2" t="inlineStr">
        <is>
          <t>责任/风险负荷</t>
        </is>
      </c>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t="inlineStr">
        <is>
          <t>723f77e6-2960-405a-841b-da6ea6cf46d0</t>
        </is>
      </c>
      <c r="BT34" s="3" t="n">
        <v>9</v>
      </c>
      <c r="BU34" s="2" t="inlineStr">
        <is>
          <t>专业技术类</t>
        </is>
      </c>
      <c r="BV34" s="2" t="inlineStr">
        <is>
          <t>打印回单</t>
        </is>
      </c>
      <c r="BW34" s="2" t="inlineStr">
        <is>
          <t>1次</t>
        </is>
      </c>
      <c r="BX34" s="3" t="n">
        <v>1</v>
      </c>
      <c r="BY34" s="3" t="n">
        <v>1</v>
      </c>
      <c r="BZ34" s="2" t="inlineStr">
        <is>
          <t>A.20分钟以内</t>
        </is>
      </c>
      <c r="CA34" s="7" t="n">
        <v>0.33</v>
      </c>
      <c r="CB34" s="7" t="n">
        <v>0.33</v>
      </c>
      <c r="CC34" s="7" t="n">
        <v>0.33</v>
      </c>
      <c r="CD34" s="7" t="n">
        <v>0.33</v>
      </c>
      <c r="CE34" s="2" t="inlineStr">
        <is>
          <t>专业技术类</t>
        </is>
      </c>
      <c r="CF34" s="2"/>
      <c r="CG34" s="2" t="inlineStr">
        <is>
          <t>专业问题协调</t>
        </is>
      </c>
      <c r="CH34" s="2" t="inlineStr">
        <is>
          <t>岗位职责</t>
        </is>
      </c>
      <c r="CI34" s="2" t="inlineStr">
        <is>
          <t>重要且紧急</t>
        </is>
      </c>
      <c r="CJ34" s="2" t="inlineStr">
        <is>
          <t>半标准化-有流程框架，需专业经验</t>
        </is>
      </c>
      <c r="CK34" s="2" t="inlineStr">
        <is>
          <t>低频（5%-10%）</t>
        </is>
      </c>
      <c r="CL34" s="2" t="inlineStr">
        <is>
          <t>责任/风险负荷</t>
        </is>
      </c>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t="inlineStr">
        <is>
          <t>f6bdfff4-8741-4d8e-835f-579561b96e06</t>
        </is>
      </c>
      <c r="BT35" s="3" t="n">
        <v>10</v>
      </c>
      <c r="BU35" s="2" t="inlineStr">
        <is>
          <t>专业技术类</t>
        </is>
      </c>
      <c r="BV35" s="2" t="inlineStr">
        <is>
          <t>整理复核原始凭证</t>
        </is>
      </c>
      <c r="BW35" s="2" t="inlineStr">
        <is>
          <t>10次以上</t>
        </is>
      </c>
      <c r="BX35" s="3" t="n">
        <v>10</v>
      </c>
      <c r="BY35" s="3" t="n">
        <v>10</v>
      </c>
      <c r="BZ35" s="2" t="inlineStr">
        <is>
          <t>A.20分钟以内</t>
        </is>
      </c>
      <c r="CA35" s="7" t="n">
        <v>0.33</v>
      </c>
      <c r="CB35" s="7" t="n">
        <v>0.33</v>
      </c>
      <c r="CC35" s="7" t="n">
        <v>3.3</v>
      </c>
      <c r="CD35" s="7" t="n">
        <v>3.3</v>
      </c>
      <c r="CE35" s="2" t="inlineStr">
        <is>
          <t>专业技术类</t>
        </is>
      </c>
      <c r="CF35" s="2"/>
      <c r="CG35" s="2" t="inlineStr">
        <is>
          <t>专业问题协调</t>
        </is>
      </c>
      <c r="CH35" s="2" t="inlineStr">
        <is>
          <t>岗位职责</t>
        </is>
      </c>
      <c r="CI35" s="2" t="inlineStr">
        <is>
          <t>重要且紧急</t>
        </is>
      </c>
      <c r="CJ35" s="2" t="inlineStr">
        <is>
          <t>半标准化-有流程框架，需专业经验</t>
        </is>
      </c>
      <c r="CK35" s="2" t="inlineStr">
        <is>
          <t>低频（5%-10%）</t>
        </is>
      </c>
      <c r="CL35" s="2" t="inlineStr">
        <is>
          <t>责任/风险负荷</t>
        </is>
      </c>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t="inlineStr">
        <is>
          <t>ecf9a4ee-334d-490c-b08d-ba9803f96da5</t>
        </is>
      </c>
      <c r="BT36" s="3" t="n">
        <v>11</v>
      </c>
      <c r="BU36" s="2" t="inlineStr">
        <is>
          <t>专业技术类</t>
        </is>
      </c>
      <c r="BV36" s="2" t="inlineStr">
        <is>
          <t>进项税认证</t>
        </is>
      </c>
      <c r="BW36" s="2" t="inlineStr">
        <is>
          <t>6-10次</t>
        </is>
      </c>
      <c r="BX36" s="3" t="n">
        <v>6</v>
      </c>
      <c r="BY36" s="3" t="n">
        <v>10</v>
      </c>
      <c r="BZ36" s="2" t="inlineStr">
        <is>
          <t>A.20分钟以内</t>
        </is>
      </c>
      <c r="CA36" s="7" t="n">
        <v>0.33</v>
      </c>
      <c r="CB36" s="7" t="n">
        <v>0.33</v>
      </c>
      <c r="CC36" s="7" t="n">
        <v>1.98</v>
      </c>
      <c r="CD36" s="7" t="n">
        <v>3.3</v>
      </c>
      <c r="CE36" s="2" t="inlineStr">
        <is>
          <t>专业技术类</t>
        </is>
      </c>
      <c r="CF36" s="2"/>
      <c r="CG36" s="2" t="inlineStr">
        <is>
          <t>专业问题协调</t>
        </is>
      </c>
      <c r="CH36" s="2" t="inlineStr">
        <is>
          <t>岗位职责</t>
        </is>
      </c>
      <c r="CI36" s="2" t="inlineStr">
        <is>
          <t>重要且紧急</t>
        </is>
      </c>
      <c r="CJ36" s="2" t="inlineStr">
        <is>
          <t>半标准化-有流程框架，需专业经验</t>
        </is>
      </c>
      <c r="CK36" s="2" t="inlineStr">
        <is>
          <t>低频（5%-10%）</t>
        </is>
      </c>
      <c r="CL36" s="2" t="inlineStr">
        <is>
          <t>责任/风险负荷</t>
        </is>
      </c>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row>
    <row r="37">
      <c r="A37" s="2" t="inlineStr">
        <is>
          <t>2026-05-26 11:49:04</t>
        </is>
      </c>
      <c r="B37" s="2" t="inlineStr">
        <is>
          <t>常艳坤</t>
        </is>
      </c>
      <c r="C37" s="2" t="inlineStr">
        <is>
          <t>资产财务部</t>
        </is>
      </c>
      <c r="D37" s="2" t="inlineStr">
        <is>
          <t>女</t>
        </is>
      </c>
      <c r="E37" s="2" t="inlineStr">
        <is>
          <t>410726198902126628</t>
        </is>
      </c>
      <c r="F37" s="2" t="inlineStr">
        <is>
          <t>专业工程师</t>
        </is>
      </c>
      <c r="G37" s="2" t="inlineStr">
        <is>
          <t>2012-07</t>
        </is>
      </c>
      <c r="H37" s="2" t="inlineStr">
        <is>
          <t>常州大学</t>
        </is>
      </c>
      <c r="I37" s="2" t="inlineStr">
        <is>
          <t>化机</t>
        </is>
      </c>
      <c r="J37" s="2" t="inlineStr">
        <is>
          <t>本科</t>
        </is>
      </c>
      <c r="K37" s="2"/>
      <c r="L37" s="6">
        <f>HYPERLINK("https://www.h3yun.com/Form/Attachments/?schemacode=D1483577de63ede327d4760b10664bd57671d7e&amp;bizObjectId=9ac38da4-f9b6-4a56-8d55-fe713408bc6a&amp;name=F0000046","点击查看")</f>
        <v>0</v>
      </c>
      <c r="M37" s="2" t="inlineStr">
        <is>
          <t>无效类型</t>
        </is>
      </c>
      <c r="N37" s="2" t="inlineStr">
        <is>
          <t>每日工作;每周工作;每月工作;每季度/阶段性工作;临时/突发工作</t>
        </is>
      </c>
      <c r="O37" s="2" t="inlineStr">
        <is>
          <t>30-40岁</t>
        </is>
      </c>
      <c r="P37" s="2" t="inlineStr">
        <is>
          <t>C.已婚已育</t>
        </is>
      </c>
      <c r="Q37" s="2" t="inlineStr">
        <is>
          <t>A.否</t>
        </is>
      </c>
      <c r="R37" s="2" t="inlineStr">
        <is>
          <t>A.否</t>
        </is>
      </c>
      <c r="S37" s="2" t="inlineStr">
        <is>
          <t>A.保持当前工作内容和节奏，收入相对稳定即可</t>
        </is>
      </c>
      <c r="T37" s="2" t="inlineStr">
        <is>
          <t>A.基本满意，希望保持</t>
        </is>
      </c>
      <c r="U37" s="2" t="inlineStr">
        <is>
          <t>B.减少无效流转和返工</t>
        </is>
      </c>
      <c r="V37" s="2" t="inlineStr">
        <is>
          <t>A.没有</t>
        </is>
      </c>
      <c r="W37" s="2"/>
      <c r="X37" s="2" t="inlineStr">
        <is>
          <t>B.满负荷 (100%-120%)</t>
        </is>
      </c>
      <c r="Y37" s="2" t="inlineStr">
        <is>
          <t>A.岗位工作量饱和，已达人效上限</t>
        </is>
      </c>
      <c r="Z37" s="2" t="inlineStr">
        <is>
          <t>无</t>
        </is>
      </c>
      <c r="AA37" s="2" t="inlineStr">
        <is>
          <t>无</t>
        </is>
      </c>
      <c r="AB37" s="2" t="inlineStr">
        <is>
          <t>无</t>
        </is>
      </c>
      <c r="AC37" s="2" t="inlineStr">
        <is>
          <t>A.高度匹配（得心应手）</t>
        </is>
      </c>
      <c r="AD37" s="2" t="inlineStr">
        <is>
          <t>无</t>
        </is>
      </c>
      <c r="AE37" s="2" t="inlineStr">
        <is>
          <t>指向性太明显</t>
        </is>
      </c>
      <c r="AF37" s="2"/>
      <c r="AG37" s="2"/>
      <c r="AH37" s="2"/>
      <c r="AI37" s="7" t="n">
        <v>21.45</v>
      </c>
      <c r="AJ37" s="7" t="n">
        <v>22.44</v>
      </c>
      <c r="AK37" s="7" t="n">
        <v>0.13</v>
      </c>
      <c r="AL37" s="7" t="n">
        <v>0.13</v>
      </c>
      <c r="AM37" s="7" t="n">
        <v>1.51</v>
      </c>
      <c r="AN37" s="7" t="n">
        <v>3.03</v>
      </c>
      <c r="AO37" s="7" t="n">
        <v>0.23</v>
      </c>
      <c r="AP37" s="7" t="n">
        <v>0.23</v>
      </c>
      <c r="AQ37" s="7" t="n">
        <v>0.98</v>
      </c>
      <c r="AR37" s="7" t="n">
        <v>1.92</v>
      </c>
      <c r="AS37" s="7" t="n">
        <v>24.3</v>
      </c>
      <c r="AT37" s="7" t="n">
        <v>27.75</v>
      </c>
      <c r="AU37" s="7" t="n">
        <v>26.03</v>
      </c>
      <c r="AV37" s="2" t="inlineStr">
        <is>
          <t>超负荷</t>
        </is>
      </c>
      <c r="AW37" s="2" t="inlineStr">
        <is>
          <t>不一致</t>
        </is>
      </c>
      <c r="AX37" s="2" t="inlineStr">
        <is>
          <t>9ac38da4-f9b6-4a56-8d55-fe713408bc6a</t>
        </is>
      </c>
      <c r="AY37" s="2" t="inlineStr">
        <is>
          <t>资产财务部    常艳坤</t>
        </is>
      </c>
      <c r="AZ37" s="2" t="inlineStr">
        <is>
          <t>Anonymous</t>
        </is>
      </c>
      <c r="BA37" s="2" t="inlineStr">
        <is>
          <t>Anonymous</t>
        </is>
      </c>
      <c r="BB37" s="2"/>
      <c r="BC37" s="2" t="inlineStr">
        <is>
          <t>2026-05-26 11:49:04</t>
        </is>
      </c>
      <c r="BD37" s="3" t="n">
        <v>1989</v>
      </c>
      <c r="BE37" s="3" t="n">
        <v>37</v>
      </c>
      <c r="BF37" s="2" t="inlineStr">
        <is>
          <t>A.无此需求</t>
        </is>
      </c>
      <c r="BG37" s="2" t="inlineStr">
        <is>
          <t>已生效</t>
        </is>
      </c>
      <c r="BH37" s="2" t="inlineStr">
        <is>
          <t>df720cfd-e84d-4ea3-a088-a7bc80412678</t>
        </is>
      </c>
      <c r="BI37" s="3" t="n">
        <v>1</v>
      </c>
      <c r="BJ37" s="2"/>
      <c r="BK37" s="2"/>
      <c r="BL37" s="2"/>
      <c r="BM37" s="2"/>
      <c r="BN37" s="2"/>
      <c r="BO37" s="2"/>
      <c r="BP37" s="2"/>
      <c r="BQ37" s="2"/>
      <c r="BR37" s="2"/>
      <c r="BS37" s="2" t="inlineStr">
        <is>
          <t>cfccce57-48d2-4ce2-97f9-8a597b2aac45</t>
        </is>
      </c>
      <c r="BT37" s="3" t="n">
        <v>1</v>
      </c>
      <c r="BU37" s="2" t="inlineStr">
        <is>
          <t>流程审批类</t>
        </is>
      </c>
      <c r="BV37" s="2" t="inlineStr">
        <is>
          <t>ERP流程审批</t>
        </is>
      </c>
      <c r="BW37" s="2" t="inlineStr">
        <is>
          <t>10次以上</t>
        </is>
      </c>
      <c r="BX37" s="3" t="n">
        <v>10</v>
      </c>
      <c r="BY37" s="3" t="n">
        <v>10</v>
      </c>
      <c r="BZ37" s="2" t="inlineStr">
        <is>
          <t>A.20分钟以内</t>
        </is>
      </c>
      <c r="CA37" s="7" t="n">
        <v>0.33</v>
      </c>
      <c r="CB37" s="7" t="n">
        <v>0.33</v>
      </c>
      <c r="CC37" s="7" t="n">
        <v>3.3</v>
      </c>
      <c r="CD37" s="7" t="n">
        <v>3.3</v>
      </c>
      <c r="CE37" s="2" t="inlineStr">
        <is>
          <t>流程审批类</t>
        </is>
      </c>
      <c r="CF37" s="2"/>
      <c r="CG37" s="2" t="inlineStr">
        <is>
          <t>财务管理流程</t>
        </is>
      </c>
      <c r="CH37" s="2" t="inlineStr">
        <is>
          <t>岗位职责</t>
        </is>
      </c>
      <c r="CI37" s="2" t="inlineStr">
        <is>
          <t>重要且紧急</t>
        </is>
      </c>
      <c r="CJ37" s="2" t="inlineStr">
        <is>
          <t>半标准化-有流程框架，需专业经验</t>
        </is>
      </c>
      <c r="CK37" s="2" t="inlineStr">
        <is>
          <t>中频（10%-30%）</t>
        </is>
      </c>
      <c r="CL37" s="2" t="inlineStr">
        <is>
          <t>责任/风险负荷</t>
        </is>
      </c>
      <c r="CM37" s="2"/>
      <c r="CN37" s="2" t="inlineStr">
        <is>
          <t>a084dc47-bc75-4223-b1e3-10b8602f3487</t>
        </is>
      </c>
      <c r="CO37" s="3" t="n">
        <v>1</v>
      </c>
      <c r="CP37" s="2"/>
      <c r="CQ37" s="2" t="inlineStr">
        <is>
          <t>向相关人员提供资金报表</t>
        </is>
      </c>
      <c r="CR37" s="2" t="inlineStr">
        <is>
          <t>1次</t>
        </is>
      </c>
      <c r="CS37" s="3" t="n">
        <v>1</v>
      </c>
      <c r="CT37" s="3" t="n">
        <v>1</v>
      </c>
      <c r="CU37" s="2" t="inlineStr">
        <is>
          <t>A.20分钟以内</t>
        </is>
      </c>
      <c r="CV37" s="7" t="n">
        <v>0.33</v>
      </c>
      <c r="CW37" s="7" t="n">
        <v>0.33</v>
      </c>
      <c r="CX37" s="7" t="n">
        <v>0.33</v>
      </c>
      <c r="CY37" s="7" t="n">
        <v>0.33</v>
      </c>
      <c r="CZ37" s="2" t="inlineStr">
        <is>
          <t>专业技术类</t>
        </is>
      </c>
      <c r="DA37" s="2"/>
      <c r="DB37" s="2" t="inlineStr">
        <is>
          <t>专业问题协调</t>
        </is>
      </c>
      <c r="DC37" s="2" t="inlineStr">
        <is>
          <t>岗位职责</t>
        </is>
      </c>
      <c r="DD37" s="2" t="inlineStr">
        <is>
          <t>重要不紧急</t>
        </is>
      </c>
      <c r="DE37" s="2" t="inlineStr">
        <is>
          <t>半标准化-有流程框架，需专业经验</t>
        </is>
      </c>
      <c r="DF37" s="2" t="inlineStr">
        <is>
          <t>极少（&lt;5%）</t>
        </is>
      </c>
      <c r="DG37" s="2" t="inlineStr">
        <is>
          <t>责任/风险负荷</t>
        </is>
      </c>
      <c r="DH37" s="2"/>
      <c r="DI37" s="2" t="inlineStr">
        <is>
          <t>21c3c646-cedb-4311-a16e-ef34f2e40ecc</t>
        </is>
      </c>
      <c r="DJ37" s="3" t="n">
        <v>1</v>
      </c>
      <c r="DK37" s="2"/>
      <c r="DL37" s="2" t="inlineStr">
        <is>
          <t>税金计算</t>
        </is>
      </c>
      <c r="DM37" s="2" t="inlineStr">
        <is>
          <t>4-8次</t>
        </is>
      </c>
      <c r="DN37" s="3" t="n">
        <v>4</v>
      </c>
      <c r="DO37" s="3" t="n">
        <v>8</v>
      </c>
      <c r="DP37" s="2" t="inlineStr">
        <is>
          <t>A.20分钟以内</t>
        </is>
      </c>
      <c r="DQ37" s="7" t="n">
        <v>0.33</v>
      </c>
      <c r="DR37" s="7" t="n">
        <v>0.33</v>
      </c>
      <c r="DS37" s="7" t="n">
        <v>1.32</v>
      </c>
      <c r="DT37" s="7" t="n">
        <v>2.64</v>
      </c>
      <c r="DU37" s="2" t="inlineStr">
        <is>
          <t>专业技术类</t>
        </is>
      </c>
      <c r="DV37" s="2"/>
      <c r="DW37" s="2" t="inlineStr">
        <is>
          <t>专业问题协调</t>
        </is>
      </c>
      <c r="DX37" s="2" t="inlineStr">
        <is>
          <t>岗位职责</t>
        </is>
      </c>
      <c r="DY37" s="2" t="inlineStr">
        <is>
          <t>重要且紧急</t>
        </is>
      </c>
      <c r="DZ37" s="2" t="inlineStr">
        <is>
          <t>半标准化-有流程框架，需专业经验</t>
        </is>
      </c>
      <c r="EA37" s="2" t="inlineStr">
        <is>
          <t>极少（&lt;5%）</t>
        </is>
      </c>
      <c r="EB37" s="2" t="inlineStr">
        <is>
          <t>责任/风险负荷</t>
        </is>
      </c>
      <c r="EC37" s="2"/>
      <c r="ED37" s="2" t="inlineStr">
        <is>
          <t>98eb7764-4949-4f8a-863f-b67c2835a1cb</t>
        </is>
      </c>
      <c r="EE37" s="3" t="n">
        <v>1</v>
      </c>
      <c r="EF37" s="2"/>
      <c r="EG37" s="2" t="inlineStr">
        <is>
          <t>印花税计算</t>
        </is>
      </c>
      <c r="EH37" s="2" t="inlineStr">
        <is>
          <t>3次及以上</t>
        </is>
      </c>
      <c r="EI37" s="3" t="n">
        <v>3</v>
      </c>
      <c r="EJ37" s="2" t="inlineStr">
        <is>
          <t>B.2小时以内</t>
        </is>
      </c>
      <c r="EK37" s="7" t="n">
        <v>2</v>
      </c>
      <c r="EL37" s="7" t="n">
        <v>2</v>
      </c>
      <c r="EM37" s="7" t="n">
        <v>6</v>
      </c>
      <c r="EN37" s="7" t="n">
        <v>6</v>
      </c>
      <c r="EO37" s="2" t="inlineStr">
        <is>
          <t>专业技术类</t>
        </is>
      </c>
      <c r="EP37" s="2"/>
      <c r="EQ37" s="2" t="inlineStr">
        <is>
          <t>专业问题协调</t>
        </is>
      </c>
      <c r="ER37" s="2" t="inlineStr">
        <is>
          <t>岗位职责</t>
        </is>
      </c>
      <c r="ES37" s="2" t="inlineStr">
        <is>
          <t>重要且紧急</t>
        </is>
      </c>
      <c r="ET37" s="2" t="inlineStr">
        <is>
          <t>半标准化-有流程框架，需专业经验</t>
        </is>
      </c>
      <c r="EU37" s="2" t="inlineStr">
        <is>
          <t>极少（&lt;5%）</t>
        </is>
      </c>
      <c r="EV37" s="2" t="inlineStr">
        <is>
          <t>责任/风险负荷</t>
        </is>
      </c>
      <c r="EW37" s="2"/>
      <c r="EX37" s="2" t="inlineStr">
        <is>
          <t>b69a04c6-a2fa-462e-aadd-4d176b6a6414</t>
        </is>
      </c>
      <c r="EY37" s="3" t="n">
        <v>1</v>
      </c>
      <c r="EZ37" s="2"/>
      <c r="FA37" s="2" t="inlineStr">
        <is>
          <t>提供银行回单:</t>
        </is>
      </c>
      <c r="FB37" s="2" t="inlineStr">
        <is>
          <t>每月3次以上</t>
        </is>
      </c>
      <c r="FC37" s="2" t="inlineStr">
        <is>
          <t>月</t>
        </is>
      </c>
      <c r="FD37" s="3" t="n">
        <v>3</v>
      </c>
      <c r="FE37" s="3" t="n">
        <v>3</v>
      </c>
      <c r="FF37" s="2" t="inlineStr">
        <is>
          <t>A.20分钟以内</t>
        </is>
      </c>
      <c r="FG37" s="7" t="n">
        <v>0.33</v>
      </c>
      <c r="FH37" s="7" t="n">
        <v>0.33</v>
      </c>
      <c r="FI37" s="7" t="n">
        <v>0.99</v>
      </c>
      <c r="FJ37" s="7" t="n">
        <v>0.99</v>
      </c>
      <c r="FK37" s="7" t="n">
        <v>0</v>
      </c>
      <c r="FL37" s="7" t="n">
        <v>0</v>
      </c>
      <c r="FM37" s="7" t="n">
        <v>0</v>
      </c>
      <c r="FN37" s="7" t="n">
        <v>0</v>
      </c>
      <c r="FO37" s="2" t="inlineStr">
        <is>
          <t>协调沟通类</t>
        </is>
      </c>
      <c r="FP37" s="2"/>
      <c r="FQ37" s="2" t="inlineStr">
        <is>
          <t>催办</t>
        </is>
      </c>
      <c r="FR37" s="2" t="inlineStr">
        <is>
          <t>岗位职责</t>
        </is>
      </c>
      <c r="FS37" s="2" t="inlineStr">
        <is>
          <t>重要且紧急</t>
        </is>
      </c>
      <c r="FT37" s="2" t="inlineStr">
        <is>
          <t>半标准化-有流程框架，需专业经验</t>
        </is>
      </c>
      <c r="FU37" s="2" t="inlineStr">
        <is>
          <t>极少（&lt;5%）</t>
        </is>
      </c>
      <c r="FV37" s="2" t="inlineStr">
        <is>
          <t>责任/风险负荷</t>
        </is>
      </c>
      <c r="FW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t="inlineStr">
        <is>
          <t>876d450c-1a37-4ffd-a064-e7fefb4f7eeb</t>
        </is>
      </c>
      <c r="BT38" s="3" t="n">
        <v>2</v>
      </c>
      <c r="BU38" s="2" t="inlineStr">
        <is>
          <t>专业技术类</t>
        </is>
      </c>
      <c r="BV38" s="2" t="inlineStr">
        <is>
          <t>GS系统付款流程</t>
        </is>
      </c>
      <c r="BW38" s="2" t="inlineStr">
        <is>
          <t>10次以上</t>
        </is>
      </c>
      <c r="BX38" s="3" t="n">
        <v>10</v>
      </c>
      <c r="BY38" s="3" t="n">
        <v>10</v>
      </c>
      <c r="BZ38" s="2" t="inlineStr">
        <is>
          <t>A.20分钟以内</t>
        </is>
      </c>
      <c r="CA38" s="7" t="n">
        <v>0.33</v>
      </c>
      <c r="CB38" s="7" t="n">
        <v>0.33</v>
      </c>
      <c r="CC38" s="7" t="n">
        <v>3.3</v>
      </c>
      <c r="CD38" s="7" t="n">
        <v>3.3</v>
      </c>
      <c r="CE38" s="2" t="inlineStr">
        <is>
          <t>专业技术类</t>
        </is>
      </c>
      <c r="CF38" s="2"/>
      <c r="CG38" s="2" t="inlineStr">
        <is>
          <t>专业问题协调</t>
        </is>
      </c>
      <c r="CH38" s="2" t="inlineStr">
        <is>
          <t>岗位职责</t>
        </is>
      </c>
      <c r="CI38" s="2" t="inlineStr">
        <is>
          <t>重要且紧急</t>
        </is>
      </c>
      <c r="CJ38" s="2" t="inlineStr">
        <is>
          <t>半标准化-有流程框架，需专业经验</t>
        </is>
      </c>
      <c r="CK38" s="2" t="inlineStr">
        <is>
          <t>极少（&lt;5%）</t>
        </is>
      </c>
      <c r="CL38" s="2" t="inlineStr">
        <is>
          <t>责任/风险负荷</t>
        </is>
      </c>
      <c r="CM38" s="2"/>
      <c r="CN38" s="2" t="inlineStr">
        <is>
          <t>de033667-4b6e-4452-a46f-38fc97ca7d28</t>
        </is>
      </c>
      <c r="CO38" s="3" t="n">
        <v>2</v>
      </c>
      <c r="CP38" s="2"/>
      <c r="CQ38" s="2" t="inlineStr">
        <is>
          <t>GS系统数据每周备份</t>
        </is>
      </c>
      <c r="CR38" s="2" t="inlineStr">
        <is>
          <t>1次</t>
        </is>
      </c>
      <c r="CS38" s="3" t="n">
        <v>1</v>
      </c>
      <c r="CT38" s="3" t="n">
        <v>1</v>
      </c>
      <c r="CU38" s="2" t="inlineStr">
        <is>
          <t>A.20分钟以内</t>
        </is>
      </c>
      <c r="CV38" s="7" t="n">
        <v>0.33</v>
      </c>
      <c r="CW38" s="7" t="n">
        <v>0.33</v>
      </c>
      <c r="CX38" s="7" t="n">
        <v>0.33</v>
      </c>
      <c r="CY38" s="7" t="n">
        <v>0.33</v>
      </c>
      <c r="CZ38" s="2" t="inlineStr">
        <is>
          <t>专业技术类</t>
        </is>
      </c>
      <c r="DA38" s="2"/>
      <c r="DB38" s="2" t="inlineStr">
        <is>
          <t>专业问题协调</t>
        </is>
      </c>
      <c r="DC38" s="2" t="inlineStr">
        <is>
          <t>岗位职责</t>
        </is>
      </c>
      <c r="DD38" s="2" t="inlineStr">
        <is>
          <t>重要且紧急</t>
        </is>
      </c>
      <c r="DE38" s="2" t="inlineStr">
        <is>
          <t>半标准化-有流程框架，需专业经验</t>
        </is>
      </c>
      <c r="DF38" s="2" t="inlineStr">
        <is>
          <t>极少（&lt;5%）</t>
        </is>
      </c>
      <c r="DG38" s="2" t="inlineStr">
        <is>
          <t>责任/风险负荷</t>
        </is>
      </c>
      <c r="DH38" s="2"/>
      <c r="DI38" s="2" t="inlineStr">
        <is>
          <t>e7cb9385-0d19-4d6d-88df-c9740e8e3459</t>
        </is>
      </c>
      <c r="DJ38" s="3" t="n">
        <v>2</v>
      </c>
      <c r="DK38" s="2"/>
      <c r="DL38" s="2" t="inlineStr">
        <is>
          <t>提供动态资金报表</t>
        </is>
      </c>
      <c r="DM38" s="2" t="inlineStr">
        <is>
          <t>4-8次</t>
        </is>
      </c>
      <c r="DN38" s="3" t="n">
        <v>4</v>
      </c>
      <c r="DO38" s="3" t="n">
        <v>8</v>
      </c>
      <c r="DP38" s="2" t="inlineStr">
        <is>
          <t>B.2小时以内</t>
        </is>
      </c>
      <c r="DQ38" s="7" t="n">
        <v>2</v>
      </c>
      <c r="DR38" s="7" t="n">
        <v>2</v>
      </c>
      <c r="DS38" s="7" t="n">
        <v>8</v>
      </c>
      <c r="DT38" s="7" t="n">
        <v>16</v>
      </c>
      <c r="DU38" s="2" t="inlineStr">
        <is>
          <t>专业技术类</t>
        </is>
      </c>
      <c r="DV38" s="2"/>
      <c r="DW38" s="2" t="inlineStr">
        <is>
          <t>专业问题协调</t>
        </is>
      </c>
      <c r="DX38" s="2" t="inlineStr">
        <is>
          <t>岗位职责</t>
        </is>
      </c>
      <c r="DY38" s="2" t="inlineStr">
        <is>
          <t>重要且紧急</t>
        </is>
      </c>
      <c r="DZ38" s="2" t="inlineStr">
        <is>
          <t>半标准化-有流程框架，需专业经验</t>
        </is>
      </c>
      <c r="EA38" s="2" t="inlineStr">
        <is>
          <t>极少（&lt;5%）</t>
        </is>
      </c>
      <c r="EB38" s="2" t="inlineStr">
        <is>
          <t>责任/风险负荷</t>
        </is>
      </c>
      <c r="EC38" s="2"/>
      <c r="ED38" s="2" t="inlineStr">
        <is>
          <t>29741e2d-031f-47b3-8b95-0745ceca87ab</t>
        </is>
      </c>
      <c r="EE38" s="3" t="n">
        <v>2</v>
      </c>
      <c r="EF38" s="2"/>
      <c r="EG38" s="2" t="inlineStr">
        <is>
          <t>企业所得税申报</t>
        </is>
      </c>
      <c r="EH38" s="2" t="inlineStr">
        <is>
          <t>1次</t>
        </is>
      </c>
      <c r="EI38" s="3" t="n">
        <v>1</v>
      </c>
      <c r="EJ38" s="2" t="inlineStr">
        <is>
          <t>B.2小时以内</t>
        </is>
      </c>
      <c r="EK38" s="7" t="n">
        <v>2</v>
      </c>
      <c r="EL38" s="7" t="n">
        <v>2</v>
      </c>
      <c r="EM38" s="7" t="n">
        <v>2</v>
      </c>
      <c r="EN38" s="7" t="n">
        <v>2</v>
      </c>
      <c r="EO38" s="2" t="inlineStr">
        <is>
          <t>专业技术类</t>
        </is>
      </c>
      <c r="EP38" s="2"/>
      <c r="EQ38" s="2" t="inlineStr">
        <is>
          <t>专业问题协调</t>
        </is>
      </c>
      <c r="ER38" s="2" t="inlineStr">
        <is>
          <t>岗位职责</t>
        </is>
      </c>
      <c r="ES38" s="2" t="inlineStr">
        <is>
          <t>重要且紧急</t>
        </is>
      </c>
      <c r="ET38" s="2" t="inlineStr">
        <is>
          <t>半标准化-有流程框架，需专业经验</t>
        </is>
      </c>
      <c r="EU38" s="2" t="inlineStr">
        <is>
          <t>极少（&lt;5%）</t>
        </is>
      </c>
      <c r="EV38" s="2" t="inlineStr">
        <is>
          <t>责任/风险负荷</t>
        </is>
      </c>
      <c r="EW38" s="2"/>
      <c r="EX38" s="2" t="inlineStr">
        <is>
          <t>da694213-1a49-40f8-8990-19bbce6d267a</t>
        </is>
      </c>
      <c r="EY38" s="3" t="n">
        <v>2</v>
      </c>
      <c r="EZ38" s="2"/>
      <c r="FA38" s="2" t="inlineStr">
        <is>
          <t>及时向相关人员传达税收政策变化带来的影响</t>
        </is>
      </c>
      <c r="FB38" s="2" t="inlineStr">
        <is>
          <t>每月1-2次</t>
        </is>
      </c>
      <c r="FC38" s="2" t="inlineStr">
        <is>
          <t>月</t>
        </is>
      </c>
      <c r="FD38" s="3" t="n">
        <v>1</v>
      </c>
      <c r="FE38" s="3" t="n">
        <v>2</v>
      </c>
      <c r="FF38" s="2" t="inlineStr">
        <is>
          <t>A.20分钟以内</t>
        </is>
      </c>
      <c r="FG38" s="7" t="n">
        <v>0.33</v>
      </c>
      <c r="FH38" s="7" t="n">
        <v>0.33</v>
      </c>
      <c r="FI38" s="7" t="n">
        <v>0.33</v>
      </c>
      <c r="FJ38" s="7" t="n">
        <v>0.66</v>
      </c>
      <c r="FK38" s="7" t="n">
        <v>0</v>
      </c>
      <c r="FL38" s="7" t="n">
        <v>0</v>
      </c>
      <c r="FM38" s="7" t="n">
        <v>0</v>
      </c>
      <c r="FN38" s="7" t="n">
        <v>0</v>
      </c>
      <c r="FO38" s="2" t="inlineStr">
        <is>
          <t>专业技术类</t>
        </is>
      </c>
      <c r="FP38" s="2"/>
      <c r="FQ38" s="2" t="inlineStr">
        <is>
          <t>专业问题协调</t>
        </is>
      </c>
      <c r="FR38" s="2" t="inlineStr">
        <is>
          <t>岗位职责</t>
        </is>
      </c>
      <c r="FS38" s="2" t="inlineStr">
        <is>
          <t>重要不紧急</t>
        </is>
      </c>
      <c r="FT38" s="2" t="inlineStr">
        <is>
          <t>半标准化-有流程框架，需专业经验</t>
        </is>
      </c>
      <c r="FU38" s="2" t="inlineStr">
        <is>
          <t>极少（&lt;5%）</t>
        </is>
      </c>
      <c r="FV38" s="2" t="inlineStr">
        <is>
          <t>责任/风险负荷</t>
        </is>
      </c>
      <c r="FW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t="inlineStr">
        <is>
          <t>d4468be9-5af8-40c4-8277-32fd5e1953bc</t>
        </is>
      </c>
      <c r="BT39" s="3" t="n">
        <v>3</v>
      </c>
      <c r="BU39" s="2" t="inlineStr">
        <is>
          <t>专业技术类</t>
        </is>
      </c>
      <c r="BV39" s="2" t="inlineStr">
        <is>
          <t>GS系统制单流程</t>
        </is>
      </c>
      <c r="BW39" s="2" t="inlineStr">
        <is>
          <t>10次以上</t>
        </is>
      </c>
      <c r="BX39" s="3" t="n">
        <v>10</v>
      </c>
      <c r="BY39" s="3" t="n">
        <v>10</v>
      </c>
      <c r="BZ39" s="2" t="inlineStr">
        <is>
          <t>A.20分钟以内</t>
        </is>
      </c>
      <c r="CA39" s="7" t="n">
        <v>0.33</v>
      </c>
      <c r="CB39" s="7" t="n">
        <v>0.33</v>
      </c>
      <c r="CC39" s="7" t="n">
        <v>3.3</v>
      </c>
      <c r="CD39" s="7" t="n">
        <v>3.3</v>
      </c>
      <c r="CE39" s="2" t="inlineStr">
        <is>
          <t>专业技术类</t>
        </is>
      </c>
      <c r="CF39" s="2"/>
      <c r="CG39" s="2" t="inlineStr">
        <is>
          <t>专业问题协调</t>
        </is>
      </c>
      <c r="CH39" s="2" t="inlineStr">
        <is>
          <t>岗位职责</t>
        </is>
      </c>
      <c r="CI39" s="2" t="inlineStr">
        <is>
          <t>重要且紧急</t>
        </is>
      </c>
      <c r="CJ39" s="2" t="inlineStr">
        <is>
          <t>半标准化-有流程框架，需专业经验</t>
        </is>
      </c>
      <c r="CK39" s="2" t="inlineStr">
        <is>
          <t>极少（&lt;5%）</t>
        </is>
      </c>
      <c r="CL39" s="2" t="inlineStr">
        <is>
          <t>责任/风险负荷</t>
        </is>
      </c>
      <c r="CM39" s="2"/>
      <c r="CN39" s="2"/>
      <c r="CO39" s="2"/>
      <c r="CP39" s="2"/>
      <c r="CQ39" s="2"/>
      <c r="CR39" s="2"/>
      <c r="CS39" s="2"/>
      <c r="CT39" s="2"/>
      <c r="CU39" s="2"/>
      <c r="CV39" s="2"/>
      <c r="CW39" s="2"/>
      <c r="CX39" s="2"/>
      <c r="CY39" s="2"/>
      <c r="CZ39" s="2"/>
      <c r="DA39" s="2"/>
      <c r="DB39" s="2"/>
      <c r="DC39" s="2"/>
      <c r="DD39" s="2"/>
      <c r="DE39" s="2"/>
      <c r="DF39" s="2"/>
      <c r="DG39" s="2"/>
      <c r="DH39" s="2"/>
      <c r="DI39" s="2" t="inlineStr">
        <is>
          <t>9803d8b9-aa24-4e01-acd1-1d8e1bcac391</t>
        </is>
      </c>
      <c r="DJ39" s="3" t="n">
        <v>3</v>
      </c>
      <c r="DK39" s="2"/>
      <c r="DL39" s="2" t="inlineStr">
        <is>
          <t>整理、打印会计凭证</t>
        </is>
      </c>
      <c r="DM39" s="2" t="inlineStr">
        <is>
          <t>4-8次</t>
        </is>
      </c>
      <c r="DN39" s="3" t="n">
        <v>4</v>
      </c>
      <c r="DO39" s="3" t="n">
        <v>8</v>
      </c>
      <c r="DP39" s="2" t="inlineStr">
        <is>
          <t>B.2小时以内</t>
        </is>
      </c>
      <c r="DQ39" s="7" t="n">
        <v>2</v>
      </c>
      <c r="DR39" s="7" t="n">
        <v>2</v>
      </c>
      <c r="DS39" s="7" t="n">
        <v>8</v>
      </c>
      <c r="DT39" s="7" t="n">
        <v>16</v>
      </c>
      <c r="DU39" s="2" t="inlineStr">
        <is>
          <t>专业技术类</t>
        </is>
      </c>
      <c r="DV39" s="2"/>
      <c r="DW39" s="2" t="inlineStr">
        <is>
          <t>专业问题协调</t>
        </is>
      </c>
      <c r="DX39" s="2" t="inlineStr">
        <is>
          <t>岗位职责</t>
        </is>
      </c>
      <c r="DY39" s="2" t="inlineStr">
        <is>
          <t>重要且紧急</t>
        </is>
      </c>
      <c r="DZ39" s="2" t="inlineStr">
        <is>
          <t>半标准化-有流程框架，需专业经验</t>
        </is>
      </c>
      <c r="EA39" s="2" t="inlineStr">
        <is>
          <t>极少（&lt;5%）</t>
        </is>
      </c>
      <c r="EB39" s="2" t="inlineStr">
        <is>
          <t>责任/风险负荷</t>
        </is>
      </c>
      <c r="EC39" s="2"/>
      <c r="ED39" s="2" t="inlineStr">
        <is>
          <t>c3ad9cd5-b4b8-461d-b19f-55bdc6efb3b0</t>
        </is>
      </c>
      <c r="EE39" s="3" t="n">
        <v>3</v>
      </c>
      <c r="EF39" s="2"/>
      <c r="EG39" s="2" t="inlineStr">
        <is>
          <t>配合会计报表年报审计</t>
        </is>
      </c>
      <c r="EH39" s="2" t="inlineStr">
        <is>
          <t>3次及以上</t>
        </is>
      </c>
      <c r="EI39" s="3" t="n">
        <v>3</v>
      </c>
      <c r="EJ39" s="2" t="inlineStr">
        <is>
          <t>E.8小时以上</t>
        </is>
      </c>
      <c r="EK39" s="7" t="n">
        <v>8</v>
      </c>
      <c r="EL39" s="7" t="n">
        <v>8</v>
      </c>
      <c r="EM39" s="7" t="n">
        <v>24</v>
      </c>
      <c r="EN39" s="7" t="n">
        <v>24</v>
      </c>
      <c r="EO39" s="2" t="inlineStr">
        <is>
          <t>专业技术类</t>
        </is>
      </c>
      <c r="EP39" s="2"/>
      <c r="EQ39" s="2" t="inlineStr">
        <is>
          <t>专业问题协调</t>
        </is>
      </c>
      <c r="ER39" s="2" t="inlineStr">
        <is>
          <t>岗位职责</t>
        </is>
      </c>
      <c r="ES39" s="2" t="inlineStr">
        <is>
          <t>重要且紧急</t>
        </is>
      </c>
      <c r="ET39" s="2" t="inlineStr">
        <is>
          <t>半标准化-有流程框架，需专业经验</t>
        </is>
      </c>
      <c r="EU39" s="2" t="inlineStr">
        <is>
          <t>极少（&lt;5%）</t>
        </is>
      </c>
      <c r="EV39" s="2" t="inlineStr">
        <is>
          <t>责任/风险负荷</t>
        </is>
      </c>
      <c r="EW39" s="2"/>
      <c r="EX39" s="2" t="inlineStr">
        <is>
          <t>7cb684b3-1a8a-4321-883a-7c0f2dd8b914</t>
        </is>
      </c>
      <c r="EY39" s="3" t="n">
        <v>3</v>
      </c>
      <c r="EZ39" s="2"/>
      <c r="FA39" s="2" t="inlineStr">
        <is>
          <t>临时向领导提供财务数据</t>
        </is>
      </c>
      <c r="FB39" s="2" t="inlineStr">
        <is>
          <t>每月1-2次</t>
        </is>
      </c>
      <c r="FC39" s="2" t="inlineStr">
        <is>
          <t>月</t>
        </is>
      </c>
      <c r="FD39" s="3" t="n">
        <v>1</v>
      </c>
      <c r="FE39" s="3" t="n">
        <v>2</v>
      </c>
      <c r="FF39" s="2" t="inlineStr">
        <is>
          <t>B.2小时以内</t>
        </is>
      </c>
      <c r="FG39" s="7" t="n">
        <v>2</v>
      </c>
      <c r="FH39" s="7" t="n">
        <v>2</v>
      </c>
      <c r="FI39" s="7" t="n">
        <v>2</v>
      </c>
      <c r="FJ39" s="7" t="n">
        <v>4</v>
      </c>
      <c r="FK39" s="7" t="n">
        <v>0</v>
      </c>
      <c r="FL39" s="7" t="n">
        <v>0</v>
      </c>
      <c r="FM39" s="7" t="n">
        <v>0</v>
      </c>
      <c r="FN39" s="7" t="n">
        <v>0</v>
      </c>
      <c r="FO39" s="2" t="inlineStr">
        <is>
          <t>专业技术类</t>
        </is>
      </c>
      <c r="FP39" s="2"/>
      <c r="FQ39" s="2" t="inlineStr">
        <is>
          <t>专业问题协调</t>
        </is>
      </c>
      <c r="FR39" s="2" t="inlineStr">
        <is>
          <t>岗位职责</t>
        </is>
      </c>
      <c r="FS39" s="2" t="inlineStr">
        <is>
          <t>重要且紧急</t>
        </is>
      </c>
      <c r="FT39" s="2" t="inlineStr">
        <is>
          <t>半标准化-有流程框架，需专业经验</t>
        </is>
      </c>
      <c r="FU39" s="2" t="inlineStr">
        <is>
          <t>极少（&lt;5%）</t>
        </is>
      </c>
      <c r="FV39" s="2" t="inlineStr">
        <is>
          <t>责任/风险负荷</t>
        </is>
      </c>
      <c r="FW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t="inlineStr">
        <is>
          <t>52362dad-da34-4af6-8682-5b1405875568</t>
        </is>
      </c>
      <c r="BT40" s="3" t="n">
        <v>4</v>
      </c>
      <c r="BU40" s="2" t="inlineStr">
        <is>
          <t>专业技术类</t>
        </is>
      </c>
      <c r="BV40" s="2" t="inlineStr">
        <is>
          <t>GS资金类对账</t>
        </is>
      </c>
      <c r="BW40" s="2" t="inlineStr">
        <is>
          <t>1次</t>
        </is>
      </c>
      <c r="BX40" s="3" t="n">
        <v>1</v>
      </c>
      <c r="BY40" s="3" t="n">
        <v>1</v>
      </c>
      <c r="BZ40" s="2" t="inlineStr">
        <is>
          <t>A.20分钟以内</t>
        </is>
      </c>
      <c r="CA40" s="7" t="n">
        <v>0.33</v>
      </c>
      <c r="CB40" s="7" t="n">
        <v>0.33</v>
      </c>
      <c r="CC40" s="7" t="n">
        <v>0.33</v>
      </c>
      <c r="CD40" s="7" t="n">
        <v>0.33</v>
      </c>
      <c r="CE40" s="2" t="inlineStr">
        <is>
          <t>专业技术类</t>
        </is>
      </c>
      <c r="CF40" s="2"/>
      <c r="CG40" s="2" t="inlineStr">
        <is>
          <t>专业问题协调</t>
        </is>
      </c>
      <c r="CH40" s="2" t="inlineStr">
        <is>
          <t>岗位职责</t>
        </is>
      </c>
      <c r="CI40" s="2" t="inlineStr">
        <is>
          <t>重要且紧急</t>
        </is>
      </c>
      <c r="CJ40" s="2" t="inlineStr">
        <is>
          <t>半标准化-有流程框架，需专业经验</t>
        </is>
      </c>
      <c r="CK40" s="2" t="inlineStr">
        <is>
          <t>极少（&lt;5%）</t>
        </is>
      </c>
      <c r="CL40" s="2" t="inlineStr">
        <is>
          <t>责任/风险负荷</t>
        </is>
      </c>
      <c r="CM40" s="2"/>
      <c r="CN40" s="2"/>
      <c r="CO40" s="2"/>
      <c r="CP40" s="2"/>
      <c r="CQ40" s="2"/>
      <c r="CR40" s="2"/>
      <c r="CS40" s="2"/>
      <c r="CT40" s="2"/>
      <c r="CU40" s="2"/>
      <c r="CV40" s="2"/>
      <c r="CW40" s="2"/>
      <c r="CX40" s="2"/>
      <c r="CY40" s="2"/>
      <c r="CZ40" s="2"/>
      <c r="DA40" s="2"/>
      <c r="DB40" s="2"/>
      <c r="DC40" s="2"/>
      <c r="DD40" s="2"/>
      <c r="DE40" s="2"/>
      <c r="DF40" s="2"/>
      <c r="DG40" s="2"/>
      <c r="DH40" s="2"/>
      <c r="DI40" s="2" t="inlineStr">
        <is>
          <t>f6675ea6-cdf7-42f4-a9e3-2b094f332a8a</t>
        </is>
      </c>
      <c r="DJ40" s="3" t="n">
        <v>4</v>
      </c>
      <c r="DK40" s="2"/>
      <c r="DL40" s="2" t="inlineStr">
        <is>
          <t>复核会计凭证正确性</t>
        </is>
      </c>
      <c r="DM40" s="2" t="inlineStr">
        <is>
          <t>4-8次</t>
        </is>
      </c>
      <c r="DN40" s="3" t="n">
        <v>4</v>
      </c>
      <c r="DO40" s="3" t="n">
        <v>8</v>
      </c>
      <c r="DP40" s="2" t="inlineStr">
        <is>
          <t>B.2小时以内</t>
        </is>
      </c>
      <c r="DQ40" s="7" t="n">
        <v>2</v>
      </c>
      <c r="DR40" s="7" t="n">
        <v>2</v>
      </c>
      <c r="DS40" s="7" t="n">
        <v>8</v>
      </c>
      <c r="DT40" s="7" t="n">
        <v>16</v>
      </c>
      <c r="DU40" s="2" t="inlineStr">
        <is>
          <t>专业技术类</t>
        </is>
      </c>
      <c r="DV40" s="2"/>
      <c r="DW40" s="2" t="inlineStr">
        <is>
          <t>专业问题协调</t>
        </is>
      </c>
      <c r="DX40" s="2" t="inlineStr">
        <is>
          <t>岗位职责</t>
        </is>
      </c>
      <c r="DY40" s="2" t="inlineStr">
        <is>
          <t>重要且紧急</t>
        </is>
      </c>
      <c r="DZ40" s="2" t="inlineStr">
        <is>
          <t>半标准化-有流程框架，需专业经验</t>
        </is>
      </c>
      <c r="EA40" s="2" t="inlineStr">
        <is>
          <t>极少（&lt;5%）</t>
        </is>
      </c>
      <c r="EB40" s="2" t="inlineStr">
        <is>
          <t>责任/风险负荷</t>
        </is>
      </c>
      <c r="EC40" s="2"/>
      <c r="ED40" s="2" t="inlineStr">
        <is>
          <t>2b7e7360-e80a-4834-bc09-c5983a7c6006</t>
        </is>
      </c>
      <c r="EE40" s="3" t="n">
        <v>4</v>
      </c>
      <c r="EF40" s="2"/>
      <c r="EG40" s="2" t="inlineStr">
        <is>
          <t>配合税务审计</t>
        </is>
      </c>
      <c r="EH40" s="2" t="inlineStr">
        <is>
          <t>3次及以上</t>
        </is>
      </c>
      <c r="EI40" s="3" t="n">
        <v>3</v>
      </c>
      <c r="EJ40" s="2" t="inlineStr">
        <is>
          <t>E.8小时以上</t>
        </is>
      </c>
      <c r="EK40" s="7" t="n">
        <v>8</v>
      </c>
      <c r="EL40" s="7" t="n">
        <v>8</v>
      </c>
      <c r="EM40" s="7" t="n">
        <v>24</v>
      </c>
      <c r="EN40" s="7" t="n">
        <v>24</v>
      </c>
      <c r="EO40" s="2" t="inlineStr">
        <is>
          <t>专业技术类</t>
        </is>
      </c>
      <c r="EP40" s="2"/>
      <c r="EQ40" s="2" t="inlineStr">
        <is>
          <t>专业问题协调</t>
        </is>
      </c>
      <c r="ER40" s="2" t="inlineStr">
        <is>
          <t>岗位职责</t>
        </is>
      </c>
      <c r="ES40" s="2" t="inlineStr">
        <is>
          <t>重要且紧急</t>
        </is>
      </c>
      <c r="ET40" s="2" t="inlineStr">
        <is>
          <t>半标准化-有流程框架，需专业经验</t>
        </is>
      </c>
      <c r="EU40" s="2" t="inlineStr">
        <is>
          <t>极少（&lt;5%）</t>
        </is>
      </c>
      <c r="EV40" s="2" t="inlineStr">
        <is>
          <t>责任/风险负荷</t>
        </is>
      </c>
      <c r="EW40" s="2"/>
      <c r="EX40" s="2" t="inlineStr">
        <is>
          <t>14074b4b-c013-401d-b429-4678410cce78</t>
        </is>
      </c>
      <c r="EY40" s="3" t="n">
        <v>4</v>
      </c>
      <c r="EZ40" s="2"/>
      <c r="FA40" s="2" t="inlineStr">
        <is>
          <t>银行保函等申请</t>
        </is>
      </c>
      <c r="FB40" s="2" t="inlineStr">
        <is>
          <t>每月1-2次</t>
        </is>
      </c>
      <c r="FC40" s="2" t="inlineStr">
        <is>
          <t>月</t>
        </is>
      </c>
      <c r="FD40" s="3" t="n">
        <v>1</v>
      </c>
      <c r="FE40" s="3" t="n">
        <v>2</v>
      </c>
      <c r="FF40" s="2" t="inlineStr">
        <is>
          <t>B.2小时以内</t>
        </is>
      </c>
      <c r="FG40" s="7" t="n">
        <v>2</v>
      </c>
      <c r="FH40" s="7" t="n">
        <v>2</v>
      </c>
      <c r="FI40" s="7" t="n">
        <v>2</v>
      </c>
      <c r="FJ40" s="7" t="n">
        <v>4</v>
      </c>
      <c r="FK40" s="7" t="n">
        <v>0</v>
      </c>
      <c r="FL40" s="7" t="n">
        <v>0</v>
      </c>
      <c r="FM40" s="7" t="n">
        <v>0</v>
      </c>
      <c r="FN40" s="7" t="n">
        <v>0</v>
      </c>
      <c r="FO40" s="2" t="inlineStr">
        <is>
          <t>专业技术类</t>
        </is>
      </c>
      <c r="FP40" s="2"/>
      <c r="FQ40" s="2" t="inlineStr">
        <is>
          <t>专业问题协调</t>
        </is>
      </c>
      <c r="FR40" s="2" t="inlineStr">
        <is>
          <t>岗位职责</t>
        </is>
      </c>
      <c r="FS40" s="2" t="inlineStr">
        <is>
          <t>重要且紧急</t>
        </is>
      </c>
      <c r="FT40" s="2" t="inlineStr">
        <is>
          <t>半标准化-有流程框架，需专业经验</t>
        </is>
      </c>
      <c r="FU40" s="2" t="inlineStr">
        <is>
          <t>极少（&lt;5%）</t>
        </is>
      </c>
      <c r="FV40" s="2" t="inlineStr">
        <is>
          <t>责任/风险负荷</t>
        </is>
      </c>
      <c r="FW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t="inlineStr">
        <is>
          <t>523ec6f8-7d4f-4c9a-bb54-a5c44cabcfb2</t>
        </is>
      </c>
      <c r="BT41" s="3" t="n">
        <v>5</v>
      </c>
      <c r="BU41" s="2" t="inlineStr">
        <is>
          <t>专业技术类</t>
        </is>
      </c>
      <c r="BV41" s="2" t="inlineStr">
        <is>
          <t>GS票据类复核</t>
        </is>
      </c>
      <c r="BW41" s="2" t="inlineStr">
        <is>
          <t>2-5次</t>
        </is>
      </c>
      <c r="BX41" s="3" t="n">
        <v>2</v>
      </c>
      <c r="BY41" s="3" t="n">
        <v>5</v>
      </c>
      <c r="BZ41" s="2" t="inlineStr">
        <is>
          <t>A.20分钟以内</t>
        </is>
      </c>
      <c r="CA41" s="7" t="n">
        <v>0.33</v>
      </c>
      <c r="CB41" s="7" t="n">
        <v>0.33</v>
      </c>
      <c r="CC41" s="7" t="n">
        <v>0.66</v>
      </c>
      <c r="CD41" s="7" t="n">
        <v>1.65</v>
      </c>
      <c r="CE41" s="2" t="inlineStr">
        <is>
          <t>专业技术类</t>
        </is>
      </c>
      <c r="CF41" s="2"/>
      <c r="CG41" s="2" t="inlineStr">
        <is>
          <t>专业问题协调</t>
        </is>
      </c>
      <c r="CH41" s="2" t="inlineStr">
        <is>
          <t>岗位职责</t>
        </is>
      </c>
      <c r="CI41" s="2" t="inlineStr">
        <is>
          <t>重要且紧急</t>
        </is>
      </c>
      <c r="CJ41" s="2" t="inlineStr">
        <is>
          <t>半标准化-有流程框架，需专业经验</t>
        </is>
      </c>
      <c r="CK41" s="2" t="inlineStr">
        <is>
          <t>极少（&lt;5%）</t>
        </is>
      </c>
      <c r="CL41" s="2" t="inlineStr">
        <is>
          <t>责任/风险负荷</t>
        </is>
      </c>
      <c r="CM41" s="2"/>
      <c r="CN41" s="2"/>
      <c r="CO41" s="2"/>
      <c r="CP41" s="2"/>
      <c r="CQ41" s="2"/>
      <c r="CR41" s="2"/>
      <c r="CS41" s="2"/>
      <c r="CT41" s="2"/>
      <c r="CU41" s="2"/>
      <c r="CV41" s="2"/>
      <c r="CW41" s="2"/>
      <c r="CX41" s="2"/>
      <c r="CY41" s="2"/>
      <c r="CZ41" s="2"/>
      <c r="DA41" s="2"/>
      <c r="DB41" s="2"/>
      <c r="DC41" s="2"/>
      <c r="DD41" s="2"/>
      <c r="DE41" s="2"/>
      <c r="DF41" s="2"/>
      <c r="DG41" s="2"/>
      <c r="DH41" s="2"/>
      <c r="DI41" s="2" t="inlineStr">
        <is>
          <t>a608707e-a0c2-4f88-a980-3b3fed2defc6</t>
        </is>
      </c>
      <c r="DJ41" s="3" t="n">
        <v>5</v>
      </c>
      <c r="DK41" s="2"/>
      <c r="DL41" s="2" t="inlineStr">
        <is>
          <t>与现场沟通项目运行情况</t>
        </is>
      </c>
      <c r="DM41" s="2" t="inlineStr">
        <is>
          <t>4-8次</t>
        </is>
      </c>
      <c r="DN41" s="3" t="n">
        <v>4</v>
      </c>
      <c r="DO41" s="3" t="n">
        <v>8</v>
      </c>
      <c r="DP41" s="2" t="inlineStr">
        <is>
          <t>B.2小时以内</t>
        </is>
      </c>
      <c r="DQ41" s="7" t="n">
        <v>2</v>
      </c>
      <c r="DR41" s="7" t="n">
        <v>2</v>
      </c>
      <c r="DS41" s="7" t="n">
        <v>8</v>
      </c>
      <c r="DT41" s="7" t="n">
        <v>16</v>
      </c>
      <c r="DU41" s="2" t="inlineStr">
        <is>
          <t>专业技术类</t>
        </is>
      </c>
      <c r="DV41" s="2"/>
      <c r="DW41" s="2" t="inlineStr">
        <is>
          <t>专业问题协调</t>
        </is>
      </c>
      <c r="DX41" s="2" t="inlineStr">
        <is>
          <t>岗位职责</t>
        </is>
      </c>
      <c r="DY41" s="2" t="inlineStr">
        <is>
          <t>重要且紧急</t>
        </is>
      </c>
      <c r="DZ41" s="2" t="inlineStr">
        <is>
          <t>半标准化-有流程框架，需专业经验</t>
        </is>
      </c>
      <c r="EA41" s="2" t="inlineStr">
        <is>
          <t>极少（&lt;5%）</t>
        </is>
      </c>
      <c r="EB41" s="2" t="inlineStr">
        <is>
          <t>责任/风险负荷</t>
        </is>
      </c>
      <c r="EC41" s="2"/>
      <c r="ED41" s="2"/>
      <c r="EE41" s="2"/>
      <c r="EF41" s="2"/>
      <c r="EG41" s="2"/>
      <c r="EH41" s="2"/>
      <c r="EI41" s="2"/>
      <c r="EJ41" s="2"/>
      <c r="EK41" s="2"/>
      <c r="EL41" s="2"/>
      <c r="EM41" s="2"/>
      <c r="EN41" s="2"/>
      <c r="EO41" s="2"/>
      <c r="EP41" s="2"/>
      <c r="EQ41" s="2"/>
      <c r="ER41" s="2"/>
      <c r="ES41" s="2"/>
      <c r="ET41" s="2"/>
      <c r="EU41" s="2"/>
      <c r="EV41" s="2"/>
      <c r="EW41" s="2"/>
      <c r="EX41" s="2" t="inlineStr">
        <is>
          <t>8b634b46-f957-41cf-83fd-50ca42733708</t>
        </is>
      </c>
      <c r="EY41" s="3" t="n">
        <v>5</v>
      </c>
      <c r="EZ41" s="2"/>
      <c r="FA41" s="2" t="inlineStr">
        <is>
          <t>回复往来询证函</t>
        </is>
      </c>
      <c r="FB41" s="2" t="inlineStr">
        <is>
          <t>每月1-2次</t>
        </is>
      </c>
      <c r="FC41" s="2" t="inlineStr">
        <is>
          <t>月</t>
        </is>
      </c>
      <c r="FD41" s="3" t="n">
        <v>1</v>
      </c>
      <c r="FE41" s="3" t="n">
        <v>2</v>
      </c>
      <c r="FF41" s="2" t="inlineStr">
        <is>
          <t>B.2小时以内</t>
        </is>
      </c>
      <c r="FG41" s="7" t="n">
        <v>2</v>
      </c>
      <c r="FH41" s="7" t="n">
        <v>2</v>
      </c>
      <c r="FI41" s="7" t="n">
        <v>2</v>
      </c>
      <c r="FJ41" s="7" t="n">
        <v>4</v>
      </c>
      <c r="FK41" s="7" t="n">
        <v>0</v>
      </c>
      <c r="FL41" s="7" t="n">
        <v>0</v>
      </c>
      <c r="FM41" s="7" t="n">
        <v>0</v>
      </c>
      <c r="FN41" s="7" t="n">
        <v>0</v>
      </c>
      <c r="FO41" s="2" t="inlineStr">
        <is>
          <t>专业技术类</t>
        </is>
      </c>
      <c r="FP41" s="2"/>
      <c r="FQ41" s="2" t="inlineStr">
        <is>
          <t>专业问题协调</t>
        </is>
      </c>
      <c r="FR41" s="2" t="inlineStr">
        <is>
          <t>岗位职责</t>
        </is>
      </c>
      <c r="FS41" s="2" t="inlineStr">
        <is>
          <t>重要且紧急</t>
        </is>
      </c>
      <c r="FT41" s="2" t="inlineStr">
        <is>
          <t>半标准化-有流程框架，需专业经验</t>
        </is>
      </c>
      <c r="FU41" s="2" t="inlineStr">
        <is>
          <t>极少（&lt;5%）</t>
        </is>
      </c>
      <c r="FV41" s="2" t="inlineStr">
        <is>
          <t>责任/风险负荷</t>
        </is>
      </c>
      <c r="FW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t="inlineStr">
        <is>
          <t>663fb73b-6bd5-4d8e-9721-7714126c1cbf</t>
        </is>
      </c>
      <c r="BT42" s="3" t="n">
        <v>6</v>
      </c>
      <c r="BU42" s="2" t="inlineStr">
        <is>
          <t>专业技术类</t>
        </is>
      </c>
      <c r="BV42" s="2" t="inlineStr">
        <is>
          <t>ERP系统项目资金表对账</t>
        </is>
      </c>
      <c r="BW42" s="2" t="inlineStr">
        <is>
          <t>1次</t>
        </is>
      </c>
      <c r="BX42" s="3" t="n">
        <v>1</v>
      </c>
      <c r="BY42" s="3" t="n">
        <v>1</v>
      </c>
      <c r="BZ42" s="2" t="inlineStr">
        <is>
          <t>A.20分钟以内</t>
        </is>
      </c>
      <c r="CA42" s="7" t="n">
        <v>0.33</v>
      </c>
      <c r="CB42" s="7" t="n">
        <v>0.33</v>
      </c>
      <c r="CC42" s="7" t="n">
        <v>0.33</v>
      </c>
      <c r="CD42" s="7" t="n">
        <v>0.33</v>
      </c>
      <c r="CE42" s="2" t="inlineStr">
        <is>
          <t>专业技术类</t>
        </is>
      </c>
      <c r="CF42" s="2"/>
      <c r="CG42" s="2" t="inlineStr">
        <is>
          <t>专业问题协调</t>
        </is>
      </c>
      <c r="CH42" s="2" t="inlineStr">
        <is>
          <t>岗位职责</t>
        </is>
      </c>
      <c r="CI42" s="2" t="inlineStr">
        <is>
          <t>重要且紧急</t>
        </is>
      </c>
      <c r="CJ42" s="2" t="inlineStr">
        <is>
          <t>半标准化-有流程框架，需专业经验</t>
        </is>
      </c>
      <c r="CK42" s="2" t="inlineStr">
        <is>
          <t>极少（&lt;5%）</t>
        </is>
      </c>
      <c r="CL42" s="2" t="inlineStr">
        <is>
          <t>责任/风险负荷</t>
        </is>
      </c>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t="inlineStr">
        <is>
          <t>a88c4053-0333-4061-85ff-fa5b850d19f1</t>
        </is>
      </c>
      <c r="EY42" s="3" t="n">
        <v>6</v>
      </c>
      <c r="EZ42" s="2"/>
      <c r="FA42" s="2" t="inlineStr">
        <is>
          <t>投标找发票</t>
        </is>
      </c>
      <c r="FB42" s="2" t="inlineStr">
        <is>
          <t>每月1-2次</t>
        </is>
      </c>
      <c r="FC42" s="2" t="inlineStr">
        <is>
          <t>月</t>
        </is>
      </c>
      <c r="FD42" s="3" t="n">
        <v>1</v>
      </c>
      <c r="FE42" s="3" t="n">
        <v>2</v>
      </c>
      <c r="FF42" s="2" t="inlineStr">
        <is>
          <t>B.2小时以内</t>
        </is>
      </c>
      <c r="FG42" s="7" t="n">
        <v>2</v>
      </c>
      <c r="FH42" s="7" t="n">
        <v>2</v>
      </c>
      <c r="FI42" s="7" t="n">
        <v>2</v>
      </c>
      <c r="FJ42" s="7" t="n">
        <v>4</v>
      </c>
      <c r="FK42" s="7" t="n">
        <v>0</v>
      </c>
      <c r="FL42" s="7" t="n">
        <v>0</v>
      </c>
      <c r="FM42" s="7" t="n">
        <v>0</v>
      </c>
      <c r="FN42" s="7" t="n">
        <v>0</v>
      </c>
      <c r="FO42" s="2" t="inlineStr">
        <is>
          <t>专业技术类</t>
        </is>
      </c>
      <c r="FP42" s="2"/>
      <c r="FQ42" s="2" t="inlineStr">
        <is>
          <t>专业问题协调</t>
        </is>
      </c>
      <c r="FR42" s="2" t="inlineStr">
        <is>
          <t>岗位职责</t>
        </is>
      </c>
      <c r="FS42" s="2" t="inlineStr">
        <is>
          <t>重要且紧急</t>
        </is>
      </c>
      <c r="FT42" s="2" t="inlineStr">
        <is>
          <t>半标准化-有流程框架，需专业经验</t>
        </is>
      </c>
      <c r="FU42" s="2" t="inlineStr">
        <is>
          <t>极少（&lt;5%）</t>
        </is>
      </c>
      <c r="FV42" s="2" t="inlineStr">
        <is>
          <t>责任/风险负荷</t>
        </is>
      </c>
      <c r="FW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t="inlineStr">
        <is>
          <t>499f5abb-5cba-4614-bca8-aa65f5f899f5</t>
        </is>
      </c>
      <c r="BT43" s="3" t="n">
        <v>7</v>
      </c>
      <c r="BU43" s="2" t="inlineStr">
        <is>
          <t>专业技术类</t>
        </is>
      </c>
      <c r="BV43" s="2" t="inlineStr">
        <is>
          <t>打印回单</t>
        </is>
      </c>
      <c r="BW43" s="2" t="inlineStr">
        <is>
          <t>10次以上</t>
        </is>
      </c>
      <c r="BX43" s="3" t="n">
        <v>10</v>
      </c>
      <c r="BY43" s="3" t="n">
        <v>10</v>
      </c>
      <c r="BZ43" s="2" t="inlineStr">
        <is>
          <t>A.20分钟以内</t>
        </is>
      </c>
      <c r="CA43" s="7" t="n">
        <v>0.33</v>
      </c>
      <c r="CB43" s="7" t="n">
        <v>0.33</v>
      </c>
      <c r="CC43" s="7" t="n">
        <v>3.3</v>
      </c>
      <c r="CD43" s="7" t="n">
        <v>3.3</v>
      </c>
      <c r="CE43" s="2" t="inlineStr">
        <is>
          <t>专业技术类</t>
        </is>
      </c>
      <c r="CF43" s="2"/>
      <c r="CG43" s="2" t="inlineStr">
        <is>
          <t>专业问题协调</t>
        </is>
      </c>
      <c r="CH43" s="2" t="inlineStr">
        <is>
          <t>岗位职责</t>
        </is>
      </c>
      <c r="CI43" s="2" t="inlineStr">
        <is>
          <t>重要且紧急</t>
        </is>
      </c>
      <c r="CJ43" s="2" t="inlineStr">
        <is>
          <t>半标准化-有流程框架，需专业经验</t>
        </is>
      </c>
      <c r="CK43" s="2" t="inlineStr">
        <is>
          <t>极少（&lt;5%）</t>
        </is>
      </c>
      <c r="CL43" s="2" t="inlineStr">
        <is>
          <t>责任/风险负荷</t>
        </is>
      </c>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t="inlineStr">
        <is>
          <t>20a35ae7-cac6-4c84-a6e7-9ab060c7bffd</t>
        </is>
      </c>
      <c r="EY43" s="3" t="n">
        <v>7</v>
      </c>
      <c r="EZ43" s="2"/>
      <c r="FA43" s="2" t="inlineStr">
        <is>
          <t>法律诉讼找凭证</t>
        </is>
      </c>
      <c r="FB43" s="2" t="inlineStr">
        <is>
          <t>每月1-2次</t>
        </is>
      </c>
      <c r="FC43" s="2" t="inlineStr">
        <is>
          <t>月</t>
        </is>
      </c>
      <c r="FD43" s="3" t="n">
        <v>1</v>
      </c>
      <c r="FE43" s="3" t="n">
        <v>2</v>
      </c>
      <c r="FF43" s="2" t="inlineStr">
        <is>
          <t>B.2小时以内</t>
        </is>
      </c>
      <c r="FG43" s="7" t="n">
        <v>2</v>
      </c>
      <c r="FH43" s="7" t="n">
        <v>2</v>
      </c>
      <c r="FI43" s="7" t="n">
        <v>2</v>
      </c>
      <c r="FJ43" s="7" t="n">
        <v>4</v>
      </c>
      <c r="FK43" s="7" t="n">
        <v>0</v>
      </c>
      <c r="FL43" s="7" t="n">
        <v>0</v>
      </c>
      <c r="FM43" s="7" t="n">
        <v>0</v>
      </c>
      <c r="FN43" s="7" t="n">
        <v>0</v>
      </c>
      <c r="FO43" s="2" t="inlineStr">
        <is>
          <t>专业技术类</t>
        </is>
      </c>
      <c r="FP43" s="2"/>
      <c r="FQ43" s="2" t="inlineStr">
        <is>
          <t>专业问题协调</t>
        </is>
      </c>
      <c r="FR43" s="2" t="inlineStr">
        <is>
          <t>岗位职责</t>
        </is>
      </c>
      <c r="FS43" s="2" t="inlineStr">
        <is>
          <t>重要且紧急</t>
        </is>
      </c>
      <c r="FT43" s="2" t="inlineStr">
        <is>
          <t>半标准化-有流程框架，需专业经验</t>
        </is>
      </c>
      <c r="FU43" s="2" t="inlineStr">
        <is>
          <t>极少（&lt;5%）</t>
        </is>
      </c>
      <c r="FV43" s="2" t="inlineStr">
        <is>
          <t>责任/风险负荷</t>
        </is>
      </c>
      <c r="FW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t="inlineStr">
        <is>
          <t>6f65f8c0-3061-4d9b-864a-0a865a4a72af</t>
        </is>
      </c>
      <c r="BT44" s="3" t="n">
        <v>8</v>
      </c>
      <c r="BU44" s="2" t="inlineStr">
        <is>
          <t>专业技术类</t>
        </is>
      </c>
      <c r="BV44" s="2" t="inlineStr">
        <is>
          <t>整理、复核原始凭证</t>
        </is>
      </c>
      <c r="BW44" s="2" t="inlineStr">
        <is>
          <t>10次以上</t>
        </is>
      </c>
      <c r="BX44" s="3" t="n">
        <v>10</v>
      </c>
      <c r="BY44" s="3" t="n">
        <v>10</v>
      </c>
      <c r="BZ44" s="2" t="inlineStr">
        <is>
          <t>A.20分钟以内</t>
        </is>
      </c>
      <c r="CA44" s="7" t="n">
        <v>0.33</v>
      </c>
      <c r="CB44" s="7" t="n">
        <v>0.33</v>
      </c>
      <c r="CC44" s="7" t="n">
        <v>3.3</v>
      </c>
      <c r="CD44" s="7" t="n">
        <v>3.3</v>
      </c>
      <c r="CE44" s="2" t="inlineStr">
        <is>
          <t>专业技术类</t>
        </is>
      </c>
      <c r="CF44" s="2"/>
      <c r="CG44" s="2" t="inlineStr">
        <is>
          <t>专业问题协调</t>
        </is>
      </c>
      <c r="CH44" s="2" t="inlineStr">
        <is>
          <t>岗位职责</t>
        </is>
      </c>
      <c r="CI44" s="2" t="inlineStr">
        <is>
          <t>重要且紧急</t>
        </is>
      </c>
      <c r="CJ44" s="2" t="inlineStr">
        <is>
          <t>半标准化-有流程框架，需专业经验</t>
        </is>
      </c>
      <c r="CK44" s="2" t="inlineStr">
        <is>
          <t>极少（&lt;5%）</t>
        </is>
      </c>
      <c r="CL44" s="2" t="inlineStr">
        <is>
          <t>责任/风险负荷</t>
        </is>
      </c>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t="inlineStr">
        <is>
          <t>6fca3bed-be2e-425a-8ede-c31454a1aa24</t>
        </is>
      </c>
      <c r="EY44" s="3" t="n">
        <v>8</v>
      </c>
      <c r="EZ44" s="2"/>
      <c r="FA44" s="2" t="inlineStr">
        <is>
          <t>及时向相关人员传达会计政策变化带来的影响</t>
        </is>
      </c>
      <c r="FB44" s="2" t="inlineStr">
        <is>
          <t>每月1-2次</t>
        </is>
      </c>
      <c r="FC44" s="2" t="inlineStr">
        <is>
          <t>月</t>
        </is>
      </c>
      <c r="FD44" s="3" t="n">
        <v>1</v>
      </c>
      <c r="FE44" s="3" t="n">
        <v>2</v>
      </c>
      <c r="FF44" s="2" t="inlineStr">
        <is>
          <t>B.2小时以内</t>
        </is>
      </c>
      <c r="FG44" s="7" t="n">
        <v>2</v>
      </c>
      <c r="FH44" s="7" t="n">
        <v>2</v>
      </c>
      <c r="FI44" s="7" t="n">
        <v>2</v>
      </c>
      <c r="FJ44" s="7" t="n">
        <v>4</v>
      </c>
      <c r="FK44" s="7" t="n">
        <v>0</v>
      </c>
      <c r="FL44" s="7" t="n">
        <v>0</v>
      </c>
      <c r="FM44" s="7" t="n">
        <v>0</v>
      </c>
      <c r="FN44" s="7" t="n">
        <v>0</v>
      </c>
      <c r="FO44" s="2" t="inlineStr">
        <is>
          <t>专业技术类</t>
        </is>
      </c>
      <c r="FP44" s="2"/>
      <c r="FQ44" s="2" t="inlineStr">
        <is>
          <t>专业问题协调</t>
        </is>
      </c>
      <c r="FR44" s="2" t="inlineStr">
        <is>
          <t>岗位职责</t>
        </is>
      </c>
      <c r="FS44" s="2" t="inlineStr">
        <is>
          <t>重要且紧急</t>
        </is>
      </c>
      <c r="FT44" s="2" t="inlineStr">
        <is>
          <t>半标准化-有流程框架，需专业经验</t>
        </is>
      </c>
      <c r="FU44" s="2" t="inlineStr">
        <is>
          <t>极少（&lt;5%）</t>
        </is>
      </c>
      <c r="FV44" s="2" t="inlineStr">
        <is>
          <t>责任/风险负荷</t>
        </is>
      </c>
      <c r="FW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t="inlineStr">
        <is>
          <t>e629c9f4-e9e8-4d92-b5ea-a469c72cca4b</t>
        </is>
      </c>
      <c r="BT45" s="3" t="n">
        <v>9</v>
      </c>
      <c r="BU45" s="2" t="inlineStr">
        <is>
          <t>专业技术类</t>
        </is>
      </c>
      <c r="BV45" s="2" t="inlineStr">
        <is>
          <t>进项税认证</t>
        </is>
      </c>
      <c r="BW45" s="2" t="inlineStr">
        <is>
          <t>10次以上</t>
        </is>
      </c>
      <c r="BX45" s="3" t="n">
        <v>10</v>
      </c>
      <c r="BY45" s="3" t="n">
        <v>10</v>
      </c>
      <c r="BZ45" s="2" t="inlineStr">
        <is>
          <t>A.20分钟以内</t>
        </is>
      </c>
      <c r="CA45" s="7" t="n">
        <v>0.33</v>
      </c>
      <c r="CB45" s="7" t="n">
        <v>0.33</v>
      </c>
      <c r="CC45" s="7" t="n">
        <v>3.3</v>
      </c>
      <c r="CD45" s="7" t="n">
        <v>3.3</v>
      </c>
      <c r="CE45" s="2" t="inlineStr">
        <is>
          <t>专业技术类</t>
        </is>
      </c>
      <c r="CF45" s="2"/>
      <c r="CG45" s="2" t="inlineStr">
        <is>
          <t>专业问题协调</t>
        </is>
      </c>
      <c r="CH45" s="2" t="inlineStr">
        <is>
          <t>岗位职责</t>
        </is>
      </c>
      <c r="CI45" s="2" t="inlineStr">
        <is>
          <t>重要且紧急</t>
        </is>
      </c>
      <c r="CJ45" s="2" t="inlineStr">
        <is>
          <t>半标准化-有流程框架，需专业经验</t>
        </is>
      </c>
      <c r="CK45" s="2" t="inlineStr">
        <is>
          <t>极少（&lt;5%）</t>
        </is>
      </c>
      <c r="CL45" s="2" t="inlineStr">
        <is>
          <t>责任/风险负荷</t>
        </is>
      </c>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t="inlineStr">
        <is>
          <t>833f9c24-c375-4c79-806b-c4e05e573898</t>
        </is>
      </c>
      <c r="EY45" s="3" t="n">
        <v>9</v>
      </c>
      <c r="EZ45" s="2"/>
      <c r="FA45" s="2" t="inlineStr">
        <is>
          <t>增加缺少的银行基础数据</t>
        </is>
      </c>
      <c r="FB45" s="2" t="inlineStr">
        <is>
          <t>每月1-2次</t>
        </is>
      </c>
      <c r="FC45" s="2" t="inlineStr">
        <is>
          <t>月</t>
        </is>
      </c>
      <c r="FD45" s="3" t="n">
        <v>1</v>
      </c>
      <c r="FE45" s="3" t="n">
        <v>2</v>
      </c>
      <c r="FF45" s="2" t="inlineStr">
        <is>
          <t>A.20分钟以内</t>
        </is>
      </c>
      <c r="FG45" s="7" t="n">
        <v>0.33</v>
      </c>
      <c r="FH45" s="7" t="n">
        <v>0.33</v>
      </c>
      <c r="FI45" s="7" t="n">
        <v>0.33</v>
      </c>
      <c r="FJ45" s="7" t="n">
        <v>0.66</v>
      </c>
      <c r="FK45" s="7" t="n">
        <v>0</v>
      </c>
      <c r="FL45" s="7" t="n">
        <v>0</v>
      </c>
      <c r="FM45" s="7" t="n">
        <v>0</v>
      </c>
      <c r="FN45" s="7" t="n">
        <v>0</v>
      </c>
      <c r="FO45" s="2" t="inlineStr">
        <is>
          <t>专业技术类</t>
        </is>
      </c>
      <c r="FP45" s="2"/>
      <c r="FQ45" s="2" t="inlineStr">
        <is>
          <t>专业问题协调</t>
        </is>
      </c>
      <c r="FR45" s="2" t="inlineStr">
        <is>
          <t>岗位职责</t>
        </is>
      </c>
      <c r="FS45" s="2" t="inlineStr">
        <is>
          <t>重要且紧急</t>
        </is>
      </c>
      <c r="FT45" s="2" t="inlineStr">
        <is>
          <t>半标准化-有流程框架，需专业经验</t>
        </is>
      </c>
      <c r="FU45" s="2" t="inlineStr">
        <is>
          <t>极少（&lt;5%）</t>
        </is>
      </c>
      <c r="FV45" s="2" t="inlineStr">
        <is>
          <t>责任/风险负荷</t>
        </is>
      </c>
      <c r="FW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t="inlineStr">
        <is>
          <t>22138e8f-b717-4faa-a27c-bb95adc7a3b7</t>
        </is>
      </c>
      <c r="BT46" s="3" t="n">
        <v>10</v>
      </c>
      <c r="BU46" s="2" t="inlineStr">
        <is>
          <t>专业技术类</t>
        </is>
      </c>
      <c r="BV46" s="2" t="inlineStr">
        <is>
          <t>GS系统服务器银行回单每日同步备份，每日清理内存</t>
        </is>
      </c>
      <c r="BW46" s="2" t="inlineStr">
        <is>
          <t>1次</t>
        </is>
      </c>
      <c r="BX46" s="3" t="n">
        <v>1</v>
      </c>
      <c r="BY46" s="3" t="n">
        <v>1</v>
      </c>
      <c r="BZ46" s="2" t="inlineStr">
        <is>
          <t>A.20分钟以内</t>
        </is>
      </c>
      <c r="CA46" s="7" t="n">
        <v>0.33</v>
      </c>
      <c r="CB46" s="7" t="n">
        <v>0.33</v>
      </c>
      <c r="CC46" s="7" t="n">
        <v>0.33</v>
      </c>
      <c r="CD46" s="7" t="n">
        <v>0.33</v>
      </c>
      <c r="CE46" s="2" t="inlineStr">
        <is>
          <t>专业技术类</t>
        </is>
      </c>
      <c r="CF46" s="2"/>
      <c r="CG46" s="2" t="inlineStr">
        <is>
          <t>专业问题协调</t>
        </is>
      </c>
      <c r="CH46" s="2" t="inlineStr">
        <is>
          <t>岗位职责</t>
        </is>
      </c>
      <c r="CI46" s="2" t="inlineStr">
        <is>
          <t>重要且紧急</t>
        </is>
      </c>
      <c r="CJ46" s="2" t="inlineStr">
        <is>
          <t>半标准化-有流程框架，需专业经验</t>
        </is>
      </c>
      <c r="CK46" s="2" t="inlineStr">
        <is>
          <t>极少（&lt;5%）</t>
        </is>
      </c>
      <c r="CL46" s="2" t="inlineStr">
        <is>
          <t>责任/风险负荷</t>
        </is>
      </c>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t="inlineStr">
        <is>
          <t>7efe8c4b-6d90-4364-ace1-43f8d216085e</t>
        </is>
      </c>
      <c r="EY46" s="3" t="n">
        <v>10</v>
      </c>
      <c r="EZ46" s="2"/>
      <c r="FA46" s="2" t="inlineStr">
        <is>
          <t>因系统对接，或者GS系统数据本身有误，需后台处理数据</t>
        </is>
      </c>
      <c r="FB46" s="2" t="inlineStr">
        <is>
          <t>每月1-2次</t>
        </is>
      </c>
      <c r="FC46" s="2" t="inlineStr">
        <is>
          <t>月</t>
        </is>
      </c>
      <c r="FD46" s="3" t="n">
        <v>1</v>
      </c>
      <c r="FE46" s="3" t="n">
        <v>2</v>
      </c>
      <c r="FF46" s="2" t="inlineStr">
        <is>
          <t>E.8小时以上</t>
        </is>
      </c>
      <c r="FG46" s="7" t="n">
        <v>8</v>
      </c>
      <c r="FH46" s="7" t="n">
        <v>8</v>
      </c>
      <c r="FI46" s="7" t="n">
        <v>8</v>
      </c>
      <c r="FJ46" s="7" t="n">
        <v>16</v>
      </c>
      <c r="FK46" s="7" t="n">
        <v>0</v>
      </c>
      <c r="FL46" s="7" t="n">
        <v>0</v>
      </c>
      <c r="FM46" s="7" t="n">
        <v>0</v>
      </c>
      <c r="FN46" s="7" t="n">
        <v>0</v>
      </c>
      <c r="FO46" s="2" t="inlineStr">
        <is>
          <t>专业技术类</t>
        </is>
      </c>
      <c r="FP46" s="2"/>
      <c r="FQ46" s="2" t="inlineStr">
        <is>
          <t>专业问题协调</t>
        </is>
      </c>
      <c r="FR46" s="2" t="inlineStr">
        <is>
          <t>岗位职责</t>
        </is>
      </c>
      <c r="FS46" s="2" t="inlineStr">
        <is>
          <t>重要且紧急</t>
        </is>
      </c>
      <c r="FT46" s="2" t="inlineStr">
        <is>
          <t>半标准化-有流程框架，需专业经验</t>
        </is>
      </c>
      <c r="FU46" s="2" t="inlineStr">
        <is>
          <t>极少（&lt;5%）</t>
        </is>
      </c>
      <c r="FV46" s="2" t="inlineStr">
        <is>
          <t>责任/风险负荷</t>
        </is>
      </c>
      <c r="FW46" s="2"/>
    </row>
    <row r="47">
      <c r="A47" s="2" t="inlineStr">
        <is>
          <t>2026-05-26 11:16:53</t>
        </is>
      </c>
      <c r="B47" s="2" t="inlineStr">
        <is>
          <t>马言</t>
        </is>
      </c>
      <c r="C47" s="2" t="inlineStr">
        <is>
          <t>资产财务部</t>
        </is>
      </c>
      <c r="D47" s="2" t="inlineStr">
        <is>
          <t>女</t>
        </is>
      </c>
      <c r="E47" s="2" t="inlineStr">
        <is>
          <t>340322198905177820</t>
        </is>
      </c>
      <c r="F47" s="2" t="inlineStr">
        <is>
          <t>业务主办A</t>
        </is>
      </c>
      <c r="G47" s="2" t="inlineStr">
        <is>
          <t>2022-09</t>
        </is>
      </c>
      <c r="H47" s="2" t="inlineStr">
        <is>
          <t>铜陵学院</t>
        </is>
      </c>
      <c r="I47" s="2" t="inlineStr">
        <is>
          <t>会计</t>
        </is>
      </c>
      <c r="J47" s="2" t="inlineStr">
        <is>
          <t>本科</t>
        </is>
      </c>
      <c r="K47" s="2"/>
      <c r="L47" s="6">
        <f>HYPERLINK("https://www.h3yun.com/Form/Attachments/?schemacode=D1483577de63ede327d4760b10664bd57671d7e&amp;bizObjectId=875fb03d-52aa-400d-a82a-61933bad7543&amp;name=F0000046","点击查看")</f>
        <v>0</v>
      </c>
      <c r="M47" s="2" t="inlineStr">
        <is>
          <t>填写各种表格，压缩有效工作时间</t>
        </is>
      </c>
      <c r="N47" s="2" t="inlineStr">
        <is>
          <t>每日工作;每周工作;每月工作;每季度/阶段性工作;临时/突发工作</t>
        </is>
      </c>
      <c r="O47" s="2" t="inlineStr">
        <is>
          <t>30-40岁</t>
        </is>
      </c>
      <c r="P47" s="2" t="inlineStr">
        <is>
          <t>C.已婚已育</t>
        </is>
      </c>
      <c r="Q47" s="2" t="inlineStr">
        <is>
          <t>A.否</t>
        </is>
      </c>
      <c r="R47" s="2" t="inlineStr">
        <is>
          <t>A.否</t>
        </is>
      </c>
      <c r="S47" s="2" t="inlineStr">
        <is>
          <t>A.保持当前工作内容和节奏，收入相对稳定即可</t>
        </is>
      </c>
      <c r="T47" s="2" t="inlineStr">
        <is>
          <t>A.基本满意，希望保持</t>
        </is>
      </c>
      <c r="U47" s="2" t="inlineStr">
        <is>
          <t>B.减少无效流转和返工</t>
        </is>
      </c>
      <c r="V47" s="2" t="inlineStr">
        <is>
          <t>A.没有</t>
        </is>
      </c>
      <c r="W47" s="2"/>
      <c r="X47" s="2" t="inlineStr">
        <is>
          <t>C.均衡 (80%-100%)</t>
        </is>
      </c>
      <c r="Y47" s="2" t="inlineStr">
        <is>
          <t>A.岗位工作量饱和，已达人效上限;B.上游资料不全，导致反复沟通/返工</t>
        </is>
      </c>
      <c r="Z47" s="2" t="inlineStr">
        <is>
          <t>专业问题协调</t>
        </is>
      </c>
      <c r="AA47" s="2" t="inlineStr">
        <is>
          <t>无</t>
        </is>
      </c>
      <c r="AB47" s="2" t="inlineStr">
        <is>
          <t>专业问题协调</t>
        </is>
      </c>
      <c r="AC47" s="2" t="inlineStr">
        <is>
          <t>A.高度匹配（得心应手）</t>
        </is>
      </c>
      <c r="AD47" s="2" t="inlineStr">
        <is>
          <t>无</t>
        </is>
      </c>
      <c r="AE47" s="2" t="inlineStr">
        <is>
          <t>无</t>
        </is>
      </c>
      <c r="AF47" s="2" t="inlineStr">
        <is>
          <t>无</t>
        </is>
      </c>
      <c r="AG47" s="2" t="inlineStr">
        <is>
          <t>C.配偶为公司家属，常驻项目，但暂无照顾家庭的任务</t>
        </is>
      </c>
      <c r="AH47" s="2" t="inlineStr">
        <is>
          <t>C.无意向</t>
        </is>
      </c>
      <c r="AI47" s="7" t="n">
        <v>23.76</v>
      </c>
      <c r="AJ47" s="7" t="n">
        <v>27.06</v>
      </c>
      <c r="AK47" s="7" t="n">
        <v>2.87</v>
      </c>
      <c r="AL47" s="7" t="n">
        <v>3.27</v>
      </c>
      <c r="AM47" s="7" t="n">
        <v>2.18</v>
      </c>
      <c r="AN47" s="7" t="n">
        <v>4.36</v>
      </c>
      <c r="AO47" s="7" t="n">
        <v>0.23</v>
      </c>
      <c r="AP47" s="7" t="n">
        <v>0.23</v>
      </c>
      <c r="AQ47" s="7" t="n">
        <v>0.48</v>
      </c>
      <c r="AR47" s="7" t="n">
        <v>0.62</v>
      </c>
      <c r="AS47" s="7" t="n">
        <v>29.52</v>
      </c>
      <c r="AT47" s="7" t="n">
        <v>35.54</v>
      </c>
      <c r="AU47" s="7" t="n">
        <v>32.53</v>
      </c>
      <c r="AV47" s="2" t="inlineStr">
        <is>
          <t>超负荷</t>
        </is>
      </c>
      <c r="AW47" s="2" t="inlineStr">
        <is>
          <t>不一致</t>
        </is>
      </c>
      <c r="AX47" s="2" t="inlineStr">
        <is>
          <t>875fb03d-52aa-400d-a82a-61933bad7543</t>
        </is>
      </c>
      <c r="AY47" s="2" t="inlineStr">
        <is>
          <t>资产财务部    马言</t>
        </is>
      </c>
      <c r="AZ47" s="2" t="inlineStr">
        <is>
          <t>Anonymous</t>
        </is>
      </c>
      <c r="BA47" s="2" t="inlineStr">
        <is>
          <t>Anonymous</t>
        </is>
      </c>
      <c r="BB47" s="2"/>
      <c r="BC47" s="2" t="inlineStr">
        <is>
          <t>2026-05-26 11:16:53</t>
        </is>
      </c>
      <c r="BD47" s="3" t="n">
        <v>1989</v>
      </c>
      <c r="BE47" s="3" t="n">
        <v>37</v>
      </c>
      <c r="BF47" s="2" t="inlineStr">
        <is>
          <t>A.无此需求</t>
        </is>
      </c>
      <c r="BG47" s="2" t="inlineStr">
        <is>
          <t>已生效</t>
        </is>
      </c>
      <c r="BH47" s="2" t="inlineStr">
        <is>
          <t>0d6033c1-920e-4676-8b87-563cc4da36cf</t>
        </is>
      </c>
      <c r="BI47" s="3" t="n">
        <v>1</v>
      </c>
      <c r="BJ47" s="2"/>
      <c r="BK47" s="2"/>
      <c r="BL47" s="2"/>
      <c r="BM47" s="2"/>
      <c r="BN47" s="2"/>
      <c r="BO47" s="2"/>
      <c r="BP47" s="2"/>
      <c r="BQ47" s="2"/>
      <c r="BR47" s="2"/>
      <c r="BS47" s="2" t="inlineStr">
        <is>
          <t>80078126-91d7-48a3-99ef-f3b15162111b</t>
        </is>
      </c>
      <c r="BT47" s="3" t="n">
        <v>1</v>
      </c>
      <c r="BU47" s="2" t="inlineStr">
        <is>
          <t>流程审批类</t>
        </is>
      </c>
      <c r="BV47" s="2" t="inlineStr">
        <is>
          <t>ERP流程审批</t>
        </is>
      </c>
      <c r="BW47" s="2" t="inlineStr">
        <is>
          <t>10次以上</t>
        </is>
      </c>
      <c r="BX47" s="3" t="n">
        <v>10</v>
      </c>
      <c r="BY47" s="3" t="n">
        <v>10</v>
      </c>
      <c r="BZ47" s="2" t="inlineStr">
        <is>
          <t>A.20分钟以内</t>
        </is>
      </c>
      <c r="CA47" s="7" t="n">
        <v>0.33</v>
      </c>
      <c r="CB47" s="7" t="n">
        <v>0.33</v>
      </c>
      <c r="CC47" s="7" t="n">
        <v>3.3</v>
      </c>
      <c r="CD47" s="7" t="n">
        <v>3.3</v>
      </c>
      <c r="CE47" s="2" t="inlineStr">
        <is>
          <t>流程审批类</t>
        </is>
      </c>
      <c r="CF47" s="2"/>
      <c r="CG47" s="2" t="inlineStr">
        <is>
          <t>财务管理流程</t>
        </is>
      </c>
      <c r="CH47" s="2" t="inlineStr">
        <is>
          <t>岗位职责</t>
        </is>
      </c>
      <c r="CI47" s="2" t="inlineStr">
        <is>
          <t>重要且紧急</t>
        </is>
      </c>
      <c r="CJ47" s="2" t="inlineStr">
        <is>
          <t>半标准化-有流程框架，需专业经验</t>
        </is>
      </c>
      <c r="CK47" s="2" t="inlineStr">
        <is>
          <t>中频（10%-30%）</t>
        </is>
      </c>
      <c r="CL47" s="2" t="inlineStr">
        <is>
          <t>责任/风险负荷</t>
        </is>
      </c>
      <c r="CM47" s="2"/>
      <c r="CN47" s="2" t="inlineStr">
        <is>
          <t>be77f2fb-6d80-43a0-8440-a89e4b681734</t>
        </is>
      </c>
      <c r="CO47" s="3" t="n">
        <v>1</v>
      </c>
      <c r="CP47" s="2"/>
      <c r="CQ47" s="2" t="inlineStr">
        <is>
          <t>外经证申请</t>
        </is>
      </c>
      <c r="CR47" s="2" t="inlineStr">
        <is>
          <t>5次以上</t>
        </is>
      </c>
      <c r="CS47" s="3" t="n">
        <v>5</v>
      </c>
      <c r="CT47" s="3" t="n">
        <v>5</v>
      </c>
      <c r="CU47" s="2" t="inlineStr">
        <is>
          <t>B.2小时以内</t>
        </is>
      </c>
      <c r="CV47" s="7" t="n">
        <v>2</v>
      </c>
      <c r="CW47" s="7" t="n">
        <v>2</v>
      </c>
      <c r="CX47" s="7" t="n">
        <v>10</v>
      </c>
      <c r="CY47" s="7" t="n">
        <v>10</v>
      </c>
      <c r="CZ47" s="2" t="inlineStr">
        <is>
          <t>专业技术类</t>
        </is>
      </c>
      <c r="DA47" s="2"/>
      <c r="DB47" s="2" t="inlineStr">
        <is>
          <t>专业问题协调</t>
        </is>
      </c>
      <c r="DC47" s="2" t="inlineStr">
        <is>
          <t>岗位职责</t>
        </is>
      </c>
      <c r="DD47" s="2" t="inlineStr">
        <is>
          <t>重要且紧急</t>
        </is>
      </c>
      <c r="DE47" s="2" t="inlineStr">
        <is>
          <t>半标准化-有流程框架，需专业经验</t>
        </is>
      </c>
      <c r="DF47" s="2" t="inlineStr">
        <is>
          <t>极少（&lt;5%）</t>
        </is>
      </c>
      <c r="DG47" s="2" t="inlineStr">
        <is>
          <t>责任/风险负荷</t>
        </is>
      </c>
      <c r="DH47" s="2"/>
      <c r="DI47" s="2" t="inlineStr">
        <is>
          <t>34bae5c6-d2a8-404d-939f-f6d39898dba8</t>
        </is>
      </c>
      <c r="DJ47" s="3" t="n">
        <v>1</v>
      </c>
      <c r="DK47" s="2"/>
      <c r="DL47" s="2" t="inlineStr">
        <is>
          <t>财务报表出具及审核</t>
        </is>
      </c>
      <c r="DM47" s="2" t="inlineStr">
        <is>
          <t>4-8次</t>
        </is>
      </c>
      <c r="DN47" s="3" t="n">
        <v>4</v>
      </c>
      <c r="DO47" s="3" t="n">
        <v>8</v>
      </c>
      <c r="DP47" s="2" t="inlineStr">
        <is>
          <t>B.2小时以内</t>
        </is>
      </c>
      <c r="DQ47" s="7" t="n">
        <v>2</v>
      </c>
      <c r="DR47" s="7" t="n">
        <v>2</v>
      </c>
      <c r="DS47" s="7" t="n">
        <v>8</v>
      </c>
      <c r="DT47" s="7" t="n">
        <v>16</v>
      </c>
      <c r="DU47" s="2" t="inlineStr">
        <is>
          <t>专业技术类</t>
        </is>
      </c>
      <c r="DV47" s="2"/>
      <c r="DW47" s="2" t="inlineStr">
        <is>
          <t>专业问题协调</t>
        </is>
      </c>
      <c r="DX47" s="2" t="inlineStr">
        <is>
          <t>岗位职责</t>
        </is>
      </c>
      <c r="DY47" s="2" t="inlineStr">
        <is>
          <t>重要且紧急</t>
        </is>
      </c>
      <c r="DZ47" s="2" t="inlineStr">
        <is>
          <t>半标准化-有流程框架，需专业经验</t>
        </is>
      </c>
      <c r="EA47" s="2" t="inlineStr">
        <is>
          <t>极少（&lt;5%）</t>
        </is>
      </c>
      <c r="EB47" s="2" t="inlineStr">
        <is>
          <t>责任/风险负荷</t>
        </is>
      </c>
      <c r="EC47" s="2"/>
      <c r="ED47" s="2" t="inlineStr">
        <is>
          <t>cdfc5264-f41c-4ec5-a547-c7c12b9c008e</t>
        </is>
      </c>
      <c r="EE47" s="3" t="n">
        <v>1</v>
      </c>
      <c r="EF47" s="2"/>
      <c r="EG47" s="2" t="inlineStr">
        <is>
          <t>印花税计算</t>
        </is>
      </c>
      <c r="EH47" s="2" t="inlineStr">
        <is>
          <t>3次及以上</t>
        </is>
      </c>
      <c r="EI47" s="3" t="n">
        <v>3</v>
      </c>
      <c r="EJ47" s="2" t="inlineStr">
        <is>
          <t>B.2小时以内</t>
        </is>
      </c>
      <c r="EK47" s="7" t="n">
        <v>2</v>
      </c>
      <c r="EL47" s="7" t="n">
        <v>2</v>
      </c>
      <c r="EM47" s="7" t="n">
        <v>6</v>
      </c>
      <c r="EN47" s="7" t="n">
        <v>6</v>
      </c>
      <c r="EO47" s="2" t="inlineStr">
        <is>
          <t>专业技术类</t>
        </is>
      </c>
      <c r="EP47" s="2"/>
      <c r="EQ47" s="2" t="inlineStr">
        <is>
          <t>专业问题协调</t>
        </is>
      </c>
      <c r="ER47" s="2" t="inlineStr">
        <is>
          <t>岗位职责</t>
        </is>
      </c>
      <c r="ES47" s="2" t="inlineStr">
        <is>
          <t>重要且紧急</t>
        </is>
      </c>
      <c r="ET47" s="2" t="inlineStr">
        <is>
          <t>半标准化-有流程框架，需专业经验</t>
        </is>
      </c>
      <c r="EU47" s="2" t="inlineStr">
        <is>
          <t>极少（&lt;5%）</t>
        </is>
      </c>
      <c r="EV47" s="2" t="inlineStr">
        <is>
          <t>责任/风险负荷</t>
        </is>
      </c>
      <c r="EW47" s="2"/>
      <c r="EX47" s="2" t="inlineStr">
        <is>
          <t>02cdda07-bdf3-4a1c-ba1f-6e0c58b29e28</t>
        </is>
      </c>
      <c r="EY47" s="3" t="n">
        <v>1</v>
      </c>
      <c r="EZ47" s="2"/>
      <c r="FA47" s="2" t="inlineStr">
        <is>
          <t>提供银行回单</t>
        </is>
      </c>
      <c r="FB47" s="2" t="inlineStr">
        <is>
          <t>每月3次以上</t>
        </is>
      </c>
      <c r="FC47" s="2" t="inlineStr">
        <is>
          <t>月</t>
        </is>
      </c>
      <c r="FD47" s="3" t="n">
        <v>3</v>
      </c>
      <c r="FE47" s="3" t="n">
        <v>3</v>
      </c>
      <c r="FF47" s="2" t="inlineStr">
        <is>
          <t>A.20分钟以内</t>
        </is>
      </c>
      <c r="FG47" s="7" t="n">
        <v>0.33</v>
      </c>
      <c r="FH47" s="7" t="n">
        <v>0.33</v>
      </c>
      <c r="FI47" s="7" t="n">
        <v>0.99</v>
      </c>
      <c r="FJ47" s="7" t="n">
        <v>0.99</v>
      </c>
      <c r="FK47" s="7" t="n">
        <v>0</v>
      </c>
      <c r="FL47" s="7" t="n">
        <v>0</v>
      </c>
      <c r="FM47" s="7" t="n">
        <v>0</v>
      </c>
      <c r="FN47" s="7" t="n">
        <v>0</v>
      </c>
      <c r="FO47" s="2" t="inlineStr">
        <is>
          <t>专业技术类</t>
        </is>
      </c>
      <c r="FP47" s="2"/>
      <c r="FQ47" s="2" t="inlineStr">
        <is>
          <t>专业问题协调</t>
        </is>
      </c>
      <c r="FR47" s="2" t="inlineStr">
        <is>
          <t>岗位职责</t>
        </is>
      </c>
      <c r="FS47" s="2" t="inlineStr">
        <is>
          <t>重要且紧急</t>
        </is>
      </c>
      <c r="FT47" s="2" t="inlineStr">
        <is>
          <t>半标准化-有流程框架，需专业经验</t>
        </is>
      </c>
      <c r="FU47" s="2" t="inlineStr">
        <is>
          <t>极少（&lt;5%）</t>
        </is>
      </c>
      <c r="FV47" s="2" t="inlineStr">
        <is>
          <t>责任/风险负荷</t>
        </is>
      </c>
      <c r="FW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t="inlineStr">
        <is>
          <t>ec819d4f-0d0d-4f83-8b7a-79e22bad3955</t>
        </is>
      </c>
      <c r="BT48" s="3" t="n">
        <v>2</v>
      </c>
      <c r="BU48" s="2" t="inlineStr">
        <is>
          <t>专业技术类</t>
        </is>
      </c>
      <c r="BV48" s="2" t="inlineStr">
        <is>
          <t>GS系统付款流程</t>
        </is>
      </c>
      <c r="BW48" s="2" t="inlineStr">
        <is>
          <t>10次以上</t>
        </is>
      </c>
      <c r="BX48" s="3" t="n">
        <v>10</v>
      </c>
      <c r="BY48" s="3" t="n">
        <v>10</v>
      </c>
      <c r="BZ48" s="2" t="inlineStr">
        <is>
          <t>A.20分钟以内</t>
        </is>
      </c>
      <c r="CA48" s="7" t="n">
        <v>0.33</v>
      </c>
      <c r="CB48" s="7" t="n">
        <v>0.33</v>
      </c>
      <c r="CC48" s="7" t="n">
        <v>3.3</v>
      </c>
      <c r="CD48" s="7" t="n">
        <v>3.3</v>
      </c>
      <c r="CE48" s="2" t="inlineStr">
        <is>
          <t>专业技术类</t>
        </is>
      </c>
      <c r="CF48" s="2"/>
      <c r="CG48" s="2" t="inlineStr">
        <is>
          <t>专业问题协调</t>
        </is>
      </c>
      <c r="CH48" s="2" t="inlineStr">
        <is>
          <t>岗位职责</t>
        </is>
      </c>
      <c r="CI48" s="2" t="inlineStr">
        <is>
          <t>重要且紧急</t>
        </is>
      </c>
      <c r="CJ48" s="2" t="inlineStr">
        <is>
          <t>半标准化-有流程框架，需专业经验</t>
        </is>
      </c>
      <c r="CK48" s="2" t="inlineStr">
        <is>
          <t>极少（&lt;5%）</t>
        </is>
      </c>
      <c r="CL48" s="2" t="inlineStr">
        <is>
          <t>责任/风险负荷</t>
        </is>
      </c>
      <c r="CM48" s="2"/>
      <c r="CN48" s="2" t="inlineStr">
        <is>
          <t>ddefc21f-ef02-47e2-b056-b4bbc971d317</t>
        </is>
      </c>
      <c r="CO48" s="3" t="n">
        <v>2</v>
      </c>
      <c r="CP48" s="2"/>
      <c r="CQ48" s="2" t="inlineStr">
        <is>
          <t>往来对账</t>
        </is>
      </c>
      <c r="CR48" s="2" t="inlineStr">
        <is>
          <t>2-3次</t>
        </is>
      </c>
      <c r="CS48" s="3" t="n">
        <v>2</v>
      </c>
      <c r="CT48" s="3" t="n">
        <v>3</v>
      </c>
      <c r="CU48" s="2" t="inlineStr">
        <is>
          <t>B.2小时以内</t>
        </is>
      </c>
      <c r="CV48" s="7" t="n">
        <v>2</v>
      </c>
      <c r="CW48" s="7" t="n">
        <v>2</v>
      </c>
      <c r="CX48" s="7" t="n">
        <v>4</v>
      </c>
      <c r="CY48" s="7" t="n">
        <v>6</v>
      </c>
      <c r="CZ48" s="2" t="inlineStr">
        <is>
          <t>专业技术类</t>
        </is>
      </c>
      <c r="DA48" s="2"/>
      <c r="DB48" s="2" t="inlineStr">
        <is>
          <t>专业问题协调</t>
        </is>
      </c>
      <c r="DC48" s="2" t="inlineStr">
        <is>
          <t>岗位职责</t>
        </is>
      </c>
      <c r="DD48" s="2" t="inlineStr">
        <is>
          <t>重要且紧急</t>
        </is>
      </c>
      <c r="DE48" s="2" t="inlineStr">
        <is>
          <t>半标准化-有流程框架，需专业经验</t>
        </is>
      </c>
      <c r="DF48" s="2" t="inlineStr">
        <is>
          <t>极少（&lt;5%）</t>
        </is>
      </c>
      <c r="DG48" s="2" t="inlineStr">
        <is>
          <t>责任/风险负荷</t>
        </is>
      </c>
      <c r="DH48" s="2"/>
      <c r="DI48" s="2" t="inlineStr">
        <is>
          <t>f05dc885-f722-4477-8e8c-cca07ac70a11</t>
        </is>
      </c>
      <c r="DJ48" s="3" t="n">
        <v>2</v>
      </c>
      <c r="DK48" s="2"/>
      <c r="DL48" s="2" t="inlineStr">
        <is>
          <t>税金计算、申报及缴纳</t>
        </is>
      </c>
      <c r="DM48" s="2" t="inlineStr">
        <is>
          <t>4-8次</t>
        </is>
      </c>
      <c r="DN48" s="3" t="n">
        <v>4</v>
      </c>
      <c r="DO48" s="3" t="n">
        <v>8</v>
      </c>
      <c r="DP48" s="2" t="inlineStr">
        <is>
          <t>B.2小时以内</t>
        </is>
      </c>
      <c r="DQ48" s="7" t="n">
        <v>2</v>
      </c>
      <c r="DR48" s="7" t="n">
        <v>2</v>
      </c>
      <c r="DS48" s="7" t="n">
        <v>8</v>
      </c>
      <c r="DT48" s="7" t="n">
        <v>16</v>
      </c>
      <c r="DU48" s="2" t="inlineStr">
        <is>
          <t>专业技术类</t>
        </is>
      </c>
      <c r="DV48" s="2"/>
      <c r="DW48" s="2" t="inlineStr">
        <is>
          <t>专业问题协调</t>
        </is>
      </c>
      <c r="DX48" s="2" t="inlineStr">
        <is>
          <t>岗位职责</t>
        </is>
      </c>
      <c r="DY48" s="2" t="inlineStr">
        <is>
          <t>重要且紧急</t>
        </is>
      </c>
      <c r="DZ48" s="2" t="inlineStr">
        <is>
          <t>半标准化-有流程框架，需专业经验</t>
        </is>
      </c>
      <c r="EA48" s="2" t="inlineStr">
        <is>
          <t>极少（&lt;5%）</t>
        </is>
      </c>
      <c r="EB48" s="2" t="inlineStr">
        <is>
          <t>责任/风险负荷</t>
        </is>
      </c>
      <c r="EC48" s="2"/>
      <c r="ED48" s="2" t="inlineStr">
        <is>
          <t>d1786bec-5caa-42ab-b1e5-a635f4242ed8</t>
        </is>
      </c>
      <c r="EE48" s="3" t="n">
        <v>2</v>
      </c>
      <c r="EF48" s="2"/>
      <c r="EG48" s="2" t="inlineStr">
        <is>
          <t>企业所得税申报</t>
        </is>
      </c>
      <c r="EH48" s="2" t="inlineStr">
        <is>
          <t>1次</t>
        </is>
      </c>
      <c r="EI48" s="3" t="n">
        <v>1</v>
      </c>
      <c r="EJ48" s="2" t="inlineStr">
        <is>
          <t>B.2小时以内</t>
        </is>
      </c>
      <c r="EK48" s="7" t="n">
        <v>2</v>
      </c>
      <c r="EL48" s="7" t="n">
        <v>2</v>
      </c>
      <c r="EM48" s="7" t="n">
        <v>2</v>
      </c>
      <c r="EN48" s="7" t="n">
        <v>2</v>
      </c>
      <c r="EO48" s="2" t="inlineStr">
        <is>
          <t>专业技术类</t>
        </is>
      </c>
      <c r="EP48" s="2"/>
      <c r="EQ48" s="2" t="inlineStr">
        <is>
          <t>专业问题协调</t>
        </is>
      </c>
      <c r="ER48" s="2" t="inlineStr">
        <is>
          <t>岗位职责</t>
        </is>
      </c>
      <c r="ES48" s="2" t="inlineStr">
        <is>
          <t>重要且紧急</t>
        </is>
      </c>
      <c r="ET48" s="2" t="inlineStr">
        <is>
          <t>半标准化-有流程框架，需专业经验</t>
        </is>
      </c>
      <c r="EU48" s="2" t="inlineStr">
        <is>
          <t>极少（&lt;5%）</t>
        </is>
      </c>
      <c r="EV48" s="2" t="inlineStr">
        <is>
          <t>责任/风险负荷</t>
        </is>
      </c>
      <c r="EW48" s="2"/>
      <c r="EX48" s="2" t="inlineStr">
        <is>
          <t>7d098e36-6d6f-4f87-b224-19a1cda6a883</t>
        </is>
      </c>
      <c r="EY48" s="3" t="n">
        <v>2</v>
      </c>
      <c r="EZ48" s="2"/>
      <c r="FA48" s="2" t="inlineStr">
        <is>
          <t>及时向相关人员传达税收政策变化带来的影响</t>
        </is>
      </c>
      <c r="FB48" s="2" t="inlineStr">
        <is>
          <t>每月1-2次</t>
        </is>
      </c>
      <c r="FC48" s="2" t="inlineStr">
        <is>
          <t>月</t>
        </is>
      </c>
      <c r="FD48" s="3" t="n">
        <v>1</v>
      </c>
      <c r="FE48" s="3" t="n">
        <v>2</v>
      </c>
      <c r="FF48" s="2" t="inlineStr">
        <is>
          <t>A.20分钟以内</t>
        </is>
      </c>
      <c r="FG48" s="7" t="n">
        <v>0.33</v>
      </c>
      <c r="FH48" s="7" t="n">
        <v>0.33</v>
      </c>
      <c r="FI48" s="7" t="n">
        <v>0.33</v>
      </c>
      <c r="FJ48" s="7" t="n">
        <v>0.66</v>
      </c>
      <c r="FK48" s="7" t="n">
        <v>0</v>
      </c>
      <c r="FL48" s="7" t="n">
        <v>0</v>
      </c>
      <c r="FM48" s="7" t="n">
        <v>0</v>
      </c>
      <c r="FN48" s="7" t="n">
        <v>0</v>
      </c>
      <c r="FO48" s="2" t="inlineStr">
        <is>
          <t>专业技术类</t>
        </is>
      </c>
      <c r="FP48" s="2"/>
      <c r="FQ48" s="2" t="inlineStr">
        <is>
          <t>专业问题协调</t>
        </is>
      </c>
      <c r="FR48" s="2" t="inlineStr">
        <is>
          <t>岗位职责</t>
        </is>
      </c>
      <c r="FS48" s="2" t="inlineStr">
        <is>
          <t>重要且紧急</t>
        </is>
      </c>
      <c r="FT48" s="2" t="inlineStr">
        <is>
          <t>非标准化-无先例参考，需创新协调</t>
        </is>
      </c>
      <c r="FU48" s="2" t="inlineStr">
        <is>
          <t>极少（&lt;5%）</t>
        </is>
      </c>
      <c r="FV48" s="2" t="inlineStr">
        <is>
          <t>责任/风险负荷</t>
        </is>
      </c>
      <c r="FW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t="inlineStr">
        <is>
          <t>303003b1-11cf-4398-88e6-5eef45607cc6</t>
        </is>
      </c>
      <c r="BT49" s="3" t="n">
        <v>3</v>
      </c>
      <c r="BU49" s="2" t="inlineStr">
        <is>
          <t>专业技术类</t>
        </is>
      </c>
      <c r="BV49" s="2" t="inlineStr">
        <is>
          <t>GS系统制单流程</t>
        </is>
      </c>
      <c r="BW49" s="2" t="inlineStr">
        <is>
          <t>10次以上</t>
        </is>
      </c>
      <c r="BX49" s="3" t="n">
        <v>10</v>
      </c>
      <c r="BY49" s="3" t="n">
        <v>10</v>
      </c>
      <c r="BZ49" s="2" t="inlineStr">
        <is>
          <t>A.20分钟以内</t>
        </is>
      </c>
      <c r="CA49" s="7" t="n">
        <v>0.33</v>
      </c>
      <c r="CB49" s="7" t="n">
        <v>0.33</v>
      </c>
      <c r="CC49" s="7" t="n">
        <v>3.3</v>
      </c>
      <c r="CD49" s="7" t="n">
        <v>3.3</v>
      </c>
      <c r="CE49" s="2" t="inlineStr">
        <is>
          <t>专业技术类</t>
        </is>
      </c>
      <c r="CF49" s="2"/>
      <c r="CG49" s="2" t="inlineStr">
        <is>
          <t>专业问题协调</t>
        </is>
      </c>
      <c r="CH49" s="2" t="inlineStr">
        <is>
          <t>岗位职责</t>
        </is>
      </c>
      <c r="CI49" s="2" t="inlineStr">
        <is>
          <t>重要且紧急</t>
        </is>
      </c>
      <c r="CJ49" s="2" t="inlineStr">
        <is>
          <t>半标准化-有流程框架，需专业经验</t>
        </is>
      </c>
      <c r="CK49" s="2" t="inlineStr">
        <is>
          <t>极少（&lt;5%）</t>
        </is>
      </c>
      <c r="CL49" s="2" t="inlineStr">
        <is>
          <t>责任/风险负荷</t>
        </is>
      </c>
      <c r="CM49" s="2"/>
      <c r="CN49" s="2" t="inlineStr">
        <is>
          <t>74110e3b-0e90-49ba-9d2c-b3cb25a2b432</t>
        </is>
      </c>
      <c r="CO49" s="3" t="n">
        <v>3</v>
      </c>
      <c r="CP49" s="2"/>
      <c r="CQ49" s="2" t="inlineStr">
        <is>
          <t>向相关人员提供资金报表</t>
        </is>
      </c>
      <c r="CR49" s="2" t="inlineStr">
        <is>
          <t>1次</t>
        </is>
      </c>
      <c r="CS49" s="3" t="n">
        <v>1</v>
      </c>
      <c r="CT49" s="3" t="n">
        <v>1</v>
      </c>
      <c r="CU49" s="2" t="inlineStr">
        <is>
          <t>A.20分钟以内</t>
        </is>
      </c>
      <c r="CV49" s="7" t="n">
        <v>0.33</v>
      </c>
      <c r="CW49" s="7" t="n">
        <v>0.33</v>
      </c>
      <c r="CX49" s="7" t="n">
        <v>0.33</v>
      </c>
      <c r="CY49" s="7" t="n">
        <v>0.33</v>
      </c>
      <c r="CZ49" s="2" t="inlineStr">
        <is>
          <t>专业技术类</t>
        </is>
      </c>
      <c r="DA49" s="2"/>
      <c r="DB49" s="2" t="inlineStr">
        <is>
          <t>专业问题协调</t>
        </is>
      </c>
      <c r="DC49" s="2" t="inlineStr">
        <is>
          <t>岗位职责</t>
        </is>
      </c>
      <c r="DD49" s="2" t="inlineStr">
        <is>
          <t>重要不紧急</t>
        </is>
      </c>
      <c r="DE49" s="2" t="inlineStr">
        <is>
          <t>半标准化-有流程框架，需专业经验</t>
        </is>
      </c>
      <c r="DF49" s="2" t="inlineStr">
        <is>
          <t>极少（&lt;5%）</t>
        </is>
      </c>
      <c r="DG49" s="2" t="inlineStr">
        <is>
          <t>责任/风险负荷</t>
        </is>
      </c>
      <c r="DH49" s="2"/>
      <c r="DI49" s="2" t="inlineStr">
        <is>
          <t>690c79ea-152b-4244-b91d-41ebae8105e7</t>
        </is>
      </c>
      <c r="DJ49" s="3" t="n">
        <v>3</v>
      </c>
      <c r="DK49" s="2"/>
      <c r="DL49" s="2" t="inlineStr">
        <is>
          <t>提供动态资金报表</t>
        </is>
      </c>
      <c r="DM49" s="2" t="inlineStr">
        <is>
          <t>4-8次</t>
        </is>
      </c>
      <c r="DN49" s="3" t="n">
        <v>4</v>
      </c>
      <c r="DO49" s="3" t="n">
        <v>8</v>
      </c>
      <c r="DP49" s="2" t="inlineStr">
        <is>
          <t>B.2小时以内</t>
        </is>
      </c>
      <c r="DQ49" s="7" t="n">
        <v>2</v>
      </c>
      <c r="DR49" s="7" t="n">
        <v>2</v>
      </c>
      <c r="DS49" s="7" t="n">
        <v>8</v>
      </c>
      <c r="DT49" s="7" t="n">
        <v>16</v>
      </c>
      <c r="DU49" s="2" t="inlineStr">
        <is>
          <t>专业技术类</t>
        </is>
      </c>
      <c r="DV49" s="2"/>
      <c r="DW49" s="2" t="inlineStr">
        <is>
          <t>专业问题协调</t>
        </is>
      </c>
      <c r="DX49" s="2" t="inlineStr">
        <is>
          <t>岗位职责</t>
        </is>
      </c>
      <c r="DY49" s="2" t="inlineStr">
        <is>
          <t>重要且紧急</t>
        </is>
      </c>
      <c r="DZ49" s="2" t="inlineStr">
        <is>
          <t>半标准化-有流程框架，需专业经验</t>
        </is>
      </c>
      <c r="EA49" s="2" t="inlineStr">
        <is>
          <t>极少（&lt;5%）</t>
        </is>
      </c>
      <c r="EB49" s="2" t="inlineStr">
        <is>
          <t>责任/风险负荷</t>
        </is>
      </c>
      <c r="EC49" s="2"/>
      <c r="ED49" s="2" t="inlineStr">
        <is>
          <t>e31ac622-c660-493c-9f81-2b581856cedb</t>
        </is>
      </c>
      <c r="EE49" s="3" t="n">
        <v>3</v>
      </c>
      <c r="EF49" s="2"/>
      <c r="EG49" s="2" t="inlineStr">
        <is>
          <t>配合会计报表年报审计</t>
        </is>
      </c>
      <c r="EH49" s="2" t="inlineStr">
        <is>
          <t>3次及以上</t>
        </is>
      </c>
      <c r="EI49" s="3" t="n">
        <v>3</v>
      </c>
      <c r="EJ49" s="2" t="inlineStr">
        <is>
          <t>E.8小时以上</t>
        </is>
      </c>
      <c r="EK49" s="7" t="n">
        <v>8</v>
      </c>
      <c r="EL49" s="7" t="n">
        <v>8</v>
      </c>
      <c r="EM49" s="7" t="n">
        <v>24</v>
      </c>
      <c r="EN49" s="7" t="n">
        <v>24</v>
      </c>
      <c r="EO49" s="2" t="inlineStr">
        <is>
          <t>专业技术类</t>
        </is>
      </c>
      <c r="EP49" s="2"/>
      <c r="EQ49" s="2" t="inlineStr">
        <is>
          <t>专业问题协调</t>
        </is>
      </c>
      <c r="ER49" s="2" t="inlineStr">
        <is>
          <t>岗位职责</t>
        </is>
      </c>
      <c r="ES49" s="2" t="inlineStr">
        <is>
          <t>重要且紧急</t>
        </is>
      </c>
      <c r="ET49" s="2" t="inlineStr">
        <is>
          <t>半标准化-有流程框架，需专业经验</t>
        </is>
      </c>
      <c r="EU49" s="2" t="inlineStr">
        <is>
          <t>极少（&lt;5%）</t>
        </is>
      </c>
      <c r="EV49" s="2" t="inlineStr">
        <is>
          <t>责任/风险负荷</t>
        </is>
      </c>
      <c r="EW49" s="2"/>
      <c r="EX49" s="2" t="inlineStr">
        <is>
          <t>807466d8-d1cb-4e28-995e-3bc268b4f8c2</t>
        </is>
      </c>
      <c r="EY49" s="3" t="n">
        <v>3</v>
      </c>
      <c r="EZ49" s="2"/>
      <c r="FA49" s="2" t="inlineStr">
        <is>
          <t>临时向领导提供财务数据</t>
        </is>
      </c>
      <c r="FB49" s="2" t="inlineStr">
        <is>
          <t>每月3次以上</t>
        </is>
      </c>
      <c r="FC49" s="2" t="inlineStr">
        <is>
          <t>月</t>
        </is>
      </c>
      <c r="FD49" s="3" t="n">
        <v>3</v>
      </c>
      <c r="FE49" s="3" t="n">
        <v>3</v>
      </c>
      <c r="FF49" s="2" t="inlineStr">
        <is>
          <t>A.20分钟以内</t>
        </is>
      </c>
      <c r="FG49" s="7" t="n">
        <v>0.33</v>
      </c>
      <c r="FH49" s="7" t="n">
        <v>0.33</v>
      </c>
      <c r="FI49" s="7" t="n">
        <v>0.99</v>
      </c>
      <c r="FJ49" s="7" t="n">
        <v>0.99</v>
      </c>
      <c r="FK49" s="7" t="n">
        <v>0</v>
      </c>
      <c r="FL49" s="7" t="n">
        <v>0</v>
      </c>
      <c r="FM49" s="7" t="n">
        <v>0</v>
      </c>
      <c r="FN49" s="7" t="n">
        <v>0</v>
      </c>
      <c r="FO49" s="2" t="inlineStr">
        <is>
          <t>专业技术类</t>
        </is>
      </c>
      <c r="FP49" s="2"/>
      <c r="FQ49" s="2" t="inlineStr">
        <is>
          <t>专业问题协调</t>
        </is>
      </c>
      <c r="FR49" s="2" t="inlineStr">
        <is>
          <t>岗位职责</t>
        </is>
      </c>
      <c r="FS49" s="2" t="inlineStr">
        <is>
          <t>重要且紧急</t>
        </is>
      </c>
      <c r="FT49" s="2" t="inlineStr">
        <is>
          <t>非标准化-无先例参考，需创新协调</t>
        </is>
      </c>
      <c r="FU49" s="2" t="inlineStr">
        <is>
          <t>极少（&lt;5%）</t>
        </is>
      </c>
      <c r="FV49" s="2" t="inlineStr">
        <is>
          <t>责任/风险负荷</t>
        </is>
      </c>
      <c r="FW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t="inlineStr">
        <is>
          <t>5899038c-5b17-409a-824c-344b7ba4180e</t>
        </is>
      </c>
      <c r="BT50" s="3" t="n">
        <v>4</v>
      </c>
      <c r="BU50" s="2" t="inlineStr">
        <is>
          <t>专业技术类</t>
        </is>
      </c>
      <c r="BV50" s="2" t="inlineStr">
        <is>
          <t>GS系统发票申请流程</t>
        </is>
      </c>
      <c r="BW50" s="2" t="inlineStr">
        <is>
          <t>6-10次</t>
        </is>
      </c>
      <c r="BX50" s="3" t="n">
        <v>6</v>
      </c>
      <c r="BY50" s="3" t="n">
        <v>10</v>
      </c>
      <c r="BZ50" s="2" t="inlineStr">
        <is>
          <t>A.20分钟以内</t>
        </is>
      </c>
      <c r="CA50" s="7" t="n">
        <v>0.33</v>
      </c>
      <c r="CB50" s="7" t="n">
        <v>0.33</v>
      </c>
      <c r="CC50" s="7" t="n">
        <v>1.98</v>
      </c>
      <c r="CD50" s="7" t="n">
        <v>3.3</v>
      </c>
      <c r="CE50" s="2" t="inlineStr">
        <is>
          <t>专业技术类</t>
        </is>
      </c>
      <c r="CF50" s="2"/>
      <c r="CG50" s="2" t="inlineStr">
        <is>
          <t>专业问题协调</t>
        </is>
      </c>
      <c r="CH50" s="2" t="inlineStr">
        <is>
          <t>岗位职责</t>
        </is>
      </c>
      <c r="CI50" s="2" t="inlineStr">
        <is>
          <t>重要且紧急</t>
        </is>
      </c>
      <c r="CJ50" s="2" t="inlineStr">
        <is>
          <t>半标准化-有流程框架，需专业经验</t>
        </is>
      </c>
      <c r="CK50" s="2" t="inlineStr">
        <is>
          <t>极少（&lt;5%）</t>
        </is>
      </c>
      <c r="CL50" s="2" t="inlineStr">
        <is>
          <t>责任/风险负荷</t>
        </is>
      </c>
      <c r="CM50" s="2"/>
      <c r="CN50" s="2"/>
      <c r="CO50" s="2"/>
      <c r="CP50" s="2"/>
      <c r="CQ50" s="2"/>
      <c r="CR50" s="2"/>
      <c r="CS50" s="2"/>
      <c r="CT50" s="2"/>
      <c r="CU50" s="2"/>
      <c r="CV50" s="2"/>
      <c r="CW50" s="2"/>
      <c r="CX50" s="2"/>
      <c r="CY50" s="2"/>
      <c r="CZ50" s="2"/>
      <c r="DA50" s="2"/>
      <c r="DB50" s="2"/>
      <c r="DC50" s="2"/>
      <c r="DD50" s="2"/>
      <c r="DE50" s="2"/>
      <c r="DF50" s="2"/>
      <c r="DG50" s="2"/>
      <c r="DH50" s="2"/>
      <c r="DI50" s="2" t="inlineStr">
        <is>
          <t>e5504871-7694-43ea-95db-97848879436f</t>
        </is>
      </c>
      <c r="DJ50" s="3" t="n">
        <v>4</v>
      </c>
      <c r="DK50" s="2"/>
      <c r="DL50" s="2" t="inlineStr">
        <is>
          <t>整理、打印会计凭证</t>
        </is>
      </c>
      <c r="DM50" s="2" t="inlineStr">
        <is>
          <t>4-8次</t>
        </is>
      </c>
      <c r="DN50" s="3" t="n">
        <v>4</v>
      </c>
      <c r="DO50" s="3" t="n">
        <v>8</v>
      </c>
      <c r="DP50" s="2" t="inlineStr">
        <is>
          <t>B.2小时以内</t>
        </is>
      </c>
      <c r="DQ50" s="7" t="n">
        <v>2</v>
      </c>
      <c r="DR50" s="7" t="n">
        <v>2</v>
      </c>
      <c r="DS50" s="7" t="n">
        <v>8</v>
      </c>
      <c r="DT50" s="7" t="n">
        <v>16</v>
      </c>
      <c r="DU50" s="2" t="inlineStr">
        <is>
          <t>专业技术类</t>
        </is>
      </c>
      <c r="DV50" s="2"/>
      <c r="DW50" s="2" t="inlineStr">
        <is>
          <t>专业问题协调</t>
        </is>
      </c>
      <c r="DX50" s="2" t="inlineStr">
        <is>
          <t>岗位职责</t>
        </is>
      </c>
      <c r="DY50" s="2" t="inlineStr">
        <is>
          <t>重要且紧急</t>
        </is>
      </c>
      <c r="DZ50" s="2" t="inlineStr">
        <is>
          <t>半标准化-有流程框架，需专业经验</t>
        </is>
      </c>
      <c r="EA50" s="2" t="inlineStr">
        <is>
          <t>极少（&lt;5%）</t>
        </is>
      </c>
      <c r="EB50" s="2" t="inlineStr">
        <is>
          <t>责任/风险负荷</t>
        </is>
      </c>
      <c r="EC50" s="2"/>
      <c r="ED50" s="2" t="inlineStr">
        <is>
          <t>0052849d-19f4-4aae-a6e5-38a495e2c451</t>
        </is>
      </c>
      <c r="EE50" s="3" t="n">
        <v>4</v>
      </c>
      <c r="EF50" s="2"/>
      <c r="EG50" s="2" t="inlineStr">
        <is>
          <t>配合税务审计</t>
        </is>
      </c>
      <c r="EH50" s="2" t="inlineStr">
        <is>
          <t>3次及以上</t>
        </is>
      </c>
      <c r="EI50" s="3" t="n">
        <v>3</v>
      </c>
      <c r="EJ50" s="2" t="inlineStr">
        <is>
          <t>E.8小时以上</t>
        </is>
      </c>
      <c r="EK50" s="7" t="n">
        <v>8</v>
      </c>
      <c r="EL50" s="7" t="n">
        <v>8</v>
      </c>
      <c r="EM50" s="7" t="n">
        <v>24</v>
      </c>
      <c r="EN50" s="7" t="n">
        <v>24</v>
      </c>
      <c r="EO50" s="2" t="inlineStr">
        <is>
          <t>专业技术类</t>
        </is>
      </c>
      <c r="EP50" s="2"/>
      <c r="EQ50" s="2" t="inlineStr">
        <is>
          <t>专业问题协调</t>
        </is>
      </c>
      <c r="ER50" s="2" t="inlineStr">
        <is>
          <t>岗位职责</t>
        </is>
      </c>
      <c r="ES50" s="2" t="inlineStr">
        <is>
          <t>重要且紧急</t>
        </is>
      </c>
      <c r="ET50" s="2" t="inlineStr">
        <is>
          <t>半标准化-有流程框架，需专业经验</t>
        </is>
      </c>
      <c r="EU50" s="2" t="inlineStr">
        <is>
          <t>极少（&lt;5%）</t>
        </is>
      </c>
      <c r="EV50" s="2" t="inlineStr">
        <is>
          <t>责任/风险负荷</t>
        </is>
      </c>
      <c r="EW50" s="2"/>
      <c r="EX50" s="2" t="inlineStr">
        <is>
          <t>e6a26d0a-b2e9-4d5d-a10a-94e5d88518e9</t>
        </is>
      </c>
      <c r="EY50" s="3" t="n">
        <v>4</v>
      </c>
      <c r="EZ50" s="2"/>
      <c r="FA50" s="2" t="inlineStr">
        <is>
          <t>银行保函等申请</t>
        </is>
      </c>
      <c r="FB50" s="2" t="inlineStr">
        <is>
          <t>每月1-2次</t>
        </is>
      </c>
      <c r="FC50" s="2" t="inlineStr">
        <is>
          <t>月</t>
        </is>
      </c>
      <c r="FD50" s="3" t="n">
        <v>1</v>
      </c>
      <c r="FE50" s="3" t="n">
        <v>2</v>
      </c>
      <c r="FF50" s="2" t="inlineStr">
        <is>
          <t>A.20分钟以内</t>
        </is>
      </c>
      <c r="FG50" s="7" t="n">
        <v>0.33</v>
      </c>
      <c r="FH50" s="7" t="n">
        <v>0.33</v>
      </c>
      <c r="FI50" s="7" t="n">
        <v>0.33</v>
      </c>
      <c r="FJ50" s="7" t="n">
        <v>0.66</v>
      </c>
      <c r="FK50" s="7" t="n">
        <v>0</v>
      </c>
      <c r="FL50" s="7" t="n">
        <v>0</v>
      </c>
      <c r="FM50" s="7" t="n">
        <v>0</v>
      </c>
      <c r="FN50" s="7" t="n">
        <v>0</v>
      </c>
      <c r="FO50" s="2" t="inlineStr">
        <is>
          <t>专业技术类</t>
        </is>
      </c>
      <c r="FP50" s="2"/>
      <c r="FQ50" s="2" t="inlineStr">
        <is>
          <t>专业问题协调</t>
        </is>
      </c>
      <c r="FR50" s="2" t="inlineStr">
        <is>
          <t>岗位职责</t>
        </is>
      </c>
      <c r="FS50" s="2" t="inlineStr">
        <is>
          <t>重要且紧急</t>
        </is>
      </c>
      <c r="FT50" s="2" t="inlineStr">
        <is>
          <t>非标准化-无先例参考，需创新协调</t>
        </is>
      </c>
      <c r="FU50" s="2" t="inlineStr">
        <is>
          <t>极少（&lt;5%）</t>
        </is>
      </c>
      <c r="FV50" s="2" t="inlineStr">
        <is>
          <t>责任/风险负荷</t>
        </is>
      </c>
      <c r="FW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t="inlineStr">
        <is>
          <t>95f8e70d-b3de-4be8-9894-b38eee09045d</t>
        </is>
      </c>
      <c r="BT51" s="3" t="n">
        <v>5</v>
      </c>
      <c r="BU51" s="2" t="inlineStr">
        <is>
          <t>专业技术类</t>
        </is>
      </c>
      <c r="BV51" s="2" t="inlineStr">
        <is>
          <t>GS系统收款流程</t>
        </is>
      </c>
      <c r="BW51" s="2" t="inlineStr">
        <is>
          <t>2-5次</t>
        </is>
      </c>
      <c r="BX51" s="3" t="n">
        <v>2</v>
      </c>
      <c r="BY51" s="3" t="n">
        <v>5</v>
      </c>
      <c r="BZ51" s="2" t="inlineStr">
        <is>
          <t>A.20分钟以内</t>
        </is>
      </c>
      <c r="CA51" s="7" t="n">
        <v>0.33</v>
      </c>
      <c r="CB51" s="7" t="n">
        <v>0.33</v>
      </c>
      <c r="CC51" s="7" t="n">
        <v>0.66</v>
      </c>
      <c r="CD51" s="7" t="n">
        <v>1.65</v>
      </c>
      <c r="CE51" s="2" t="inlineStr">
        <is>
          <t>专业技术类</t>
        </is>
      </c>
      <c r="CF51" s="2"/>
      <c r="CG51" s="2" t="inlineStr">
        <is>
          <t>专业问题协调</t>
        </is>
      </c>
      <c r="CH51" s="2" t="inlineStr">
        <is>
          <t>岗位职责</t>
        </is>
      </c>
      <c r="CI51" s="2" t="inlineStr">
        <is>
          <t>重要且紧急</t>
        </is>
      </c>
      <c r="CJ51" s="2" t="inlineStr">
        <is>
          <t>半标准化-有流程框架，需专业经验</t>
        </is>
      </c>
      <c r="CK51" s="2" t="inlineStr">
        <is>
          <t>极少（&lt;5%）</t>
        </is>
      </c>
      <c r="CL51" s="2" t="inlineStr">
        <is>
          <t>责任/风险负荷</t>
        </is>
      </c>
      <c r="CM51" s="2"/>
      <c r="CN51" s="2"/>
      <c r="CO51" s="2"/>
      <c r="CP51" s="2"/>
      <c r="CQ51" s="2"/>
      <c r="CR51" s="2"/>
      <c r="CS51" s="2"/>
      <c r="CT51" s="2"/>
      <c r="CU51" s="2"/>
      <c r="CV51" s="2"/>
      <c r="CW51" s="2"/>
      <c r="CX51" s="2"/>
      <c r="CY51" s="2"/>
      <c r="CZ51" s="2"/>
      <c r="DA51" s="2"/>
      <c r="DB51" s="2"/>
      <c r="DC51" s="2"/>
      <c r="DD51" s="2"/>
      <c r="DE51" s="2"/>
      <c r="DF51" s="2"/>
      <c r="DG51" s="2"/>
      <c r="DH51" s="2"/>
      <c r="DI51" s="2" t="inlineStr">
        <is>
          <t>301df046-4585-4e47-b892-584597073a2a</t>
        </is>
      </c>
      <c r="DJ51" s="3" t="n">
        <v>5</v>
      </c>
      <c r="DK51" s="2"/>
      <c r="DL51" s="2" t="inlineStr">
        <is>
          <t>复核会计凭证正确性</t>
        </is>
      </c>
      <c r="DM51" s="2" t="inlineStr">
        <is>
          <t>4-8次</t>
        </is>
      </c>
      <c r="DN51" s="3" t="n">
        <v>4</v>
      </c>
      <c r="DO51" s="3" t="n">
        <v>8</v>
      </c>
      <c r="DP51" s="2" t="inlineStr">
        <is>
          <t>B.2小时以内</t>
        </is>
      </c>
      <c r="DQ51" s="7" t="n">
        <v>2</v>
      </c>
      <c r="DR51" s="7" t="n">
        <v>2</v>
      </c>
      <c r="DS51" s="7" t="n">
        <v>8</v>
      </c>
      <c r="DT51" s="7" t="n">
        <v>16</v>
      </c>
      <c r="DU51" s="2" t="inlineStr">
        <is>
          <t>专业技术类</t>
        </is>
      </c>
      <c r="DV51" s="2"/>
      <c r="DW51" s="2" t="inlineStr">
        <is>
          <t>专业问题协调</t>
        </is>
      </c>
      <c r="DX51" s="2" t="inlineStr">
        <is>
          <t>岗位职责</t>
        </is>
      </c>
      <c r="DY51" s="2" t="inlineStr">
        <is>
          <t>重要且紧急</t>
        </is>
      </c>
      <c r="DZ51" s="2" t="inlineStr">
        <is>
          <t>半标准化-有流程框架，需专业经验</t>
        </is>
      </c>
      <c r="EA51" s="2" t="inlineStr">
        <is>
          <t>极少（&lt;5%）</t>
        </is>
      </c>
      <c r="EB51" s="2" t="inlineStr">
        <is>
          <t>责任/风险负荷</t>
        </is>
      </c>
      <c r="EC51" s="2"/>
      <c r="ED51" s="2"/>
      <c r="EE51" s="2"/>
      <c r="EF51" s="2"/>
      <c r="EG51" s="2"/>
      <c r="EH51" s="2"/>
      <c r="EI51" s="2"/>
      <c r="EJ51" s="2"/>
      <c r="EK51" s="2"/>
      <c r="EL51" s="2"/>
      <c r="EM51" s="2"/>
      <c r="EN51" s="2"/>
      <c r="EO51" s="2"/>
      <c r="EP51" s="2"/>
      <c r="EQ51" s="2"/>
      <c r="ER51" s="2"/>
      <c r="ES51" s="2"/>
      <c r="ET51" s="2"/>
      <c r="EU51" s="2"/>
      <c r="EV51" s="2"/>
      <c r="EW51" s="2"/>
      <c r="EX51" s="2" t="inlineStr">
        <is>
          <t>7bc9fd11-1e38-4159-b161-6cc48868c78b</t>
        </is>
      </c>
      <c r="EY51" s="3" t="n">
        <v>5</v>
      </c>
      <c r="EZ51" s="2"/>
      <c r="FA51" s="2" t="inlineStr">
        <is>
          <t>回复往来询证函</t>
        </is>
      </c>
      <c r="FB51" s="2" t="inlineStr">
        <is>
          <t>每季1-2次</t>
        </is>
      </c>
      <c r="FC51" s="2" t="inlineStr">
        <is>
          <t>季</t>
        </is>
      </c>
      <c r="FD51" s="3" t="n">
        <v>1</v>
      </c>
      <c r="FE51" s="3" t="n">
        <v>2</v>
      </c>
      <c r="FF51" s="2" t="inlineStr">
        <is>
          <t>A.20分钟以内</t>
        </is>
      </c>
      <c r="FG51" s="7" t="n">
        <v>0.33</v>
      </c>
      <c r="FH51" s="7" t="n">
        <v>0.33</v>
      </c>
      <c r="FI51" s="7" t="n">
        <v>0</v>
      </c>
      <c r="FJ51" s="7" t="n">
        <v>0</v>
      </c>
      <c r="FK51" s="7" t="n">
        <v>0.33</v>
      </c>
      <c r="FL51" s="7" t="n">
        <v>0.66</v>
      </c>
      <c r="FM51" s="7" t="n">
        <v>0</v>
      </c>
      <c r="FN51" s="7" t="n">
        <v>0</v>
      </c>
      <c r="FO51" s="2" t="inlineStr">
        <is>
          <t>专业技术类</t>
        </is>
      </c>
      <c r="FP51" s="2"/>
      <c r="FQ51" s="2" t="inlineStr">
        <is>
          <t>专业问题协调</t>
        </is>
      </c>
      <c r="FR51" s="2" t="inlineStr">
        <is>
          <t>岗位职责</t>
        </is>
      </c>
      <c r="FS51" s="2" t="inlineStr">
        <is>
          <t>重要且紧急</t>
        </is>
      </c>
      <c r="FT51" s="2" t="inlineStr">
        <is>
          <t>非标准化-无先例参考，需创新协调</t>
        </is>
      </c>
      <c r="FU51" s="2" t="inlineStr">
        <is>
          <t>极少（&lt;5%）</t>
        </is>
      </c>
      <c r="FV51" s="2" t="inlineStr">
        <is>
          <t>责任/风险负荷</t>
        </is>
      </c>
      <c r="FW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t="inlineStr">
        <is>
          <t>83a8a3fe-6243-40db-a15a-97c9e4f6dd3e</t>
        </is>
      </c>
      <c r="BT52" s="3" t="n">
        <v>6</v>
      </c>
      <c r="BU52" s="2" t="inlineStr">
        <is>
          <t>专业技术类</t>
        </is>
      </c>
      <c r="BV52" s="2" t="inlineStr">
        <is>
          <t>GS资金类对账</t>
        </is>
      </c>
      <c r="BW52" s="2" t="inlineStr">
        <is>
          <t>1次</t>
        </is>
      </c>
      <c r="BX52" s="3" t="n">
        <v>1</v>
      </c>
      <c r="BY52" s="3" t="n">
        <v>1</v>
      </c>
      <c r="BZ52" s="2" t="inlineStr">
        <is>
          <t>A.20分钟以内</t>
        </is>
      </c>
      <c r="CA52" s="7" t="n">
        <v>0.33</v>
      </c>
      <c r="CB52" s="7" t="n">
        <v>0.33</v>
      </c>
      <c r="CC52" s="7" t="n">
        <v>0.33</v>
      </c>
      <c r="CD52" s="7" t="n">
        <v>0.33</v>
      </c>
      <c r="CE52" s="2" t="inlineStr">
        <is>
          <t>专业技术类</t>
        </is>
      </c>
      <c r="CF52" s="2"/>
      <c r="CG52" s="2" t="inlineStr">
        <is>
          <t>专业问题协调</t>
        </is>
      </c>
      <c r="CH52" s="2" t="inlineStr">
        <is>
          <t>岗位职责</t>
        </is>
      </c>
      <c r="CI52" s="2" t="inlineStr">
        <is>
          <t>重要且紧急</t>
        </is>
      </c>
      <c r="CJ52" s="2" t="inlineStr">
        <is>
          <t>半标准化-有流程框架，需专业经验</t>
        </is>
      </c>
      <c r="CK52" s="2" t="inlineStr">
        <is>
          <t>极少（&lt;5%）</t>
        </is>
      </c>
      <c r="CL52" s="2" t="inlineStr">
        <is>
          <t>责任/风险负荷</t>
        </is>
      </c>
      <c r="CM52" s="2"/>
      <c r="CN52" s="2"/>
      <c r="CO52" s="2"/>
      <c r="CP52" s="2"/>
      <c r="CQ52" s="2"/>
      <c r="CR52" s="2"/>
      <c r="CS52" s="2"/>
      <c r="CT52" s="2"/>
      <c r="CU52" s="2"/>
      <c r="CV52" s="2"/>
      <c r="CW52" s="2"/>
      <c r="CX52" s="2"/>
      <c r="CY52" s="2"/>
      <c r="CZ52" s="2"/>
      <c r="DA52" s="2"/>
      <c r="DB52" s="2"/>
      <c r="DC52" s="2"/>
      <c r="DD52" s="2"/>
      <c r="DE52" s="2"/>
      <c r="DF52" s="2"/>
      <c r="DG52" s="2"/>
      <c r="DH52" s="2"/>
      <c r="DI52" s="2" t="inlineStr">
        <is>
          <t>fe9cc6c7-156b-438a-bd01-04634990cf8a</t>
        </is>
      </c>
      <c r="DJ52" s="3" t="n">
        <v>6</v>
      </c>
      <c r="DK52" s="2"/>
      <c r="DL52" s="2" t="inlineStr">
        <is>
          <t>与现场沟通项目运行情况</t>
        </is>
      </c>
      <c r="DM52" s="2" t="inlineStr">
        <is>
          <t>4-8次</t>
        </is>
      </c>
      <c r="DN52" s="3" t="n">
        <v>4</v>
      </c>
      <c r="DO52" s="3" t="n">
        <v>8</v>
      </c>
      <c r="DP52" s="2" t="inlineStr">
        <is>
          <t>B.2小时以内</t>
        </is>
      </c>
      <c r="DQ52" s="7" t="n">
        <v>2</v>
      </c>
      <c r="DR52" s="7" t="n">
        <v>2</v>
      </c>
      <c r="DS52" s="7" t="n">
        <v>8</v>
      </c>
      <c r="DT52" s="7" t="n">
        <v>16</v>
      </c>
      <c r="DU52" s="2" t="inlineStr">
        <is>
          <t>专业技术类</t>
        </is>
      </c>
      <c r="DV52" s="2"/>
      <c r="DW52" s="2" t="inlineStr">
        <is>
          <t>专业问题协调</t>
        </is>
      </c>
      <c r="DX52" s="2" t="inlineStr">
        <is>
          <t>跨部门协同</t>
        </is>
      </c>
      <c r="DY52" s="2" t="inlineStr">
        <is>
          <t>重要且紧急</t>
        </is>
      </c>
      <c r="DZ52" s="2" t="inlineStr">
        <is>
          <t>非标准化-无先例参考，需创新协调</t>
        </is>
      </c>
      <c r="EA52" s="2" t="inlineStr">
        <is>
          <t>极少（&lt;5%）</t>
        </is>
      </c>
      <c r="EB52" s="2" t="inlineStr">
        <is>
          <t>沟通/协调负荷</t>
        </is>
      </c>
      <c r="EC52" s="2"/>
      <c r="ED52" s="2"/>
      <c r="EE52" s="2"/>
      <c r="EF52" s="2"/>
      <c r="EG52" s="2"/>
      <c r="EH52" s="2"/>
      <c r="EI52" s="2"/>
      <c r="EJ52" s="2"/>
      <c r="EK52" s="2"/>
      <c r="EL52" s="2"/>
      <c r="EM52" s="2"/>
      <c r="EN52" s="2"/>
      <c r="EO52" s="2"/>
      <c r="EP52" s="2"/>
      <c r="EQ52" s="2"/>
      <c r="ER52" s="2"/>
      <c r="ES52" s="2"/>
      <c r="ET52" s="2"/>
      <c r="EU52" s="2"/>
      <c r="EV52" s="2"/>
      <c r="EW52" s="2"/>
      <c r="EX52" s="2" t="inlineStr">
        <is>
          <t>7ae991f8-d11b-4129-bf70-d6e1f452890d</t>
        </is>
      </c>
      <c r="EY52" s="3" t="n">
        <v>6</v>
      </c>
      <c r="EZ52" s="2"/>
      <c r="FA52" s="2" t="inlineStr">
        <is>
          <t>及时向相关人员传达会计政策变化带来的影响</t>
        </is>
      </c>
      <c r="FB52" s="2" t="inlineStr">
        <is>
          <t>每季1-2次</t>
        </is>
      </c>
      <c r="FC52" s="2" t="inlineStr">
        <is>
          <t>季</t>
        </is>
      </c>
      <c r="FD52" s="3" t="n">
        <v>1</v>
      </c>
      <c r="FE52" s="3" t="n">
        <v>2</v>
      </c>
      <c r="FF52" s="2" t="inlineStr">
        <is>
          <t>A.20分钟以内</t>
        </is>
      </c>
      <c r="FG52" s="7" t="n">
        <v>0.33</v>
      </c>
      <c r="FH52" s="7" t="n">
        <v>0.33</v>
      </c>
      <c r="FI52" s="7" t="n">
        <v>0</v>
      </c>
      <c r="FJ52" s="7" t="n">
        <v>0</v>
      </c>
      <c r="FK52" s="7" t="n">
        <v>0.33</v>
      </c>
      <c r="FL52" s="7" t="n">
        <v>0.66</v>
      </c>
      <c r="FM52" s="7" t="n">
        <v>0</v>
      </c>
      <c r="FN52" s="7" t="n">
        <v>0</v>
      </c>
      <c r="FO52" s="2" t="inlineStr">
        <is>
          <t>专业技术类</t>
        </is>
      </c>
      <c r="FP52" s="2"/>
      <c r="FQ52" s="2" t="inlineStr">
        <is>
          <t>专业问题协调</t>
        </is>
      </c>
      <c r="FR52" s="2" t="inlineStr">
        <is>
          <t>岗位职责</t>
        </is>
      </c>
      <c r="FS52" s="2" t="inlineStr">
        <is>
          <t>重要且紧急</t>
        </is>
      </c>
      <c r="FT52" s="2" t="inlineStr">
        <is>
          <t>非标准化-无先例参考，需创新协调</t>
        </is>
      </c>
      <c r="FU52" s="2" t="inlineStr">
        <is>
          <t>极少（&lt;5%）</t>
        </is>
      </c>
      <c r="FV52" s="2" t="inlineStr">
        <is>
          <t>责任/风险负荷</t>
        </is>
      </c>
      <c r="FW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t="inlineStr">
        <is>
          <t>5abe8e58-386e-4400-b850-19cd327b3b86</t>
        </is>
      </c>
      <c r="BT53" s="3" t="n">
        <v>7</v>
      </c>
      <c r="BU53" s="2" t="inlineStr">
        <is>
          <t>专业技术类</t>
        </is>
      </c>
      <c r="BV53" s="2" t="inlineStr">
        <is>
          <t>GS票据类复核</t>
        </is>
      </c>
      <c r="BW53" s="2" t="inlineStr">
        <is>
          <t>2-5次</t>
        </is>
      </c>
      <c r="BX53" s="3" t="n">
        <v>2</v>
      </c>
      <c r="BY53" s="3" t="n">
        <v>5</v>
      </c>
      <c r="BZ53" s="2" t="inlineStr">
        <is>
          <t>A.20分钟以内</t>
        </is>
      </c>
      <c r="CA53" s="7" t="n">
        <v>0.33</v>
      </c>
      <c r="CB53" s="7" t="n">
        <v>0.33</v>
      </c>
      <c r="CC53" s="7" t="n">
        <v>0.66</v>
      </c>
      <c r="CD53" s="7" t="n">
        <v>1.65</v>
      </c>
      <c r="CE53" s="2" t="inlineStr">
        <is>
          <t>专业技术类</t>
        </is>
      </c>
      <c r="CF53" s="2"/>
      <c r="CG53" s="2" t="inlineStr">
        <is>
          <t>专业问题协调</t>
        </is>
      </c>
      <c r="CH53" s="2" t="inlineStr">
        <is>
          <t>岗位职责</t>
        </is>
      </c>
      <c r="CI53" s="2" t="inlineStr">
        <is>
          <t>重要且紧急</t>
        </is>
      </c>
      <c r="CJ53" s="2" t="inlineStr">
        <is>
          <t>半标准化-有流程框架，需专业经验</t>
        </is>
      </c>
      <c r="CK53" s="2" t="inlineStr">
        <is>
          <t>极少（&lt;5%）</t>
        </is>
      </c>
      <c r="CL53" s="2" t="inlineStr">
        <is>
          <t>责任/风险负荷</t>
        </is>
      </c>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t="inlineStr">
        <is>
          <t>34142620-0c1e-4b14-a418-9428cabdcc9b</t>
        </is>
      </c>
      <c r="EY53" s="3" t="n">
        <v>7</v>
      </c>
      <c r="EZ53" s="2"/>
      <c r="FA53" s="2" t="inlineStr">
        <is>
          <t>投标找发票</t>
        </is>
      </c>
      <c r="FB53" s="2" t="inlineStr">
        <is>
          <t>每月3次以上</t>
        </is>
      </c>
      <c r="FC53" s="2" t="inlineStr">
        <is>
          <t>月</t>
        </is>
      </c>
      <c r="FD53" s="3" t="n">
        <v>3</v>
      </c>
      <c r="FE53" s="3" t="n">
        <v>3</v>
      </c>
      <c r="FF53" s="2" t="inlineStr">
        <is>
          <t>B.2小时以内</t>
        </is>
      </c>
      <c r="FG53" s="7" t="n">
        <v>2</v>
      </c>
      <c r="FH53" s="7" t="n">
        <v>2</v>
      </c>
      <c r="FI53" s="7" t="n">
        <v>6</v>
      </c>
      <c r="FJ53" s="7" t="n">
        <v>6</v>
      </c>
      <c r="FK53" s="7" t="n">
        <v>0</v>
      </c>
      <c r="FL53" s="7" t="n">
        <v>0</v>
      </c>
      <c r="FM53" s="7" t="n">
        <v>0</v>
      </c>
      <c r="FN53" s="7" t="n">
        <v>0</v>
      </c>
      <c r="FO53" s="2" t="inlineStr">
        <is>
          <t>专业技术类</t>
        </is>
      </c>
      <c r="FP53" s="2"/>
      <c r="FQ53" s="2" t="inlineStr">
        <is>
          <t>专业问题协调</t>
        </is>
      </c>
      <c r="FR53" s="2" t="inlineStr">
        <is>
          <t>岗位职责</t>
        </is>
      </c>
      <c r="FS53" s="2" t="inlineStr">
        <is>
          <t>重要且紧急</t>
        </is>
      </c>
      <c r="FT53" s="2" t="inlineStr">
        <is>
          <t>非标准化-无先例参考，需创新协调</t>
        </is>
      </c>
      <c r="FU53" s="2" t="inlineStr">
        <is>
          <t>极少（&lt;5%）</t>
        </is>
      </c>
      <c r="FV53" s="2" t="inlineStr">
        <is>
          <t>责任/风险负荷</t>
        </is>
      </c>
      <c r="FW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t="inlineStr">
        <is>
          <t>946200b9-99f4-42d1-a71b-93ea5a11de7f</t>
        </is>
      </c>
      <c r="BT54" s="3" t="n">
        <v>8</v>
      </c>
      <c r="BU54" s="2" t="inlineStr">
        <is>
          <t>专业技术类</t>
        </is>
      </c>
      <c r="BV54" s="2" t="inlineStr">
        <is>
          <t>ERP系统项目资金表对账</t>
        </is>
      </c>
      <c r="BW54" s="2" t="inlineStr">
        <is>
          <t>1次</t>
        </is>
      </c>
      <c r="BX54" s="3" t="n">
        <v>1</v>
      </c>
      <c r="BY54" s="3" t="n">
        <v>1</v>
      </c>
      <c r="BZ54" s="2" t="inlineStr">
        <is>
          <t>A.20分钟以内</t>
        </is>
      </c>
      <c r="CA54" s="7" t="n">
        <v>0.33</v>
      </c>
      <c r="CB54" s="7" t="n">
        <v>0.33</v>
      </c>
      <c r="CC54" s="7" t="n">
        <v>0.33</v>
      </c>
      <c r="CD54" s="7" t="n">
        <v>0.33</v>
      </c>
      <c r="CE54" s="2" t="inlineStr">
        <is>
          <t>专业技术类</t>
        </is>
      </c>
      <c r="CF54" s="2"/>
      <c r="CG54" s="2" t="inlineStr">
        <is>
          <t>专业问题协调</t>
        </is>
      </c>
      <c r="CH54" s="2" t="inlineStr">
        <is>
          <t>岗位职责</t>
        </is>
      </c>
      <c r="CI54" s="2" t="inlineStr">
        <is>
          <t>重要且紧急</t>
        </is>
      </c>
      <c r="CJ54" s="2" t="inlineStr">
        <is>
          <t>半标准化-有流程框架，需专业经验</t>
        </is>
      </c>
      <c r="CK54" s="2" t="inlineStr">
        <is>
          <t>极少（&lt;5%）</t>
        </is>
      </c>
      <c r="CL54" s="2" t="inlineStr">
        <is>
          <t>责任/风险负荷</t>
        </is>
      </c>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t="inlineStr">
        <is>
          <t>ae0633ab-f87a-42b1-a02f-04139faa7c77</t>
        </is>
      </c>
      <c r="EY54" s="3" t="n">
        <v>8</v>
      </c>
      <c r="EZ54" s="2"/>
      <c r="FA54" s="2" t="inlineStr">
        <is>
          <t>法律诉讼找凭证</t>
        </is>
      </c>
      <c r="FB54" s="2" t="inlineStr">
        <is>
          <t>每季1-2次</t>
        </is>
      </c>
      <c r="FC54" s="2" t="inlineStr">
        <is>
          <t>季</t>
        </is>
      </c>
      <c r="FD54" s="3" t="n">
        <v>1</v>
      </c>
      <c r="FE54" s="3" t="n">
        <v>2</v>
      </c>
      <c r="FF54" s="2" t="inlineStr">
        <is>
          <t>C.2-4小时</t>
        </is>
      </c>
      <c r="FG54" s="7" t="n">
        <v>2</v>
      </c>
      <c r="FH54" s="7" t="n">
        <v>4</v>
      </c>
      <c r="FI54" s="7" t="n">
        <v>0</v>
      </c>
      <c r="FJ54" s="7" t="n">
        <v>0</v>
      </c>
      <c r="FK54" s="7" t="n">
        <v>2</v>
      </c>
      <c r="FL54" s="7" t="n">
        <v>8</v>
      </c>
      <c r="FM54" s="7" t="n">
        <v>0</v>
      </c>
      <c r="FN54" s="7" t="n">
        <v>0</v>
      </c>
      <c r="FO54" s="2" t="inlineStr">
        <is>
          <t>专业技术类</t>
        </is>
      </c>
      <c r="FP54" s="2"/>
      <c r="FQ54" s="2" t="inlineStr">
        <is>
          <t>专业问题协调</t>
        </is>
      </c>
      <c r="FR54" s="2" t="inlineStr">
        <is>
          <t>岗位职责</t>
        </is>
      </c>
      <c r="FS54" s="2" t="inlineStr">
        <is>
          <t>重要且紧急</t>
        </is>
      </c>
      <c r="FT54" s="2" t="inlineStr">
        <is>
          <t>非标准化-无先例参考，需创新协调</t>
        </is>
      </c>
      <c r="FU54" s="2" t="inlineStr">
        <is>
          <t>极少（&lt;5%）</t>
        </is>
      </c>
      <c r="FV54" s="2" t="inlineStr">
        <is>
          <t>责任/风险负荷</t>
        </is>
      </c>
      <c r="FW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t="inlineStr">
        <is>
          <t>8f490935-daf4-4e57-9078-8d6eb6182f62</t>
        </is>
      </c>
      <c r="BT55" s="3" t="n">
        <v>9</v>
      </c>
      <c r="BU55" s="2" t="inlineStr">
        <is>
          <t>专业技术类</t>
        </is>
      </c>
      <c r="BV55" s="2" t="inlineStr">
        <is>
          <t>打印回单</t>
        </is>
      </c>
      <c r="BW55" s="2" t="inlineStr">
        <is>
          <t>10次以上</t>
        </is>
      </c>
      <c r="BX55" s="3" t="n">
        <v>10</v>
      </c>
      <c r="BY55" s="3" t="n">
        <v>10</v>
      </c>
      <c r="BZ55" s="2" t="inlineStr">
        <is>
          <t>A.20分钟以内</t>
        </is>
      </c>
      <c r="CA55" s="7" t="n">
        <v>0.33</v>
      </c>
      <c r="CB55" s="7" t="n">
        <v>0.33</v>
      </c>
      <c r="CC55" s="7" t="n">
        <v>3.3</v>
      </c>
      <c r="CD55" s="7" t="n">
        <v>3.3</v>
      </c>
      <c r="CE55" s="2" t="inlineStr">
        <is>
          <t>专业技术类</t>
        </is>
      </c>
      <c r="CF55" s="2"/>
      <c r="CG55" s="2" t="inlineStr">
        <is>
          <t>专业问题协调</t>
        </is>
      </c>
      <c r="CH55" s="2" t="inlineStr">
        <is>
          <t>岗位职责</t>
        </is>
      </c>
      <c r="CI55" s="2" t="inlineStr">
        <is>
          <t>重要且紧急</t>
        </is>
      </c>
      <c r="CJ55" s="2" t="inlineStr">
        <is>
          <t>半标准化-有流程框架，需专业经验</t>
        </is>
      </c>
      <c r="CK55" s="2" t="inlineStr">
        <is>
          <t>极少（&lt;5%）</t>
        </is>
      </c>
      <c r="CL55" s="2" t="inlineStr">
        <is>
          <t>责任/风险负荷</t>
        </is>
      </c>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t="inlineStr">
        <is>
          <t>18d3b8bf-1360-416a-9c6d-593409f35289</t>
        </is>
      </c>
      <c r="EY55" s="3" t="n">
        <v>9</v>
      </c>
      <c r="EZ55" s="2"/>
      <c r="FA55" s="2" t="inlineStr">
        <is>
          <t>开具收据</t>
        </is>
      </c>
      <c r="FB55" s="2" t="inlineStr">
        <is>
          <t>每月3次以上</t>
        </is>
      </c>
      <c r="FC55" s="2" t="inlineStr">
        <is>
          <t>月</t>
        </is>
      </c>
      <c r="FD55" s="3" t="n">
        <v>3</v>
      </c>
      <c r="FE55" s="3" t="n">
        <v>3</v>
      </c>
      <c r="FF55" s="2" t="inlineStr">
        <is>
          <t>A.20分钟以内</t>
        </is>
      </c>
      <c r="FG55" s="7" t="n">
        <v>0.33</v>
      </c>
      <c r="FH55" s="7" t="n">
        <v>0.33</v>
      </c>
      <c r="FI55" s="7" t="n">
        <v>0.99</v>
      </c>
      <c r="FJ55" s="7" t="n">
        <v>0.99</v>
      </c>
      <c r="FK55" s="7" t="n">
        <v>0</v>
      </c>
      <c r="FL55" s="7" t="n">
        <v>0</v>
      </c>
      <c r="FM55" s="7" t="n">
        <v>0</v>
      </c>
      <c r="FN55" s="7" t="n">
        <v>0</v>
      </c>
      <c r="FO55" s="2" t="inlineStr">
        <is>
          <t>专业技术类</t>
        </is>
      </c>
      <c r="FP55" s="2"/>
      <c r="FQ55" s="2" t="inlineStr">
        <is>
          <t>专业问题协调</t>
        </is>
      </c>
      <c r="FR55" s="2" t="inlineStr">
        <is>
          <t>岗位职责</t>
        </is>
      </c>
      <c r="FS55" s="2" t="inlineStr">
        <is>
          <t>重要且紧急</t>
        </is>
      </c>
      <c r="FT55" s="2" t="inlineStr">
        <is>
          <t>非标准化-无先例参考，需创新协调</t>
        </is>
      </c>
      <c r="FU55" s="2" t="inlineStr">
        <is>
          <t>极少（&lt;5%）</t>
        </is>
      </c>
      <c r="FV55" s="2" t="inlineStr">
        <is>
          <t>责任/风险负荷</t>
        </is>
      </c>
      <c r="FW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t="inlineStr">
        <is>
          <t>5961c522-81ef-455f-b513-56b0c4b103ba</t>
        </is>
      </c>
      <c r="BT56" s="3" t="n">
        <v>10</v>
      </c>
      <c r="BU56" s="2" t="inlineStr">
        <is>
          <t>专业技术类</t>
        </is>
      </c>
      <c r="BV56" s="2" t="inlineStr">
        <is>
          <t>整理、复核原始凭证</t>
        </is>
      </c>
      <c r="BW56" s="2" t="inlineStr">
        <is>
          <t>10次以上</t>
        </is>
      </c>
      <c r="BX56" s="3" t="n">
        <v>10</v>
      </c>
      <c r="BY56" s="3" t="n">
        <v>10</v>
      </c>
      <c r="BZ56" s="2" t="inlineStr">
        <is>
          <t>A.20分钟以内</t>
        </is>
      </c>
      <c r="CA56" s="7" t="n">
        <v>0.33</v>
      </c>
      <c r="CB56" s="7" t="n">
        <v>0.33</v>
      </c>
      <c r="CC56" s="7" t="n">
        <v>3.3</v>
      </c>
      <c r="CD56" s="7" t="n">
        <v>3.3</v>
      </c>
      <c r="CE56" s="2" t="inlineStr">
        <is>
          <t>专业技术类</t>
        </is>
      </c>
      <c r="CF56" s="2"/>
      <c r="CG56" s="2" t="inlineStr">
        <is>
          <t>专业问题协调</t>
        </is>
      </c>
      <c r="CH56" s="2" t="inlineStr">
        <is>
          <t>岗位职责</t>
        </is>
      </c>
      <c r="CI56" s="2" t="inlineStr">
        <is>
          <t>重要且紧急</t>
        </is>
      </c>
      <c r="CJ56" s="2" t="inlineStr">
        <is>
          <t>半标准化-有流程框架，需专业经验</t>
        </is>
      </c>
      <c r="CK56" s="2" t="inlineStr">
        <is>
          <t>极少（&lt;5%）</t>
        </is>
      </c>
      <c r="CL56" s="2" t="inlineStr">
        <is>
          <t>责任/风险负荷</t>
        </is>
      </c>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t="inlineStr">
        <is>
          <t>5af07504-48dd-49b1-8dde-74d2c5b0a7a6</t>
        </is>
      </c>
      <c r="BT57" s="3" t="n">
        <v>11</v>
      </c>
      <c r="BU57" s="2" t="inlineStr">
        <is>
          <t>专业技术类</t>
        </is>
      </c>
      <c r="BV57" s="2" t="inlineStr">
        <is>
          <t>进项税认证</t>
        </is>
      </c>
      <c r="BW57" s="2" t="inlineStr">
        <is>
          <t>10次以上</t>
        </is>
      </c>
      <c r="BX57" s="3" t="n">
        <v>10</v>
      </c>
      <c r="BY57" s="3" t="n">
        <v>10</v>
      </c>
      <c r="BZ57" s="2" t="inlineStr">
        <is>
          <t>A.20分钟以内</t>
        </is>
      </c>
      <c r="CA57" s="7" t="n">
        <v>0.33</v>
      </c>
      <c r="CB57" s="7" t="n">
        <v>0.33</v>
      </c>
      <c r="CC57" s="7" t="n">
        <v>3.3</v>
      </c>
      <c r="CD57" s="7" t="n">
        <v>3.3</v>
      </c>
      <c r="CE57" s="2" t="inlineStr">
        <is>
          <t>专业技术类</t>
        </is>
      </c>
      <c r="CF57" s="2"/>
      <c r="CG57" s="2" t="inlineStr">
        <is>
          <t>专业问题协调</t>
        </is>
      </c>
      <c r="CH57" s="2" t="inlineStr">
        <is>
          <t>岗位职责</t>
        </is>
      </c>
      <c r="CI57" s="2" t="inlineStr">
        <is>
          <t>重要且紧急</t>
        </is>
      </c>
      <c r="CJ57" s="2" t="inlineStr">
        <is>
          <t>半标准化-有流程框架，需专业经验</t>
        </is>
      </c>
      <c r="CK57" s="2" t="inlineStr">
        <is>
          <t>极少（&lt;5%）</t>
        </is>
      </c>
      <c r="CL57" s="2" t="inlineStr">
        <is>
          <t>责任/风险负荷</t>
        </is>
      </c>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row>
    <row r="58">
      <c r="A58" s="2" t="inlineStr">
        <is>
          <t>2026-05-26 09:01:14</t>
        </is>
      </c>
      <c r="B58" s="2" t="inlineStr">
        <is>
          <t>汤媛</t>
        </is>
      </c>
      <c r="C58" s="2" t="inlineStr">
        <is>
          <t>市场开发部</t>
        </is>
      </c>
      <c r="D58" s="2" t="inlineStr">
        <is>
          <t>女</t>
        </is>
      </c>
      <c r="E58" s="2" t="inlineStr">
        <is>
          <t>34040319751102126X</t>
        </is>
      </c>
      <c r="F58" s="2" t="inlineStr">
        <is>
          <t>主管工程师</t>
        </is>
      </c>
      <c r="G58" s="2" t="inlineStr">
        <is>
          <t>1995-08</t>
        </is>
      </c>
      <c r="H58" s="2" t="inlineStr">
        <is>
          <t>淮南化校</t>
        </is>
      </c>
      <c r="I58" s="2" t="inlineStr">
        <is>
          <t>仪表</t>
        </is>
      </c>
      <c r="J58" s="2" t="inlineStr">
        <is>
          <t>中专</t>
        </is>
      </c>
      <c r="K58" s="2"/>
      <c r="L58" s="6">
        <f>HYPERLINK("https://www.h3yun.com/Form/Attachments/?schemacode=D1483577de63ede327d4760b10664bd57671d7e&amp;bizObjectId=f2ec53fa-08db-418e-842e-53c58e2729d0&amp;name=F0000046","点击查看")</f>
        <v>0</v>
      </c>
      <c r="M58" s="2" t="inlineStr">
        <is>
          <t>无</t>
        </is>
      </c>
      <c r="N58" s="2" t="inlineStr">
        <is>
          <t>每日工作</t>
        </is>
      </c>
      <c r="O58" s="2" t="inlineStr">
        <is>
          <t>46岁及以上</t>
        </is>
      </c>
      <c r="P58" s="2" t="inlineStr">
        <is>
          <t>C.已婚已育</t>
        </is>
      </c>
      <c r="Q58" s="2" t="inlineStr">
        <is>
          <t>A.否</t>
        </is>
      </c>
      <c r="R58" s="2" t="inlineStr">
        <is>
          <t>A.否</t>
        </is>
      </c>
      <c r="S58" s="2" t="inlineStr">
        <is>
          <t>A.保持当前工作内容和节奏，收入相对稳定即可</t>
        </is>
      </c>
      <c r="T58" s="2" t="inlineStr">
        <is>
          <t>A.基本满意，希望保持</t>
        </is>
      </c>
      <c r="U58" s="2" t="inlineStr">
        <is>
          <t>C.增加弹性和稳定性</t>
        </is>
      </c>
      <c r="V58" s="2" t="inlineStr">
        <is>
          <t>D.已形成较稳定优化做法</t>
        </is>
      </c>
      <c r="W58" s="2"/>
      <c r="X58" s="2" t="inlineStr">
        <is>
          <t>B.满负荷 (100%-120%)</t>
        </is>
      </c>
      <c r="Y58" s="2" t="inlineStr">
        <is>
          <t>A.岗位工作量饱和，已达人效上限</t>
        </is>
      </c>
      <c r="Z58" s="2" t="inlineStr">
        <is>
          <t>信息化管理流程</t>
        </is>
      </c>
      <c r="AA58" s="2" t="inlineStr">
        <is>
          <t>信息化管理流程</t>
        </is>
      </c>
      <c r="AB58" s="2" t="inlineStr">
        <is>
          <t>专业问题协调</t>
        </is>
      </c>
      <c r="AC58" s="2" t="inlineStr">
        <is>
          <t>A.高度匹配（得心应手）</t>
        </is>
      </c>
      <c r="AD58" s="2" t="inlineStr">
        <is>
          <t>无</t>
        </is>
      </c>
      <c r="AE58" s="2"/>
      <c r="AF58" s="2"/>
      <c r="AG58" s="2" t="inlineStr">
        <is>
          <t>B.配偶为公司家属，常驻项目，个人承担更多</t>
        </is>
      </c>
      <c r="AH58" s="2" t="inlineStr">
        <is>
          <t>C.无意向</t>
        </is>
      </c>
      <c r="AI58" s="7" t="n">
        <v>4</v>
      </c>
      <c r="AJ58" s="7" t="n">
        <v>8</v>
      </c>
      <c r="AK58" s="7" t="n">
        <v>0</v>
      </c>
      <c r="AL58" s="7" t="n">
        <v>0</v>
      </c>
      <c r="AM58" s="7" t="n">
        <v>0</v>
      </c>
      <c r="AN58" s="7" t="n">
        <v>0</v>
      </c>
      <c r="AO58" s="7" t="n">
        <v>0</v>
      </c>
      <c r="AP58" s="7" t="n">
        <v>0</v>
      </c>
      <c r="AQ58" s="7" t="n">
        <v>0</v>
      </c>
      <c r="AR58" s="7" t="n">
        <v>0</v>
      </c>
      <c r="AS58" s="7" t="n">
        <v>4</v>
      </c>
      <c r="AT58" s="7" t="n">
        <v>8</v>
      </c>
      <c r="AU58" s="7" t="n">
        <v>6</v>
      </c>
      <c r="AV58" s="2" t="inlineStr">
        <is>
          <t>欠饱和</t>
        </is>
      </c>
      <c r="AW58" s="2" t="inlineStr">
        <is>
          <t>不一致</t>
        </is>
      </c>
      <c r="AX58" s="2" t="inlineStr">
        <is>
          <t>f2ec53fa-08db-418e-842e-53c58e2729d0</t>
        </is>
      </c>
      <c r="AY58" s="2" t="inlineStr">
        <is>
          <t>市场开发部    汤媛</t>
        </is>
      </c>
      <c r="AZ58" s="2" t="inlineStr">
        <is>
          <t>Anonymous</t>
        </is>
      </c>
      <c r="BA58" s="2" t="inlineStr">
        <is>
          <t>Anonymous</t>
        </is>
      </c>
      <c r="BB58" s="2"/>
      <c r="BC58" s="2" t="inlineStr">
        <is>
          <t>2026-05-26 09:01:14</t>
        </is>
      </c>
      <c r="BD58" s="3" t="n">
        <v>1975</v>
      </c>
      <c r="BE58" s="3" t="n">
        <v>51</v>
      </c>
      <c r="BF58" s="2" t="inlineStr">
        <is>
          <t>A.无此需求</t>
        </is>
      </c>
      <c r="BG58" s="2" t="inlineStr">
        <is>
          <t>已生效</t>
        </is>
      </c>
      <c r="BH58" s="2" t="inlineStr">
        <is>
          <t>41047983-7606-41b4-a917-27f7074d3372</t>
        </is>
      </c>
      <c r="BI58" s="3" t="n">
        <v>1</v>
      </c>
      <c r="BJ58" s="2"/>
      <c r="BK58" s="2"/>
      <c r="BL58" s="2"/>
      <c r="BM58" s="2"/>
      <c r="BN58" s="2"/>
      <c r="BO58" s="2"/>
      <c r="BP58" s="2"/>
      <c r="BQ58" s="2"/>
      <c r="BR58" s="2"/>
      <c r="BS58" s="2" t="inlineStr">
        <is>
          <t>f0f3a8bd-a50d-4c67-b8e9-0983f9a4336c</t>
        </is>
      </c>
      <c r="BT58" s="3" t="n">
        <v>1</v>
      </c>
      <c r="BU58" s="2" t="inlineStr">
        <is>
          <t>专业技术类</t>
        </is>
      </c>
      <c r="BV58" s="2" t="inlineStr">
        <is>
          <t>无</t>
        </is>
      </c>
      <c r="BW58" s="2" t="inlineStr">
        <is>
          <t>1次</t>
        </is>
      </c>
      <c r="BX58" s="3" t="n">
        <v>1</v>
      </c>
      <c r="BY58" s="3" t="n">
        <v>1</v>
      </c>
      <c r="BZ58" s="2" t="inlineStr">
        <is>
          <t>D.4-8小时</t>
        </is>
      </c>
      <c r="CA58" s="7" t="n">
        <v>4</v>
      </c>
      <c r="CB58" s="7" t="n">
        <v>8</v>
      </c>
      <c r="CC58" s="7" t="n">
        <v>4</v>
      </c>
      <c r="CD58" s="7" t="n">
        <v>8</v>
      </c>
      <c r="CE58" s="2" t="inlineStr">
        <is>
          <t>专业技术类</t>
        </is>
      </c>
      <c r="CF58" s="2"/>
      <c r="CG58" s="2" t="inlineStr">
        <is>
          <t>专业问题协调</t>
        </is>
      </c>
      <c r="CH58" s="2" t="inlineStr">
        <is>
          <t>部门计划</t>
        </is>
      </c>
      <c r="CI58" s="2" t="inlineStr">
        <is>
          <t>重要且紧急</t>
        </is>
      </c>
      <c r="CJ58" s="2" t="inlineStr">
        <is>
          <t>非标准化-无先例参考，需创新协调</t>
        </is>
      </c>
      <c r="CK58" s="2" t="inlineStr">
        <is>
          <t>低频（5%-10%）</t>
        </is>
      </c>
      <c r="CL58" s="2" t="inlineStr">
        <is>
          <t>责任/风险负荷</t>
        </is>
      </c>
      <c r="CM58" s="2" t="inlineStr">
        <is>
          <t>无</t>
        </is>
      </c>
      <c r="CN58" s="2" t="inlineStr">
        <is>
          <t>5b8a6aaf-7e77-4cf8-ba8c-0e62859a9498</t>
        </is>
      </c>
      <c r="CO58" s="3" t="n">
        <v>1</v>
      </c>
      <c r="CP58" s="2"/>
      <c r="CQ58" s="2"/>
      <c r="CR58" s="2"/>
      <c r="CS58" s="3"/>
      <c r="CT58" s="3"/>
      <c r="CU58" s="2"/>
      <c r="CV58" s="3"/>
      <c r="CW58" s="3"/>
      <c r="CX58" s="7" t="n">
        <v>0</v>
      </c>
      <c r="CY58" s="7" t="n">
        <v>0</v>
      </c>
      <c r="CZ58" s="2"/>
      <c r="DA58" s="2"/>
      <c r="DB58" s="2"/>
      <c r="DC58" s="2"/>
      <c r="DD58" s="2"/>
      <c r="DE58" s="2"/>
      <c r="DF58" s="2"/>
      <c r="DG58" s="2"/>
      <c r="DH58" s="2"/>
      <c r="DI58" s="2" t="inlineStr">
        <is>
          <t>f99c0518-7766-40b3-8838-77cd2cd3ed2a</t>
        </is>
      </c>
      <c r="DJ58" s="3" t="n">
        <v>1</v>
      </c>
      <c r="DK58" s="2"/>
      <c r="DL58" s="2"/>
      <c r="DM58" s="2"/>
      <c r="DN58" s="3"/>
      <c r="DO58" s="3"/>
      <c r="DP58" s="2"/>
      <c r="DQ58" s="3"/>
      <c r="DR58" s="3"/>
      <c r="DS58" s="7" t="n">
        <v>0</v>
      </c>
      <c r="DT58" s="7" t="n">
        <v>0</v>
      </c>
      <c r="DU58" s="2"/>
      <c r="DV58" s="2"/>
      <c r="DW58" s="2"/>
      <c r="DX58" s="2"/>
      <c r="DY58" s="2"/>
      <c r="DZ58" s="2"/>
      <c r="EA58" s="2"/>
      <c r="EB58" s="2"/>
      <c r="EC58" s="2"/>
      <c r="ED58" s="2" t="inlineStr">
        <is>
          <t>981c414a-7ac9-4b01-86ad-84c672195717</t>
        </is>
      </c>
      <c r="EE58" s="3" t="n">
        <v>1</v>
      </c>
      <c r="EF58" s="2"/>
      <c r="EG58" s="2"/>
      <c r="EH58" s="2"/>
      <c r="EI58" s="3"/>
      <c r="EJ58" s="2"/>
      <c r="EK58" s="3"/>
      <c r="EL58" s="3"/>
      <c r="EM58" s="7" t="n">
        <v>0</v>
      </c>
      <c r="EN58" s="7" t="n">
        <v>0</v>
      </c>
      <c r="EO58" s="2"/>
      <c r="EP58" s="2"/>
      <c r="EQ58" s="2"/>
      <c r="ER58" s="2"/>
      <c r="ES58" s="2"/>
      <c r="ET58" s="2"/>
      <c r="EU58" s="2"/>
      <c r="EV58" s="2"/>
      <c r="EW58" s="2"/>
      <c r="EX58" s="2" t="inlineStr">
        <is>
          <t>b88398f0-14e1-4841-acd5-8bc14fb3b901</t>
        </is>
      </c>
      <c r="EY58" s="3" t="n">
        <v>1</v>
      </c>
      <c r="EZ58" s="2"/>
      <c r="FA58" s="2"/>
      <c r="FB58" s="2"/>
      <c r="FC58" s="2"/>
      <c r="FD58" s="3"/>
      <c r="FE58" s="3"/>
      <c r="FF58" s="2"/>
      <c r="FG58" s="3"/>
      <c r="FH58" s="3"/>
      <c r="FI58" s="7" t="n">
        <v>0</v>
      </c>
      <c r="FJ58" s="7" t="n">
        <v>0</v>
      </c>
      <c r="FK58" s="7" t="n">
        <v>0</v>
      </c>
      <c r="FL58" s="7" t="n">
        <v>0</v>
      </c>
      <c r="FM58" s="7" t="n">
        <v>0</v>
      </c>
      <c r="FN58" s="7" t="n">
        <v>0</v>
      </c>
      <c r="FO58" s="2"/>
      <c r="FP58" s="2"/>
      <c r="FQ58" s="2"/>
      <c r="FR58" s="2"/>
      <c r="FS58" s="2"/>
      <c r="FT58" s="2"/>
      <c r="FU58" s="2"/>
      <c r="FV58" s="2"/>
      <c r="FW58" s="2"/>
    </row>
    <row r="59">
      <c r="A59" s="2" t="inlineStr">
        <is>
          <t>2026-05-25 17:03:52</t>
        </is>
      </c>
      <c r="B59" s="2" t="inlineStr">
        <is>
          <t>李兰兰</t>
        </is>
      </c>
      <c r="C59" s="2" t="inlineStr">
        <is>
          <t>市场开发部</t>
        </is>
      </c>
      <c r="D59" s="2" t="inlineStr">
        <is>
          <t>女</t>
        </is>
      </c>
      <c r="E59" s="2" t="inlineStr">
        <is>
          <t>340323198206144727</t>
        </is>
      </c>
      <c r="F59" s="2" t="inlineStr">
        <is>
          <t>主管工程师</t>
        </is>
      </c>
      <c r="G59" s="2" t="inlineStr">
        <is>
          <t>2005-08</t>
        </is>
      </c>
      <c r="H59" s="2" t="inlineStr">
        <is>
          <t>安徽理工大学</t>
        </is>
      </c>
      <c r="I59" s="2" t="inlineStr">
        <is>
          <t>化机</t>
        </is>
      </c>
      <c r="J59" s="2" t="inlineStr">
        <is>
          <t>大专</t>
        </is>
      </c>
      <c r="K59" s="2"/>
      <c r="L59" s="6">
        <f>HYPERLINK("https://www.h3yun.com/Form/Attachments/?schemacode=D1483577de63ede327d4760b10664bd57671d7e&amp;bizObjectId=17db01a2-87f7-44c4-a8c0-5fad7830a26c&amp;name=F0000046","点击查看")</f>
        <v>0</v>
      </c>
      <c r="M59" s="2" t="inlineStr">
        <is>
          <t>无</t>
        </is>
      </c>
      <c r="N59" s="2" t="inlineStr">
        <is>
          <t>每日工作</t>
        </is>
      </c>
      <c r="O59" s="2" t="inlineStr">
        <is>
          <t>41-45岁</t>
        </is>
      </c>
      <c r="P59" s="2" t="inlineStr">
        <is>
          <t>C.已婚已育</t>
        </is>
      </c>
      <c r="Q59" s="2" t="inlineStr">
        <is>
          <t>B.是，主要照护子女</t>
        </is>
      </c>
      <c r="R59" s="2" t="inlineStr">
        <is>
          <t>A.否</t>
        </is>
      </c>
      <c r="S59" s="2" t="inlineStr">
        <is>
          <t>A.保持当前工作内容和节奏，收入相对稳定即可</t>
        </is>
      </c>
      <c r="T59" s="2" t="inlineStr">
        <is>
          <t>A.基本满意，希望保持</t>
        </is>
      </c>
      <c r="U59" s="2" t="inlineStr">
        <is>
          <t>C.增加弹性和稳定性</t>
        </is>
      </c>
      <c r="V59" s="2" t="inlineStr">
        <is>
          <t>D.已形成较稳定优化做法</t>
        </is>
      </c>
      <c r="W59" s="2"/>
      <c r="X59" s="2" t="inlineStr">
        <is>
          <t>C.均衡 (80%-100%)</t>
        </is>
      </c>
      <c r="Y59" s="2" t="inlineStr">
        <is>
          <t>G.接收到任务分配单完成周期内要求的加班;I.因正常工作任务截止日遇上节假日所需加班</t>
        </is>
      </c>
      <c r="Z59" s="2" t="inlineStr">
        <is>
          <t>专项统计</t>
        </is>
      </c>
      <c r="AA59" s="2" t="inlineStr">
        <is>
          <t>无</t>
        </is>
      </c>
      <c r="AB59" s="2" t="inlineStr">
        <is>
          <t>协同办公流程</t>
        </is>
      </c>
      <c r="AC59" s="2" t="inlineStr">
        <is>
          <t>A.高度匹配（得心应手）</t>
        </is>
      </c>
      <c r="AD59" s="2" t="inlineStr">
        <is>
          <t>无</t>
        </is>
      </c>
      <c r="AE59" s="2" t="inlineStr">
        <is>
          <t>投标主要工作内容是整理分类投标清单工作量、提出主材询价清单，成本测算、定额组价（安装+材料）、成本及报价分析、调整报价及报表等，设定选项与工作内容未必完全贴合，故在此说明</t>
        </is>
      </c>
      <c r="AF59" s="2"/>
      <c r="AG59" s="2" t="inlineStr">
        <is>
          <t>A.配偶为公司家属，常驻南京，不影响</t>
        </is>
      </c>
      <c r="AH59" s="2" t="inlineStr">
        <is>
          <t>C.无意向</t>
        </is>
      </c>
      <c r="AI59" s="7" t="n">
        <v>8</v>
      </c>
      <c r="AJ59" s="7" t="n">
        <v>8</v>
      </c>
      <c r="AK59" s="7" t="n">
        <v>0</v>
      </c>
      <c r="AL59" s="7" t="n">
        <v>0</v>
      </c>
      <c r="AM59" s="7" t="n">
        <v>0</v>
      </c>
      <c r="AN59" s="7" t="n">
        <v>0</v>
      </c>
      <c r="AO59" s="7" t="n">
        <v>0</v>
      </c>
      <c r="AP59" s="7" t="n">
        <v>0</v>
      </c>
      <c r="AQ59" s="7" t="n">
        <v>0</v>
      </c>
      <c r="AR59" s="7" t="n">
        <v>0</v>
      </c>
      <c r="AS59" s="7" t="n">
        <v>8</v>
      </c>
      <c r="AT59" s="7" t="n">
        <v>8</v>
      </c>
      <c r="AU59" s="7" t="n">
        <v>8</v>
      </c>
      <c r="AV59" s="2" t="inlineStr">
        <is>
          <t>满负荷</t>
        </is>
      </c>
      <c r="AW59" s="2" t="inlineStr">
        <is>
          <t>不一致</t>
        </is>
      </c>
      <c r="AX59" s="2" t="inlineStr">
        <is>
          <t>17db01a2-87f7-44c4-a8c0-5fad7830a26c</t>
        </is>
      </c>
      <c r="AY59" s="2" t="inlineStr">
        <is>
          <t>市场开发部    李兰兰</t>
        </is>
      </c>
      <c r="AZ59" s="2" t="inlineStr">
        <is>
          <t>Anonymous</t>
        </is>
      </c>
      <c r="BA59" s="2" t="inlineStr">
        <is>
          <t>Anonymous</t>
        </is>
      </c>
      <c r="BB59" s="2"/>
      <c r="BC59" s="2" t="inlineStr">
        <is>
          <t>2026-05-25 17:03:52</t>
        </is>
      </c>
      <c r="BD59" s="3" t="n">
        <v>1982</v>
      </c>
      <c r="BE59" s="3" t="n">
        <v>44</v>
      </c>
      <c r="BF59" s="2" t="inlineStr">
        <is>
          <t>A.无此需求</t>
        </is>
      </c>
      <c r="BG59" s="2" t="inlineStr">
        <is>
          <t>已生效</t>
        </is>
      </c>
      <c r="BH59" s="2" t="inlineStr">
        <is>
          <t>66d6c65d-909e-44b7-b6df-b7122bbeb052</t>
        </is>
      </c>
      <c r="BI59" s="3" t="n">
        <v>1</v>
      </c>
      <c r="BJ59" s="2"/>
      <c r="BK59" s="2"/>
      <c r="BL59" s="2"/>
      <c r="BM59" s="2"/>
      <c r="BN59" s="2"/>
      <c r="BO59" s="2"/>
      <c r="BP59" s="2"/>
      <c r="BQ59" s="2"/>
      <c r="BR59" s="2"/>
      <c r="BS59" s="2" t="inlineStr">
        <is>
          <t>abaa5e29-205d-4a1a-9778-e85f3684dba4</t>
        </is>
      </c>
      <c r="BT59" s="3" t="n">
        <v>1</v>
      </c>
      <c r="BU59" s="2" t="inlineStr">
        <is>
          <t>数据报表类</t>
        </is>
      </c>
      <c r="BV59" s="2" t="inlineStr">
        <is>
          <t>投标工作量测算，报价清单组价及报价分析</t>
        </is>
      </c>
      <c r="BW59" s="2" t="inlineStr">
        <is>
          <t>1次</t>
        </is>
      </c>
      <c r="BX59" s="3" t="n">
        <v>1</v>
      </c>
      <c r="BY59" s="3" t="n">
        <v>1</v>
      </c>
      <c r="BZ59" s="2" t="inlineStr">
        <is>
          <t>E.8小时以上</t>
        </is>
      </c>
      <c r="CA59" s="7" t="n">
        <v>8</v>
      </c>
      <c r="CB59" s="7" t="n">
        <v>8</v>
      </c>
      <c r="CC59" s="7" t="n">
        <v>8</v>
      </c>
      <c r="CD59" s="7" t="n">
        <v>8</v>
      </c>
      <c r="CE59" s="2" t="inlineStr">
        <is>
          <t>数据报表类</t>
        </is>
      </c>
      <c r="CF59" s="2"/>
      <c r="CG59" s="2" t="inlineStr">
        <is>
          <t>专项统计</t>
        </is>
      </c>
      <c r="CH59" s="2" t="inlineStr">
        <is>
          <t>上级指令</t>
        </is>
      </c>
      <c r="CI59" s="2" t="inlineStr">
        <is>
          <t>重要且紧急</t>
        </is>
      </c>
      <c r="CJ59" s="2" t="inlineStr">
        <is>
          <t>半标准化-有流程框架，需专业经验</t>
        </is>
      </c>
      <c r="CK59" s="2" t="inlineStr">
        <is>
          <t>极少（&lt;5%）</t>
        </is>
      </c>
      <c r="CL59" s="2" t="inlineStr">
        <is>
          <t>脑力/复杂度负荷</t>
        </is>
      </c>
      <c r="CM59" s="2"/>
      <c r="CN59" s="2" t="inlineStr">
        <is>
          <t>f4d6a06e-3eb6-41e1-a6a8-5a10d229d7c2</t>
        </is>
      </c>
      <c r="CO59" s="3" t="n">
        <v>1</v>
      </c>
      <c r="CP59" s="2"/>
      <c r="CQ59" s="2"/>
      <c r="CR59" s="2"/>
      <c r="CS59" s="3"/>
      <c r="CT59" s="3"/>
      <c r="CU59" s="2"/>
      <c r="CV59" s="3"/>
      <c r="CW59" s="3"/>
      <c r="CX59" s="7" t="n">
        <v>0</v>
      </c>
      <c r="CY59" s="7" t="n">
        <v>0</v>
      </c>
      <c r="CZ59" s="2"/>
      <c r="DA59" s="2"/>
      <c r="DB59" s="2"/>
      <c r="DC59" s="2"/>
      <c r="DD59" s="2"/>
      <c r="DE59" s="2"/>
      <c r="DF59" s="2"/>
      <c r="DG59" s="2"/>
      <c r="DH59" s="2"/>
      <c r="DI59" s="2" t="inlineStr">
        <is>
          <t>0910ab41-fadd-4154-879b-4d7dd7549430</t>
        </is>
      </c>
      <c r="DJ59" s="3" t="n">
        <v>1</v>
      </c>
      <c r="DK59" s="2"/>
      <c r="DL59" s="2"/>
      <c r="DM59" s="2"/>
      <c r="DN59" s="3"/>
      <c r="DO59" s="3"/>
      <c r="DP59" s="2"/>
      <c r="DQ59" s="3"/>
      <c r="DR59" s="3"/>
      <c r="DS59" s="7" t="n">
        <v>0</v>
      </c>
      <c r="DT59" s="7" t="n">
        <v>0</v>
      </c>
      <c r="DU59" s="2"/>
      <c r="DV59" s="2"/>
      <c r="DW59" s="2"/>
      <c r="DX59" s="2"/>
      <c r="DY59" s="2"/>
      <c r="DZ59" s="2"/>
      <c r="EA59" s="2"/>
      <c r="EB59" s="2"/>
      <c r="EC59" s="2"/>
      <c r="ED59" s="2" t="inlineStr">
        <is>
          <t>79a411b6-8b4b-4479-9028-e7380266c9e1</t>
        </is>
      </c>
      <c r="EE59" s="3" t="n">
        <v>1</v>
      </c>
      <c r="EF59" s="2"/>
      <c r="EG59" s="2"/>
      <c r="EH59" s="2"/>
      <c r="EI59" s="3"/>
      <c r="EJ59" s="2"/>
      <c r="EK59" s="3"/>
      <c r="EL59" s="3"/>
      <c r="EM59" s="7" t="n">
        <v>0</v>
      </c>
      <c r="EN59" s="7" t="n">
        <v>0</v>
      </c>
      <c r="EO59" s="2"/>
      <c r="EP59" s="2"/>
      <c r="EQ59" s="2"/>
      <c r="ER59" s="2"/>
      <c r="ES59" s="2"/>
      <c r="ET59" s="2"/>
      <c r="EU59" s="2"/>
      <c r="EV59" s="2"/>
      <c r="EW59" s="2"/>
      <c r="EX59" s="2" t="inlineStr">
        <is>
          <t>f4067f04-7b83-4f93-9619-43a951266fbc</t>
        </is>
      </c>
      <c r="EY59" s="3" t="n">
        <v>1</v>
      </c>
      <c r="EZ59" s="2"/>
      <c r="FA59" s="2"/>
      <c r="FB59" s="2"/>
      <c r="FC59" s="2"/>
      <c r="FD59" s="3"/>
      <c r="FE59" s="3"/>
      <c r="FF59" s="2"/>
      <c r="FG59" s="3"/>
      <c r="FH59" s="3"/>
      <c r="FI59" s="7" t="n">
        <v>0</v>
      </c>
      <c r="FJ59" s="7" t="n">
        <v>0</v>
      </c>
      <c r="FK59" s="7" t="n">
        <v>0</v>
      </c>
      <c r="FL59" s="7" t="n">
        <v>0</v>
      </c>
      <c r="FM59" s="7" t="n">
        <v>0</v>
      </c>
      <c r="FN59" s="7" t="n">
        <v>0</v>
      </c>
      <c r="FO59" s="2"/>
      <c r="FP59" s="2"/>
      <c r="FQ59" s="2"/>
      <c r="FR59" s="2"/>
      <c r="FS59" s="2"/>
      <c r="FT59" s="2"/>
      <c r="FU59" s="2"/>
      <c r="FV59" s="2"/>
      <c r="FW59" s="2"/>
    </row>
    <row r="60">
      <c r="A60" s="2" t="inlineStr">
        <is>
          <t>2026-05-25 17:02:31</t>
        </is>
      </c>
      <c r="B60" s="2" t="inlineStr">
        <is>
          <t>朱丽莉</t>
        </is>
      </c>
      <c r="C60" s="2" t="inlineStr">
        <is>
          <t>市场开发部</t>
        </is>
      </c>
      <c r="D60" s="2" t="inlineStr">
        <is>
          <t>女</t>
        </is>
      </c>
      <c r="E60" s="2" t="inlineStr">
        <is>
          <t>321283198909266825</t>
        </is>
      </c>
      <c r="F60" s="2" t="inlineStr">
        <is>
          <t>专业工程师</t>
        </is>
      </c>
      <c r="G60" s="2" t="inlineStr">
        <is>
          <t>2011-07</t>
        </is>
      </c>
      <c r="H60" s="2" t="inlineStr">
        <is>
          <t>南京人口管理干部学院</t>
        </is>
      </c>
      <c r="I60" s="2" t="inlineStr">
        <is>
          <t>翻译</t>
        </is>
      </c>
      <c r="J60" s="2" t="inlineStr">
        <is>
          <t>本科</t>
        </is>
      </c>
      <c r="K60" s="2"/>
      <c r="L60" s="6">
        <f>HYPERLINK("https://www.h3yun.com/Form/Attachments/?schemacode=D1483577de63ede327d4760b10664bd57671d7e&amp;bizObjectId=94ec0074-1e4d-4674-843a-423facca1b35&amp;name=F0000046","点击查看")</f>
        <v>0</v>
      </c>
      <c r="M60" s="2" t="inlineStr">
        <is>
          <t>/</t>
        </is>
      </c>
      <c r="N60" s="2" t="inlineStr">
        <is>
          <t>每周工作;临时/突发工作</t>
        </is>
      </c>
      <c r="O60" s="2" t="inlineStr">
        <is>
          <t>30-40岁</t>
        </is>
      </c>
      <c r="P60" s="2" t="inlineStr">
        <is>
          <t>C.已婚已育</t>
        </is>
      </c>
      <c r="Q60" s="2" t="inlineStr">
        <is>
          <t>D.是，同时照护子女和老人</t>
        </is>
      </c>
      <c r="R60" s="2" t="inlineStr">
        <is>
          <t>B.有1名</t>
        </is>
      </c>
      <c r="S60" s="2" t="inlineStr">
        <is>
          <t>A.保持当前工作内容和节奏，收入相对稳定即可</t>
        </is>
      </c>
      <c r="T60" s="2" t="inlineStr">
        <is>
          <t>A.基本满意，希望保持</t>
        </is>
      </c>
      <c r="U60" s="2" t="inlineStr">
        <is>
          <t>C.增加弹性和稳定性</t>
        </is>
      </c>
      <c r="V60" s="2" t="inlineStr">
        <is>
          <t>A.没有</t>
        </is>
      </c>
      <c r="W60" s="2"/>
      <c r="X60" s="2" t="inlineStr">
        <is>
          <t>C.均衡 (80%-100%)</t>
        </is>
      </c>
      <c r="Y60" s="2" t="inlineStr">
        <is>
          <t>G.接收到任务分配单完成周期内要求的加班</t>
        </is>
      </c>
      <c r="Z60" s="2" t="inlineStr">
        <is>
          <t>专项检查</t>
        </is>
      </c>
      <c r="AA60" s="2" t="inlineStr">
        <is>
          <t>无</t>
        </is>
      </c>
      <c r="AB60" s="2" t="inlineStr">
        <is>
          <t>协同办公流程</t>
        </is>
      </c>
      <c r="AC60" s="2" t="inlineStr">
        <is>
          <t>A.高度匹配（得心应手）</t>
        </is>
      </c>
      <c r="AD60" s="2" t="inlineStr">
        <is>
          <t>/</t>
        </is>
      </c>
      <c r="AE60" s="2"/>
      <c r="AF60" s="2"/>
      <c r="AG60" s="2"/>
      <c r="AH60" s="2"/>
      <c r="AI60" s="7" t="n">
        <v>0</v>
      </c>
      <c r="AJ60" s="7" t="n">
        <v>0</v>
      </c>
      <c r="AK60" s="7" t="n">
        <v>3.2</v>
      </c>
      <c r="AL60" s="7" t="n">
        <v>8</v>
      </c>
      <c r="AM60" s="7" t="n">
        <v>0</v>
      </c>
      <c r="AN60" s="7" t="n">
        <v>0</v>
      </c>
      <c r="AO60" s="7" t="n">
        <v>0</v>
      </c>
      <c r="AP60" s="7" t="n">
        <v>0</v>
      </c>
      <c r="AQ60" s="7" t="n">
        <v>0.39</v>
      </c>
      <c r="AR60" s="7" t="n">
        <v>0.39</v>
      </c>
      <c r="AS60" s="7" t="n">
        <v>3.59</v>
      </c>
      <c r="AT60" s="7" t="n">
        <v>8.39</v>
      </c>
      <c r="AU60" s="7" t="n">
        <v>5.99</v>
      </c>
      <c r="AV60" s="2" t="inlineStr">
        <is>
          <t>欠饱和</t>
        </is>
      </c>
      <c r="AW60" s="2" t="inlineStr">
        <is>
          <t>不一致</t>
        </is>
      </c>
      <c r="AX60" s="2" t="inlineStr">
        <is>
          <t>94ec0074-1e4d-4674-843a-423facca1b35</t>
        </is>
      </c>
      <c r="AY60" s="2" t="inlineStr">
        <is>
          <t>市场开发部    朱丽莉</t>
        </is>
      </c>
      <c r="AZ60" s="2" t="inlineStr">
        <is>
          <t>Anonymous</t>
        </is>
      </c>
      <c r="BA60" s="2" t="inlineStr">
        <is>
          <t>Anonymous</t>
        </is>
      </c>
      <c r="BB60" s="2"/>
      <c r="BC60" s="2" t="inlineStr">
        <is>
          <t>2026-05-25 17:08:45</t>
        </is>
      </c>
      <c r="BD60" s="3" t="n">
        <v>1989</v>
      </c>
      <c r="BE60" s="3" t="n">
        <v>37</v>
      </c>
      <c r="BF60" s="2" t="inlineStr">
        <is>
          <t>A.无此需求</t>
        </is>
      </c>
      <c r="BG60" s="2" t="inlineStr">
        <is>
          <t>已生效</t>
        </is>
      </c>
      <c r="BH60" s="2" t="inlineStr">
        <is>
          <t>2c91b45b-c270-4057-b49a-66b943bcd56f</t>
        </is>
      </c>
      <c r="BI60" s="3" t="n">
        <v>1</v>
      </c>
      <c r="BJ60" s="2"/>
      <c r="BK60" s="2"/>
      <c r="BL60" s="2"/>
      <c r="BM60" s="2"/>
      <c r="BN60" s="2"/>
      <c r="BO60" s="2"/>
      <c r="BP60" s="2"/>
      <c r="BQ60" s="2"/>
      <c r="BR60" s="2"/>
      <c r="BS60" s="2" t="inlineStr">
        <is>
          <t>06cd5649-680c-440d-beeb-50bebff0510c</t>
        </is>
      </c>
      <c r="BT60" s="3" t="n">
        <v>1</v>
      </c>
      <c r="BU60" s="2"/>
      <c r="BV60" s="2"/>
      <c r="BW60" s="2"/>
      <c r="BX60" s="3"/>
      <c r="BY60" s="3"/>
      <c r="BZ60" s="2"/>
      <c r="CA60" s="3"/>
      <c r="CB60" s="3"/>
      <c r="CC60" s="7" t="n">
        <v>0</v>
      </c>
      <c r="CD60" s="7" t="n">
        <v>0</v>
      </c>
      <c r="CE60" s="2"/>
      <c r="CF60" s="2"/>
      <c r="CG60" s="2"/>
      <c r="CH60" s="2"/>
      <c r="CI60" s="2"/>
      <c r="CJ60" s="2"/>
      <c r="CK60" s="2"/>
      <c r="CL60" s="2"/>
      <c r="CM60" s="2"/>
      <c r="CN60" s="2" t="inlineStr">
        <is>
          <t>a18444bf-080b-4050-b315-8ee01d12cea6</t>
        </is>
      </c>
      <c r="CO60" s="3" t="n">
        <v>1</v>
      </c>
      <c r="CP60" s="2"/>
      <c r="CQ60" s="2" t="inlineStr">
        <is>
          <t>协助市场部投标主管开展投标全流程辅助工作，参与标书配合编制，负责投标报名资料整理填写、技术标格式调整及内容核对、ERP 投标流程登记、申请、资信文件协助编制标书打印胶装、标书盖章扫描等投标活动</t>
        </is>
      </c>
      <c r="CR60" s="2" t="inlineStr">
        <is>
          <t>4-5次</t>
        </is>
      </c>
      <c r="CS60" s="3" t="n">
        <v>4</v>
      </c>
      <c r="CT60" s="3" t="n">
        <v>5</v>
      </c>
      <c r="CU60" s="2" t="inlineStr">
        <is>
          <t>D.4-8小时</t>
        </is>
      </c>
      <c r="CV60" s="7" t="n">
        <v>4</v>
      </c>
      <c r="CW60" s="7" t="n">
        <v>8</v>
      </c>
      <c r="CX60" s="7" t="n">
        <v>16</v>
      </c>
      <c r="CY60" s="7" t="n">
        <v>40</v>
      </c>
      <c r="CZ60" s="2" t="inlineStr">
        <is>
          <t>流程审批类</t>
        </is>
      </c>
      <c r="DA60" s="2"/>
      <c r="DB60" s="2" t="inlineStr">
        <is>
          <t>市场投标管理</t>
        </is>
      </c>
      <c r="DC60" s="2" t="inlineStr">
        <is>
          <t>岗位职责</t>
        </is>
      </c>
      <c r="DD60" s="2" t="inlineStr">
        <is>
          <t>重要且紧急</t>
        </is>
      </c>
      <c r="DE60" s="2" t="inlineStr">
        <is>
          <t>半标准化-有流程框架，需专业经验</t>
        </is>
      </c>
      <c r="DF60" s="2" t="inlineStr">
        <is>
          <t>极少（&lt;5%）</t>
        </is>
      </c>
      <c r="DG60" s="2" t="inlineStr">
        <is>
          <t>时效/强度负荷</t>
        </is>
      </c>
      <c r="DH60" s="2"/>
      <c r="DI60" s="2" t="inlineStr">
        <is>
          <t>4940a3bd-769b-4ad6-b5e4-ef5e18ac34ac</t>
        </is>
      </c>
      <c r="DJ60" s="3" t="n">
        <v>1</v>
      </c>
      <c r="DK60" s="2"/>
      <c r="DL60" s="2"/>
      <c r="DM60" s="2"/>
      <c r="DN60" s="3"/>
      <c r="DO60" s="3"/>
      <c r="DP60" s="2"/>
      <c r="DQ60" s="3"/>
      <c r="DR60" s="3"/>
      <c r="DS60" s="7" t="n">
        <v>0</v>
      </c>
      <c r="DT60" s="7" t="n">
        <v>0</v>
      </c>
      <c r="DU60" s="2"/>
      <c r="DV60" s="2"/>
      <c r="DW60" s="2"/>
      <c r="DX60" s="2"/>
      <c r="DY60" s="2"/>
      <c r="DZ60" s="2"/>
      <c r="EA60" s="2"/>
      <c r="EB60" s="2"/>
      <c r="EC60" s="2"/>
      <c r="ED60" s="2" t="inlineStr">
        <is>
          <t>e7077934-873b-4827-a8ff-6223c0a8cb23</t>
        </is>
      </c>
      <c r="EE60" s="3" t="n">
        <v>1</v>
      </c>
      <c r="EF60" s="2"/>
      <c r="EG60" s="2"/>
      <c r="EH60" s="2"/>
      <c r="EI60" s="3"/>
      <c r="EJ60" s="2"/>
      <c r="EK60" s="3"/>
      <c r="EL60" s="3"/>
      <c r="EM60" s="7" t="n">
        <v>0</v>
      </c>
      <c r="EN60" s="7" t="n">
        <v>0</v>
      </c>
      <c r="EO60" s="2"/>
      <c r="EP60" s="2"/>
      <c r="EQ60" s="2"/>
      <c r="ER60" s="2"/>
      <c r="ES60" s="2"/>
      <c r="ET60" s="2"/>
      <c r="EU60" s="2"/>
      <c r="EV60" s="2"/>
      <c r="EW60" s="2"/>
      <c r="EX60" s="2" t="inlineStr">
        <is>
          <t>e12c8901-b5d1-44c1-97fd-c00d727cec5b</t>
        </is>
      </c>
      <c r="EY60" s="3" t="n">
        <v>1</v>
      </c>
      <c r="EZ60" s="2"/>
      <c r="FA60" s="2" t="inlineStr">
        <is>
          <t>跨部门协作、业绩整理、协助分公司采购合同审批流程</t>
        </is>
      </c>
      <c r="FB60" s="2" t="inlineStr">
        <is>
          <t>每季3次以上</t>
        </is>
      </c>
      <c r="FC60" s="2" t="inlineStr">
        <is>
          <t>季</t>
        </is>
      </c>
      <c r="FD60" s="3" t="n">
        <v>3</v>
      </c>
      <c r="FE60" s="3" t="n">
        <v>3</v>
      </c>
      <c r="FF60" s="2" t="inlineStr">
        <is>
          <t>E.8小时以上</t>
        </is>
      </c>
      <c r="FG60" s="7" t="n">
        <v>8</v>
      </c>
      <c r="FH60" s="7" t="n">
        <v>8</v>
      </c>
      <c r="FI60" s="7" t="n">
        <v>0</v>
      </c>
      <c r="FJ60" s="7" t="n">
        <v>0</v>
      </c>
      <c r="FK60" s="7" t="n">
        <v>24</v>
      </c>
      <c r="FL60" s="7" t="n">
        <v>24</v>
      </c>
      <c r="FM60" s="7" t="n">
        <v>0</v>
      </c>
      <c r="FN60" s="7" t="n">
        <v>0</v>
      </c>
      <c r="FO60" s="2" t="inlineStr">
        <is>
          <t>协调沟通类</t>
        </is>
      </c>
      <c r="FP60" s="2"/>
      <c r="FQ60" s="2" t="inlineStr">
        <is>
          <t>跨部门对接</t>
        </is>
      </c>
      <c r="FR60" s="2" t="inlineStr">
        <is>
          <t>上级指令</t>
        </is>
      </c>
      <c r="FS60" s="2" t="inlineStr">
        <is>
          <t>重要且紧急</t>
        </is>
      </c>
      <c r="FT60" s="2" t="inlineStr">
        <is>
          <t>非标准化-无先例参考，需创新协调</t>
        </is>
      </c>
      <c r="FU60" s="2" t="inlineStr">
        <is>
          <t>极少（&lt;5%）</t>
        </is>
      </c>
      <c r="FV60" s="2" t="inlineStr">
        <is>
          <t>沟通/协调负荷</t>
        </is>
      </c>
      <c r="FW60" s="2"/>
    </row>
    <row r="61">
      <c r="A61" s="2" t="inlineStr">
        <is>
          <t>2026-05-25 16:45:29</t>
        </is>
      </c>
      <c r="B61" s="2" t="inlineStr">
        <is>
          <t>李鑫</t>
        </is>
      </c>
      <c r="C61" s="2" t="inlineStr">
        <is>
          <t>市场开发部</t>
        </is>
      </c>
      <c r="D61" s="2" t="inlineStr">
        <is>
          <t>男</t>
        </is>
      </c>
      <c r="E61" s="2" t="inlineStr">
        <is>
          <t>320112198310290018</t>
        </is>
      </c>
      <c r="F61" s="2" t="inlineStr">
        <is>
          <t>专业工程师</t>
        </is>
      </c>
      <c r="G61" s="2" t="inlineStr">
        <is>
          <t>2005-08</t>
        </is>
      </c>
      <c r="H61" s="2" t="inlineStr">
        <is>
          <t>金肯学院</t>
        </is>
      </c>
      <c r="I61" s="2" t="inlineStr">
        <is>
          <t>土建</t>
        </is>
      </c>
      <c r="J61" s="2" t="inlineStr">
        <is>
          <t>大专</t>
        </is>
      </c>
      <c r="K61" s="2"/>
      <c r="L61" s="6">
        <f>HYPERLINK("https://www.h3yun.com/Form/Attachments/?schemacode=D1483577de63ede327d4760b10664bd57671d7e&amp;bizObjectId=89d12195-58b4-432f-a0e9-5af3905fdee0&amp;name=F0000046","点击查看")</f>
        <v>0</v>
      </c>
      <c r="M61" s="2" t="inlineStr">
        <is>
          <t>无</t>
        </is>
      </c>
      <c r="N61" s="2" t="inlineStr">
        <is>
          <t>每日工作</t>
        </is>
      </c>
      <c r="O61" s="2" t="inlineStr">
        <is>
          <t>41-45岁</t>
        </is>
      </c>
      <c r="P61" s="2" t="inlineStr">
        <is>
          <t>C.已婚已育</t>
        </is>
      </c>
      <c r="Q61" s="2" t="inlineStr">
        <is>
          <t>D.是，同时照护子女和老人</t>
        </is>
      </c>
      <c r="R61" s="2" t="inlineStr">
        <is>
          <t>B.有1名</t>
        </is>
      </c>
      <c r="S61" s="2" t="inlineStr">
        <is>
          <t>A.保持当前工作内容和节奏，收入相对稳定即可</t>
        </is>
      </c>
      <c r="T61" s="2" t="inlineStr">
        <is>
          <t>A.基本满意，希望保持</t>
        </is>
      </c>
      <c r="U61" s="2" t="inlineStr">
        <is>
          <t>C.增加弹性和稳定性</t>
        </is>
      </c>
      <c r="V61" s="2" t="inlineStr">
        <is>
          <t>D.已形成较稳定优化做法</t>
        </is>
      </c>
      <c r="W61" s="2"/>
      <c r="X61" s="2" t="inlineStr">
        <is>
          <t>C.均衡 (80%-100%)</t>
        </is>
      </c>
      <c r="Y61" s="2" t="inlineStr">
        <is>
          <t>G.接收到任务分配单完成周期内要求的加班;I.因正常工作任务截止日遇上节假日所需加班</t>
        </is>
      </c>
      <c r="Z61" s="2" t="inlineStr">
        <is>
          <t>专项统计</t>
        </is>
      </c>
      <c r="AA61" s="2" t="inlineStr">
        <is>
          <t>无</t>
        </is>
      </c>
      <c r="AB61" s="2" t="inlineStr">
        <is>
          <t>协同办公流程</t>
        </is>
      </c>
      <c r="AC61" s="2" t="inlineStr">
        <is>
          <t>A.高度匹配（得心应手）</t>
        </is>
      </c>
      <c r="AD61" s="2" t="inlineStr">
        <is>
          <t>无</t>
        </is>
      </c>
      <c r="AE61" s="2" t="inlineStr">
        <is>
          <t>本人主要从事市场部造价组土建项目的报价与分析工作（市场部自投项目，配合分公司项目，已完工结算项目价格分析，不同地区定额水平的测算等），根据组价费用出具及拆分更加清晰详细的报表，供定标参考与商讨，直至定稿成型。同时也涉及技术标相关的辅助配合。上表设定选项内容，恐非全面贴合本人工作情况，故特在此补充说明，力求能够对应准确表达。</t>
        </is>
      </c>
      <c r="AF61" s="2"/>
      <c r="AG61" s="2"/>
      <c r="AH61" s="2"/>
      <c r="AI61" s="7" t="n">
        <v>4</v>
      </c>
      <c r="AJ61" s="7" t="n">
        <v>8</v>
      </c>
      <c r="AK61" s="7" t="n">
        <v>0</v>
      </c>
      <c r="AL61" s="7" t="n">
        <v>0</v>
      </c>
      <c r="AM61" s="7" t="n">
        <v>0</v>
      </c>
      <c r="AN61" s="7" t="n">
        <v>0</v>
      </c>
      <c r="AO61" s="7" t="n">
        <v>0</v>
      </c>
      <c r="AP61" s="7" t="n">
        <v>0</v>
      </c>
      <c r="AQ61" s="7" t="n">
        <v>0</v>
      </c>
      <c r="AR61" s="7" t="n">
        <v>0</v>
      </c>
      <c r="AS61" s="7" t="n">
        <v>4</v>
      </c>
      <c r="AT61" s="7" t="n">
        <v>8</v>
      </c>
      <c r="AU61" s="7" t="n">
        <v>6</v>
      </c>
      <c r="AV61" s="2" t="inlineStr">
        <is>
          <t>欠饱和</t>
        </is>
      </c>
      <c r="AW61" s="2" t="inlineStr">
        <is>
          <t>不一致</t>
        </is>
      </c>
      <c r="AX61" s="2" t="inlineStr">
        <is>
          <t>89d12195-58b4-432f-a0e9-5af3905fdee0</t>
        </is>
      </c>
      <c r="AY61" s="2" t="inlineStr">
        <is>
          <t>市场开发部    李鑫</t>
        </is>
      </c>
      <c r="AZ61" s="2" t="inlineStr">
        <is>
          <t>Anonymous</t>
        </is>
      </c>
      <c r="BA61" s="2" t="inlineStr">
        <is>
          <t>Anonymous</t>
        </is>
      </c>
      <c r="BB61" s="2"/>
      <c r="BC61" s="2" t="inlineStr">
        <is>
          <t>2026-05-25 16:46:57</t>
        </is>
      </c>
      <c r="BD61" s="3" t="n">
        <v>1983</v>
      </c>
      <c r="BE61" s="3" t="n">
        <v>43</v>
      </c>
      <c r="BF61" s="2" t="inlineStr">
        <is>
          <t>A.无此需求</t>
        </is>
      </c>
      <c r="BG61" s="2" t="inlineStr">
        <is>
          <t>已生效</t>
        </is>
      </c>
      <c r="BH61" s="2" t="inlineStr">
        <is>
          <t>2a99913a-b4ff-478c-8222-84303437bd3f</t>
        </is>
      </c>
      <c r="BI61" s="3" t="n">
        <v>1</v>
      </c>
      <c r="BJ61" s="2"/>
      <c r="BK61" s="2"/>
      <c r="BL61" s="2"/>
      <c r="BM61" s="2"/>
      <c r="BN61" s="2"/>
      <c r="BO61" s="2"/>
      <c r="BP61" s="2"/>
      <c r="BQ61" s="2"/>
      <c r="BR61" s="2"/>
      <c r="BS61" s="2" t="inlineStr">
        <is>
          <t>48475b0d-69d5-4364-be28-cd6d7c00ded1</t>
        </is>
      </c>
      <c r="BT61" s="3" t="n">
        <v>1</v>
      </c>
      <c r="BU61" s="2" t="inlineStr">
        <is>
          <t>数据报表类</t>
        </is>
      </c>
      <c r="BV61" s="2" t="inlineStr">
        <is>
          <t>费用组价与价格分析</t>
        </is>
      </c>
      <c r="BW61" s="2" t="inlineStr">
        <is>
          <t>1次</t>
        </is>
      </c>
      <c r="BX61" s="3" t="n">
        <v>1</v>
      </c>
      <c r="BY61" s="3" t="n">
        <v>1</v>
      </c>
      <c r="BZ61" s="2" t="inlineStr">
        <is>
          <t>D.4-8小时</t>
        </is>
      </c>
      <c r="CA61" s="7" t="n">
        <v>4</v>
      </c>
      <c r="CB61" s="7" t="n">
        <v>8</v>
      </c>
      <c r="CC61" s="7" t="n">
        <v>4</v>
      </c>
      <c r="CD61" s="7" t="n">
        <v>8</v>
      </c>
      <c r="CE61" s="2" t="inlineStr">
        <is>
          <t>数据报表类</t>
        </is>
      </c>
      <c r="CF61" s="2"/>
      <c r="CG61" s="2" t="inlineStr">
        <is>
          <t>专项统计</t>
        </is>
      </c>
      <c r="CH61" s="2" t="inlineStr">
        <is>
          <t>上级指令</t>
        </is>
      </c>
      <c r="CI61" s="2" t="inlineStr">
        <is>
          <t>重要且紧急</t>
        </is>
      </c>
      <c r="CJ61" s="2" t="inlineStr">
        <is>
          <t>半标准化-有流程框架，需专业经验</t>
        </is>
      </c>
      <c r="CK61" s="2" t="inlineStr">
        <is>
          <t>极少（&lt;5%）</t>
        </is>
      </c>
      <c r="CL61" s="2" t="inlineStr">
        <is>
          <t>脑力/复杂度负荷</t>
        </is>
      </c>
      <c r="CM61" s="2"/>
      <c r="CN61" s="2" t="inlineStr">
        <is>
          <t>bbb3bd59-f433-44e0-a19a-f33694336567</t>
        </is>
      </c>
      <c r="CO61" s="3" t="n">
        <v>1</v>
      </c>
      <c r="CP61" s="2"/>
      <c r="CQ61" s="2"/>
      <c r="CR61" s="2"/>
      <c r="CS61" s="3"/>
      <c r="CT61" s="3"/>
      <c r="CU61" s="2"/>
      <c r="CV61" s="3"/>
      <c r="CW61" s="3"/>
      <c r="CX61" s="7" t="n">
        <v>0</v>
      </c>
      <c r="CY61" s="7" t="n">
        <v>0</v>
      </c>
      <c r="CZ61" s="2"/>
      <c r="DA61" s="2"/>
      <c r="DB61" s="2"/>
      <c r="DC61" s="2"/>
      <c r="DD61" s="2"/>
      <c r="DE61" s="2"/>
      <c r="DF61" s="2"/>
      <c r="DG61" s="2"/>
      <c r="DH61" s="2"/>
      <c r="DI61" s="2" t="inlineStr">
        <is>
          <t>f4dc6a25-5b2f-41d6-bb8f-3fe8f985e44d</t>
        </is>
      </c>
      <c r="DJ61" s="3" t="n">
        <v>1</v>
      </c>
      <c r="DK61" s="2"/>
      <c r="DL61" s="2"/>
      <c r="DM61" s="2"/>
      <c r="DN61" s="3"/>
      <c r="DO61" s="3"/>
      <c r="DP61" s="2"/>
      <c r="DQ61" s="3"/>
      <c r="DR61" s="3"/>
      <c r="DS61" s="7" t="n">
        <v>0</v>
      </c>
      <c r="DT61" s="7" t="n">
        <v>0</v>
      </c>
      <c r="DU61" s="2"/>
      <c r="DV61" s="2"/>
      <c r="DW61" s="2"/>
      <c r="DX61" s="2"/>
      <c r="DY61" s="2"/>
      <c r="DZ61" s="2"/>
      <c r="EA61" s="2"/>
      <c r="EB61" s="2"/>
      <c r="EC61" s="2"/>
      <c r="ED61" s="2" t="inlineStr">
        <is>
          <t>0315341d-01e0-4989-80d5-0f5f16b22d8b</t>
        </is>
      </c>
      <c r="EE61" s="3" t="n">
        <v>1</v>
      </c>
      <c r="EF61" s="2"/>
      <c r="EG61" s="2"/>
      <c r="EH61" s="2"/>
      <c r="EI61" s="3"/>
      <c r="EJ61" s="2"/>
      <c r="EK61" s="3"/>
      <c r="EL61" s="3"/>
      <c r="EM61" s="7" t="n">
        <v>0</v>
      </c>
      <c r="EN61" s="7" t="n">
        <v>0</v>
      </c>
      <c r="EO61" s="2"/>
      <c r="EP61" s="2"/>
      <c r="EQ61" s="2"/>
      <c r="ER61" s="2"/>
      <c r="ES61" s="2"/>
      <c r="ET61" s="2"/>
      <c r="EU61" s="2"/>
      <c r="EV61" s="2"/>
      <c r="EW61" s="2"/>
      <c r="EX61" s="2" t="inlineStr">
        <is>
          <t>a0beb767-f6ca-4040-a278-81761de0942f</t>
        </is>
      </c>
      <c r="EY61" s="3" t="n">
        <v>1</v>
      </c>
      <c r="EZ61" s="2"/>
      <c r="FA61" s="2"/>
      <c r="FB61" s="2"/>
      <c r="FC61" s="2"/>
      <c r="FD61" s="3"/>
      <c r="FE61" s="3"/>
      <c r="FF61" s="2"/>
      <c r="FG61" s="3"/>
      <c r="FH61" s="3"/>
      <c r="FI61" s="7" t="n">
        <v>0</v>
      </c>
      <c r="FJ61" s="7" t="n">
        <v>0</v>
      </c>
      <c r="FK61" s="7" t="n">
        <v>0</v>
      </c>
      <c r="FL61" s="7" t="n">
        <v>0</v>
      </c>
      <c r="FM61" s="7" t="n">
        <v>0</v>
      </c>
      <c r="FN61" s="7" t="n">
        <v>0</v>
      </c>
      <c r="FO61" s="2"/>
      <c r="FP61" s="2"/>
      <c r="FQ61" s="2"/>
      <c r="FR61" s="2"/>
      <c r="FS61" s="2"/>
      <c r="FT61" s="2"/>
      <c r="FU61" s="2"/>
      <c r="FV61" s="2"/>
      <c r="FW61" s="2"/>
    </row>
    <row r="62">
      <c r="A62" s="2" t="inlineStr">
        <is>
          <t>2026-05-25 16:19:30</t>
        </is>
      </c>
      <c r="B62" s="2" t="inlineStr">
        <is>
          <t>孙珍</t>
        </is>
      </c>
      <c r="C62" s="2" t="inlineStr">
        <is>
          <t>市场开发部</t>
        </is>
      </c>
      <c r="D62" s="2" t="inlineStr">
        <is>
          <t>女</t>
        </is>
      </c>
      <c r="E62" s="2" t="inlineStr">
        <is>
          <t>320923197411302725</t>
        </is>
      </c>
      <c r="F62" s="2" t="inlineStr">
        <is>
          <t>主管工程师</t>
        </is>
      </c>
      <c r="G62" s="2" t="inlineStr">
        <is>
          <t>1996-08</t>
        </is>
      </c>
      <c r="H62" s="2" t="inlineStr">
        <is>
          <t>南京空军气象学院</t>
        </is>
      </c>
      <c r="I62" s="2" t="inlineStr">
        <is>
          <t>仪表</t>
        </is>
      </c>
      <c r="J62" s="2" t="inlineStr">
        <is>
          <t>大专</t>
        </is>
      </c>
      <c r="K62" s="2"/>
      <c r="L62" s="6">
        <f>HYPERLINK("https://www.h3yun.com/Form/Attachments/?schemacode=D1483577de63ede327d4760b10664bd57671d7e&amp;bizObjectId=bf68f990-9156-4bcc-9479-152265aa57c1&amp;name=F0000046","点击查看")</f>
        <v>0</v>
      </c>
      <c r="M62" s="2" t="inlineStr">
        <is>
          <t>刷脸</t>
        </is>
      </c>
      <c r="N62" s="2" t="inlineStr">
        <is>
          <t>每日工作;临时/突发工作</t>
        </is>
      </c>
      <c r="O62" s="2" t="inlineStr">
        <is>
          <t>46岁及以上</t>
        </is>
      </c>
      <c r="P62" s="2" t="inlineStr">
        <is>
          <t>C.已婚已育</t>
        </is>
      </c>
      <c r="Q62" s="2" t="inlineStr">
        <is>
          <t>C.是，主要照护老人</t>
        </is>
      </c>
      <c r="R62" s="2" t="inlineStr">
        <is>
          <t>A.否</t>
        </is>
      </c>
      <c r="S62" s="2" t="inlineStr">
        <is>
          <t>A.保持当前工作内容和节奏，收入相对稳定即可</t>
        </is>
      </c>
      <c r="T62" s="2" t="inlineStr">
        <is>
          <t>A.基本满意，希望保持</t>
        </is>
      </c>
      <c r="U62" s="2" t="inlineStr">
        <is>
          <t>D.明确职责边界</t>
        </is>
      </c>
      <c r="V62" s="2" t="inlineStr">
        <is>
          <t>A.没有</t>
        </is>
      </c>
      <c r="W62" s="2"/>
      <c r="X62" s="2" t="inlineStr">
        <is>
          <t>C.均衡 (80%-100%)</t>
        </is>
      </c>
      <c r="Y62" s="2" t="inlineStr">
        <is>
          <t>G.接收到任务分配单完成周期内要求的加班;I.因正常工作任务截止日遇上节假日所需加班;J.在指导答疑协助上耗时过多导致的加班</t>
        </is>
      </c>
      <c r="Z62" s="2" t="inlineStr">
        <is>
          <t>市场投标管理</t>
        </is>
      </c>
      <c r="AA62" s="2" t="inlineStr">
        <is>
          <t>信息化管理流程</t>
        </is>
      </c>
      <c r="AB62" s="2" t="inlineStr">
        <is>
          <t>市场投标管理</t>
        </is>
      </c>
      <c r="AC62" s="2" t="inlineStr">
        <is>
          <t>B.基本匹配（正常履行）</t>
        </is>
      </c>
      <c r="AD62" s="2" t="inlineStr">
        <is>
          <t>投标询价与采购实施相结合</t>
        </is>
      </c>
      <c r="AE62" s="2"/>
      <c r="AF62" s="2"/>
      <c r="AG62" s="2"/>
      <c r="AH62" s="2"/>
      <c r="AI62" s="7" t="n">
        <v>8</v>
      </c>
      <c r="AJ62" s="7" t="n">
        <v>8</v>
      </c>
      <c r="AK62" s="7" t="n">
        <v>0</v>
      </c>
      <c r="AL62" s="7" t="n">
        <v>0</v>
      </c>
      <c r="AM62" s="7" t="n">
        <v>0</v>
      </c>
      <c r="AN62" s="7" t="n">
        <v>0</v>
      </c>
      <c r="AO62" s="7" t="n">
        <v>0</v>
      </c>
      <c r="AP62" s="7" t="n">
        <v>0</v>
      </c>
      <c r="AQ62" s="7" t="n">
        <v>1.09</v>
      </c>
      <c r="AR62" s="7" t="n">
        <v>1.09</v>
      </c>
      <c r="AS62" s="7" t="n">
        <v>9.09</v>
      </c>
      <c r="AT62" s="7" t="n">
        <v>9.09</v>
      </c>
      <c r="AU62" s="7" t="n">
        <v>9.09</v>
      </c>
      <c r="AV62" s="2" t="inlineStr">
        <is>
          <t>满负荷</t>
        </is>
      </c>
      <c r="AW62" s="2" t="inlineStr">
        <is>
          <t>不一致</t>
        </is>
      </c>
      <c r="AX62" s="2" t="inlineStr">
        <is>
          <t>bf68f990-9156-4bcc-9479-152265aa57c1</t>
        </is>
      </c>
      <c r="AY62" s="2" t="inlineStr">
        <is>
          <t>市场开发部    孙珍</t>
        </is>
      </c>
      <c r="AZ62" s="2" t="inlineStr">
        <is>
          <t>Anonymous</t>
        </is>
      </c>
      <c r="BA62" s="2" t="inlineStr">
        <is>
          <t>Anonymous</t>
        </is>
      </c>
      <c r="BB62" s="2"/>
      <c r="BC62" s="2" t="inlineStr">
        <is>
          <t>2026-05-25 16:19:30</t>
        </is>
      </c>
      <c r="BD62" s="3" t="n">
        <v>1974</v>
      </c>
      <c r="BE62" s="3" t="n">
        <v>52</v>
      </c>
      <c r="BF62" s="2" t="inlineStr">
        <is>
          <t>A.无此需求</t>
        </is>
      </c>
      <c r="BG62" s="2" t="inlineStr">
        <is>
          <t>已生效</t>
        </is>
      </c>
      <c r="BH62" s="2" t="inlineStr">
        <is>
          <t>618afd25-6356-4ed5-abc7-83efb913bd70</t>
        </is>
      </c>
      <c r="BI62" s="3" t="n">
        <v>1</v>
      </c>
      <c r="BJ62" s="2"/>
      <c r="BK62" s="2"/>
      <c r="BL62" s="2"/>
      <c r="BM62" s="2"/>
      <c r="BN62" s="2"/>
      <c r="BO62" s="2"/>
      <c r="BP62" s="2"/>
      <c r="BQ62" s="2"/>
      <c r="BR62" s="2"/>
      <c r="BS62" s="2" t="inlineStr">
        <is>
          <t>a6758039-ece7-4520-bcfc-43fbacee909d</t>
        </is>
      </c>
      <c r="BT62" s="3" t="n">
        <v>1</v>
      </c>
      <c r="BU62" s="2" t="inlineStr">
        <is>
          <t>专业技术类</t>
        </is>
      </c>
      <c r="BV62" s="2" t="inlineStr">
        <is>
          <t>投标</t>
        </is>
      </c>
      <c r="BW62" s="2" t="inlineStr">
        <is>
          <t>1次</t>
        </is>
      </c>
      <c r="BX62" s="3" t="n">
        <v>1</v>
      </c>
      <c r="BY62" s="3" t="n">
        <v>1</v>
      </c>
      <c r="BZ62" s="2" t="inlineStr">
        <is>
          <t>E.8小时以上</t>
        </is>
      </c>
      <c r="CA62" s="7" t="n">
        <v>8</v>
      </c>
      <c r="CB62" s="7" t="n">
        <v>8</v>
      </c>
      <c r="CC62" s="7" t="n">
        <v>8</v>
      </c>
      <c r="CD62" s="7" t="n">
        <v>8</v>
      </c>
      <c r="CE62" s="2" t="inlineStr">
        <is>
          <t>专业技术类</t>
        </is>
      </c>
      <c r="CF62" s="2"/>
      <c r="CG62" s="2" t="inlineStr">
        <is>
          <t>专业问题协调</t>
        </is>
      </c>
      <c r="CH62" s="2" t="inlineStr">
        <is>
          <t>岗位职责</t>
        </is>
      </c>
      <c r="CI62" s="2" t="inlineStr">
        <is>
          <t>重要且紧急</t>
        </is>
      </c>
      <c r="CJ62" s="2" t="inlineStr">
        <is>
          <t>非标准化-无先例参考，需创新协调</t>
        </is>
      </c>
      <c r="CK62" s="2" t="inlineStr">
        <is>
          <t>极少（&lt;5%）</t>
        </is>
      </c>
      <c r="CL62" s="2" t="inlineStr">
        <is>
          <t>脑力/复杂度负荷</t>
        </is>
      </c>
      <c r="CM62" s="2"/>
      <c r="CN62" s="2" t="inlineStr">
        <is>
          <t>46df74cb-3c69-4d4e-b257-d1845af10da3</t>
        </is>
      </c>
      <c r="CO62" s="3" t="n">
        <v>1</v>
      </c>
      <c r="CP62" s="2"/>
      <c r="CQ62" s="2"/>
      <c r="CR62" s="2"/>
      <c r="CS62" s="3"/>
      <c r="CT62" s="3"/>
      <c r="CU62" s="2"/>
      <c r="CV62" s="3"/>
      <c r="CW62" s="3"/>
      <c r="CX62" s="7" t="n">
        <v>0</v>
      </c>
      <c r="CY62" s="7" t="n">
        <v>0</v>
      </c>
      <c r="CZ62" s="2"/>
      <c r="DA62" s="2"/>
      <c r="DB62" s="2"/>
      <c r="DC62" s="2"/>
      <c r="DD62" s="2"/>
      <c r="DE62" s="2"/>
      <c r="DF62" s="2"/>
      <c r="DG62" s="2"/>
      <c r="DH62" s="2"/>
      <c r="DI62" s="2" t="inlineStr">
        <is>
          <t>2dbfd39f-9c85-4099-b473-9898afa536f2</t>
        </is>
      </c>
      <c r="DJ62" s="3" t="n">
        <v>1</v>
      </c>
      <c r="DK62" s="2"/>
      <c r="DL62" s="2"/>
      <c r="DM62" s="2"/>
      <c r="DN62" s="3"/>
      <c r="DO62" s="3"/>
      <c r="DP62" s="2"/>
      <c r="DQ62" s="3"/>
      <c r="DR62" s="3"/>
      <c r="DS62" s="7" t="n">
        <v>0</v>
      </c>
      <c r="DT62" s="7" t="n">
        <v>0</v>
      </c>
      <c r="DU62" s="2"/>
      <c r="DV62" s="2"/>
      <c r="DW62" s="2"/>
      <c r="DX62" s="2"/>
      <c r="DY62" s="2"/>
      <c r="DZ62" s="2"/>
      <c r="EA62" s="2"/>
      <c r="EB62" s="2"/>
      <c r="EC62" s="2"/>
      <c r="ED62" s="2" t="inlineStr">
        <is>
          <t>83686758-7dd1-467b-b766-2c9640f8c92b</t>
        </is>
      </c>
      <c r="EE62" s="3" t="n">
        <v>1</v>
      </c>
      <c r="EF62" s="2"/>
      <c r="EG62" s="2"/>
      <c r="EH62" s="2"/>
      <c r="EI62" s="3"/>
      <c r="EJ62" s="2"/>
      <c r="EK62" s="3"/>
      <c r="EL62" s="3"/>
      <c r="EM62" s="7" t="n">
        <v>0</v>
      </c>
      <c r="EN62" s="7" t="n">
        <v>0</v>
      </c>
      <c r="EO62" s="2"/>
      <c r="EP62" s="2"/>
      <c r="EQ62" s="2"/>
      <c r="ER62" s="2"/>
      <c r="ES62" s="2"/>
      <c r="ET62" s="2"/>
      <c r="EU62" s="2"/>
      <c r="EV62" s="2"/>
      <c r="EW62" s="2"/>
      <c r="EX62" s="2" t="inlineStr">
        <is>
          <t>8788fe9d-0457-4df8-93dc-9f2eb6c5da20</t>
        </is>
      </c>
      <c r="EY62" s="3" t="n">
        <v>1</v>
      </c>
      <c r="EZ62" s="2"/>
      <c r="FA62" s="2" t="inlineStr">
        <is>
          <t>投标</t>
        </is>
      </c>
      <c r="FB62" s="2" t="inlineStr">
        <is>
          <t>每月3次以上</t>
        </is>
      </c>
      <c r="FC62" s="2" t="inlineStr">
        <is>
          <t>月</t>
        </is>
      </c>
      <c r="FD62" s="3" t="n">
        <v>3</v>
      </c>
      <c r="FE62" s="3" t="n">
        <v>3</v>
      </c>
      <c r="FF62" s="2" t="inlineStr">
        <is>
          <t>E.8小时以上</t>
        </is>
      </c>
      <c r="FG62" s="7" t="n">
        <v>8</v>
      </c>
      <c r="FH62" s="7" t="n">
        <v>8</v>
      </c>
      <c r="FI62" s="7" t="n">
        <v>24</v>
      </c>
      <c r="FJ62" s="7" t="n">
        <v>24</v>
      </c>
      <c r="FK62" s="7" t="n">
        <v>0</v>
      </c>
      <c r="FL62" s="7" t="n">
        <v>0</v>
      </c>
      <c r="FM62" s="7" t="n">
        <v>0</v>
      </c>
      <c r="FN62" s="7" t="n">
        <v>0</v>
      </c>
      <c r="FO62" s="2" t="inlineStr">
        <is>
          <t>专业技术类</t>
        </is>
      </c>
      <c r="FP62" s="2"/>
      <c r="FQ62" s="2" t="inlineStr">
        <is>
          <t>专业问题协调</t>
        </is>
      </c>
      <c r="FR62" s="2" t="inlineStr">
        <is>
          <t>岗位职责</t>
        </is>
      </c>
      <c r="FS62" s="2" t="inlineStr">
        <is>
          <t>重要且紧急</t>
        </is>
      </c>
      <c r="FT62" s="2" t="inlineStr">
        <is>
          <t>非标准化-无先例参考，需创新协调</t>
        </is>
      </c>
      <c r="FU62" s="2" t="inlineStr">
        <is>
          <t>极少（&lt;5%）</t>
        </is>
      </c>
      <c r="FV62" s="2" t="inlineStr">
        <is>
          <t>脑力/复杂度负荷</t>
        </is>
      </c>
      <c r="FW62" s="2"/>
    </row>
    <row r="63">
      <c r="A63" s="2" t="inlineStr">
        <is>
          <t>2026-05-25 16:16:05</t>
        </is>
      </c>
      <c r="B63" s="2" t="inlineStr">
        <is>
          <t>戈仕骏</t>
        </is>
      </c>
      <c r="C63" s="2" t="inlineStr">
        <is>
          <t>市场开发部</t>
        </is>
      </c>
      <c r="D63" s="2" t="inlineStr">
        <is>
          <t>男</t>
        </is>
      </c>
      <c r="E63" s="2" t="inlineStr">
        <is>
          <t>320112199403291612</t>
        </is>
      </c>
      <c r="F63" s="2" t="inlineStr">
        <is>
          <t>技术助理(一)</t>
        </is>
      </c>
      <c r="G63" s="2" t="inlineStr">
        <is>
          <t>2021-01</t>
        </is>
      </c>
      <c r="H63" s="2" t="inlineStr">
        <is>
          <t>首都师范大学</t>
        </is>
      </c>
      <c r="I63" s="2" t="inlineStr">
        <is>
          <t>其他</t>
        </is>
      </c>
      <c r="J63" s="2" t="inlineStr">
        <is>
          <t>本科</t>
        </is>
      </c>
      <c r="K63" s="2"/>
      <c r="L63" s="6">
        <f>HYPERLINK("https://www.h3yun.com/Form/Attachments/?schemacode=D1483577de63ede327d4760b10664bd57671d7e&amp;bizObjectId=3ee0f089-07d9-4ae5-9517-a3a3d0640e95&amp;name=F0000046","点击查看")</f>
        <v>0</v>
      </c>
      <c r="M63" s="2" t="inlineStr">
        <is>
          <t>建议有时候确实时间紧急，各方流程可否后补？望理解</t>
        </is>
      </c>
      <c r="N63" s="2" t="inlineStr">
        <is>
          <t>每日工作;每周工作;每月工作;每季度/阶段性工作;临时/突发工作</t>
        </is>
      </c>
      <c r="O63" s="2" t="inlineStr">
        <is>
          <t>31-35岁</t>
        </is>
      </c>
      <c r="P63" s="2" t="inlineStr">
        <is>
          <t>C.已婚已育</t>
        </is>
      </c>
      <c r="Q63" s="2" t="inlineStr">
        <is>
          <t>A.否</t>
        </is>
      </c>
      <c r="R63" s="2" t="inlineStr">
        <is>
          <t>B.有1名</t>
        </is>
      </c>
      <c r="S63" s="2" t="inlineStr">
        <is>
          <t>D.希望承担更有挑战性的工作，并争取更大发展空间</t>
        </is>
      </c>
      <c r="T63" s="2" t="inlineStr">
        <is>
          <t>B.工作内容可接受，但负荷偏重</t>
        </is>
      </c>
      <c r="U63" s="2" t="inlineStr">
        <is>
          <t>B.减少无效流转和返工</t>
        </is>
      </c>
      <c r="V63" s="2" t="inlineStr">
        <is>
          <t>A.没有</t>
        </is>
      </c>
      <c r="W63" s="2"/>
      <c r="X63" s="2" t="inlineStr">
        <is>
          <t>B.满负荷 (100%-120%)</t>
        </is>
      </c>
      <c r="Y63" s="2" t="inlineStr">
        <is>
          <t>A.岗位工作量饱和，已达人效上限;C.会议或日常协调过多，压缩产出时间;E.临时差旅、突发事件、会议加班;G.接收到任务分配单完成周期内要求的加班;I.因正常工作任务截止日遇上节假日所需加班;J.在指导答疑协助上耗时过多导致的加班</t>
        </is>
      </c>
      <c r="Z63" s="2" t="inlineStr">
        <is>
          <t>市场投标管理</t>
        </is>
      </c>
      <c r="AA63" s="2" t="inlineStr">
        <is>
          <t>无</t>
        </is>
      </c>
      <c r="AB63" s="2" t="inlineStr">
        <is>
          <t>市场投标管理</t>
        </is>
      </c>
      <c r="AC63" s="2" t="inlineStr">
        <is>
          <t>A.高度匹配（得心应手）</t>
        </is>
      </c>
      <c r="AD63" s="2" t="inlineStr">
        <is>
          <t>无</t>
        </is>
      </c>
      <c r="AE63" s="2" t="inlineStr">
        <is>
          <t>无</t>
        </is>
      </c>
      <c r="AF63" s="2" t="inlineStr">
        <is>
          <t>无</t>
        </is>
      </c>
      <c r="AG63" s="2" t="inlineStr">
        <is>
          <t>D.配偶不是公司家属</t>
        </is>
      </c>
      <c r="AH63" s="2"/>
      <c r="AI63" s="7" t="n">
        <v>16</v>
      </c>
      <c r="AJ63" s="7" t="n">
        <v>52</v>
      </c>
      <c r="AK63" s="7" t="n">
        <v>1.2</v>
      </c>
      <c r="AL63" s="7" t="n">
        <v>1.6</v>
      </c>
      <c r="AM63" s="7" t="n">
        <v>0.09</v>
      </c>
      <c r="AN63" s="7" t="n">
        <v>0.18</v>
      </c>
      <c r="AO63" s="7" t="n">
        <v>0.01</v>
      </c>
      <c r="AP63" s="7" t="n">
        <v>0.02</v>
      </c>
      <c r="AQ63" s="7" t="n">
        <v>0.36</v>
      </c>
      <c r="AR63" s="7" t="n">
        <v>0.73</v>
      </c>
      <c r="AS63" s="7" t="n">
        <v>17.66</v>
      </c>
      <c r="AT63" s="7" t="n">
        <v>54.53</v>
      </c>
      <c r="AU63" s="7" t="n">
        <v>36.1</v>
      </c>
      <c r="AV63" s="2" t="inlineStr">
        <is>
          <t>超负荷</t>
        </is>
      </c>
      <c r="AW63" s="2" t="inlineStr">
        <is>
          <t>不一致</t>
        </is>
      </c>
      <c r="AX63" s="2" t="inlineStr">
        <is>
          <t>3ee0f089-07d9-4ae5-9517-a3a3d0640e95</t>
        </is>
      </c>
      <c r="AY63" s="2" t="inlineStr">
        <is>
          <t>市场开发部    戈仕骏</t>
        </is>
      </c>
      <c r="AZ63" s="2" t="inlineStr">
        <is>
          <t>Anonymous</t>
        </is>
      </c>
      <c r="BA63" s="2" t="inlineStr">
        <is>
          <t>Anonymous</t>
        </is>
      </c>
      <c r="BB63" s="2"/>
      <c r="BC63" s="2" t="inlineStr">
        <is>
          <t>2026-05-25 16:16:05</t>
        </is>
      </c>
      <c r="BD63" s="3" t="n">
        <v>1994</v>
      </c>
      <c r="BE63" s="3" t="n">
        <v>32</v>
      </c>
      <c r="BF63" s="2" t="inlineStr">
        <is>
          <t>A.无此需求</t>
        </is>
      </c>
      <c r="BG63" s="2" t="inlineStr">
        <is>
          <t>已生效</t>
        </is>
      </c>
      <c r="BH63" s="2" t="inlineStr">
        <is>
          <t>15d2673b-aed0-4334-96fd-7392f7845a0a</t>
        </is>
      </c>
      <c r="BI63" s="3" t="n">
        <v>1</v>
      </c>
      <c r="BJ63" s="2"/>
      <c r="BK63" s="2"/>
      <c r="BL63" s="2"/>
      <c r="BM63" s="2"/>
      <c r="BN63" s="2"/>
      <c r="BO63" s="2"/>
      <c r="BP63" s="2"/>
      <c r="BQ63" s="2"/>
      <c r="BR63" s="2"/>
      <c r="BS63" s="2" t="inlineStr">
        <is>
          <t>72cb6c24-a646-485d-b91a-6198afbf0c63</t>
        </is>
      </c>
      <c r="BT63" s="3" t="n">
        <v>1</v>
      </c>
      <c r="BU63" s="2" t="inlineStr">
        <is>
          <t>专业技术类</t>
        </is>
      </c>
      <c r="BV63" s="2" t="inlineStr">
        <is>
          <t>投标文件编制、线上线下开标（资信、技术、汇总整体）</t>
        </is>
      </c>
      <c r="BW63" s="2" t="inlineStr">
        <is>
          <t>2-5次</t>
        </is>
      </c>
      <c r="BX63" s="3" t="n">
        <v>2</v>
      </c>
      <c r="BY63" s="3" t="n">
        <v>5</v>
      </c>
      <c r="BZ63" s="2" t="inlineStr">
        <is>
          <t>D.4-8小时</t>
        </is>
      </c>
      <c r="CA63" s="7" t="n">
        <v>4</v>
      </c>
      <c r="CB63" s="7" t="n">
        <v>8</v>
      </c>
      <c r="CC63" s="7" t="n">
        <v>8</v>
      </c>
      <c r="CD63" s="7" t="n">
        <v>40</v>
      </c>
      <c r="CE63" s="2" t="inlineStr">
        <is>
          <t>专业技术类</t>
        </is>
      </c>
      <c r="CF63" s="2"/>
      <c r="CG63" s="2" t="inlineStr">
        <is>
          <t>专业问题协调</t>
        </is>
      </c>
      <c r="CH63" s="2" t="inlineStr">
        <is>
          <t>岗位职责</t>
        </is>
      </c>
      <c r="CI63" s="2" t="inlineStr">
        <is>
          <t>重要且紧急</t>
        </is>
      </c>
      <c r="CJ63" s="2" t="inlineStr">
        <is>
          <t>半标准化-有流程框架，需专业经验</t>
        </is>
      </c>
      <c r="CK63" s="2" t="inlineStr">
        <is>
          <t>中频（10%-30%）</t>
        </is>
      </c>
      <c r="CL63" s="2" t="inlineStr">
        <is>
          <t>时效/强度负荷</t>
        </is>
      </c>
      <c r="CM63" s="2" t="inlineStr">
        <is>
          <t>/</t>
        </is>
      </c>
      <c r="CN63" s="2" t="inlineStr">
        <is>
          <t>0cceb7d9-6d9d-41ad-a33a-939f545d41a3</t>
        </is>
      </c>
      <c r="CO63" s="3" t="n">
        <v>1</v>
      </c>
      <c r="CP63" s="2"/>
      <c r="CQ63" s="2" t="inlineStr">
        <is>
          <t>汇总以上每日工作，并上报相应领导。</t>
        </is>
      </c>
      <c r="CR63" s="2" t="inlineStr">
        <is>
          <t>1次</t>
        </is>
      </c>
      <c r="CS63" s="3" t="n">
        <v>1</v>
      </c>
      <c r="CT63" s="3" t="n">
        <v>1</v>
      </c>
      <c r="CU63" s="2" t="inlineStr">
        <is>
          <t>B.2小时以内</t>
        </is>
      </c>
      <c r="CV63" s="7" t="n">
        <v>2</v>
      </c>
      <c r="CW63" s="7" t="n">
        <v>2</v>
      </c>
      <c r="CX63" s="7" t="n">
        <v>2</v>
      </c>
      <c r="CY63" s="7" t="n">
        <v>2</v>
      </c>
      <c r="CZ63" s="2" t="inlineStr">
        <is>
          <t>数据报表类</t>
        </is>
      </c>
      <c r="DA63" s="2"/>
      <c r="DB63" s="2" t="inlineStr">
        <is>
          <t>经营数据汇总</t>
        </is>
      </c>
      <c r="DC63" s="2" t="inlineStr">
        <is>
          <t>部门计划</t>
        </is>
      </c>
      <c r="DD63" s="2" t="inlineStr">
        <is>
          <t>重要且紧急</t>
        </is>
      </c>
      <c r="DE63" s="2" t="inlineStr">
        <is>
          <t>半标准化-有流程框架，需专业经验</t>
        </is>
      </c>
      <c r="DF63" s="2" t="inlineStr">
        <is>
          <t>极少（&lt;5%）</t>
        </is>
      </c>
      <c r="DG63" s="2" t="inlineStr">
        <is>
          <t>脑力/复杂度负荷</t>
        </is>
      </c>
      <c r="DH63" s="2" t="inlineStr">
        <is>
          <t>/</t>
        </is>
      </c>
      <c r="DI63" s="2" t="inlineStr">
        <is>
          <t>73258185-18ba-45c9-b544-5479d255d2d8</t>
        </is>
      </c>
      <c r="DJ63" s="3" t="n">
        <v>1</v>
      </c>
      <c r="DK63" s="2"/>
      <c r="DL63" s="2" t="inlineStr">
        <is>
          <t>汇总每日及每周工作并上报相应领导</t>
        </is>
      </c>
      <c r="DM63" s="2" t="inlineStr">
        <is>
          <t>1次</t>
        </is>
      </c>
      <c r="DN63" s="3" t="n">
        <v>1</v>
      </c>
      <c r="DO63" s="3" t="n">
        <v>1</v>
      </c>
      <c r="DP63" s="2" t="inlineStr">
        <is>
          <t>C.2-4小时</t>
        </is>
      </c>
      <c r="DQ63" s="7" t="n">
        <v>2</v>
      </c>
      <c r="DR63" s="7" t="n">
        <v>4</v>
      </c>
      <c r="DS63" s="7" t="n">
        <v>2</v>
      </c>
      <c r="DT63" s="7" t="n">
        <v>4</v>
      </c>
      <c r="DU63" s="2" t="inlineStr">
        <is>
          <t>数据报表类</t>
        </is>
      </c>
      <c r="DV63" s="2"/>
      <c r="DW63" s="2" t="inlineStr">
        <is>
          <t>经营数据汇总</t>
        </is>
      </c>
      <c r="DX63" s="2" t="inlineStr">
        <is>
          <t>部门计划</t>
        </is>
      </c>
      <c r="DY63" s="2" t="inlineStr">
        <is>
          <t>重要不紧急</t>
        </is>
      </c>
      <c r="DZ63" s="2" t="inlineStr">
        <is>
          <t>半标准化-有流程框架，需专业经验</t>
        </is>
      </c>
      <c r="EA63" s="2" t="inlineStr">
        <is>
          <t>极少（&lt;5%）</t>
        </is>
      </c>
      <c r="EB63" s="2" t="inlineStr">
        <is>
          <t>脑力/复杂度负荷</t>
        </is>
      </c>
      <c r="EC63" s="2" t="inlineStr">
        <is>
          <t>/</t>
        </is>
      </c>
      <c r="ED63" s="2" t="inlineStr">
        <is>
          <t>bcb4eb0b-d304-43ec-bd88-8f26ca010c1e</t>
        </is>
      </c>
      <c r="EE63" s="3" t="n">
        <v>1</v>
      </c>
      <c r="EF63" s="2"/>
      <c r="EG63" s="2" t="inlineStr">
        <is>
          <t>汇总每日每周每月相关投标情况并上报相应领导。</t>
        </is>
      </c>
      <c r="EH63" s="2" t="inlineStr">
        <is>
          <t>1次</t>
        </is>
      </c>
      <c r="EI63" s="3" t="n">
        <v>1</v>
      </c>
      <c r="EJ63" s="2" t="inlineStr">
        <is>
          <t>C.2-4小时</t>
        </is>
      </c>
      <c r="EK63" s="7" t="n">
        <v>2</v>
      </c>
      <c r="EL63" s="7" t="n">
        <v>4</v>
      </c>
      <c r="EM63" s="7" t="n">
        <v>2</v>
      </c>
      <c r="EN63" s="7" t="n">
        <v>4</v>
      </c>
      <c r="EO63" s="2" t="inlineStr">
        <is>
          <t>数据报表类</t>
        </is>
      </c>
      <c r="EP63" s="2"/>
      <c r="EQ63" s="2" t="inlineStr">
        <is>
          <t>经营数据汇总</t>
        </is>
      </c>
      <c r="ER63" s="2" t="inlineStr">
        <is>
          <t>部门计划</t>
        </is>
      </c>
      <c r="ES63" s="2" t="inlineStr">
        <is>
          <t>重要不紧急</t>
        </is>
      </c>
      <c r="ET63" s="2" t="inlineStr">
        <is>
          <t>半标准化-有流程框架，需专业经验</t>
        </is>
      </c>
      <c r="EU63" s="2" t="inlineStr">
        <is>
          <t>极少（&lt;5%）</t>
        </is>
      </c>
      <c r="EV63" s="2" t="inlineStr">
        <is>
          <t>时效/强度负荷</t>
        </is>
      </c>
      <c r="EW63" s="2" t="inlineStr">
        <is>
          <t>/</t>
        </is>
      </c>
      <c r="EX63" s="2" t="inlineStr">
        <is>
          <t>a2349b7f-1291-44e0-a3fd-0c2e35bf918a</t>
        </is>
      </c>
      <c r="EY63" s="3" t="n">
        <v>1</v>
      </c>
      <c r="EZ63" s="2"/>
      <c r="FA63" s="2" t="inlineStr">
        <is>
          <t>临时距开标时间很短的投标工作</t>
        </is>
      </c>
      <c r="FB63" s="2" t="inlineStr">
        <is>
          <t>每月1-2次</t>
        </is>
      </c>
      <c r="FC63" s="2" t="inlineStr">
        <is>
          <t>月</t>
        </is>
      </c>
      <c r="FD63" s="3" t="n">
        <v>1</v>
      </c>
      <c r="FE63" s="3" t="n">
        <v>2</v>
      </c>
      <c r="FF63" s="2" t="inlineStr">
        <is>
          <t>E.8小时以上</t>
        </is>
      </c>
      <c r="FG63" s="7" t="n">
        <v>8</v>
      </c>
      <c r="FH63" s="7" t="n">
        <v>8</v>
      </c>
      <c r="FI63" s="7" t="n">
        <v>8</v>
      </c>
      <c r="FJ63" s="7" t="n">
        <v>16</v>
      </c>
      <c r="FK63" s="7" t="n">
        <v>0</v>
      </c>
      <c r="FL63" s="7" t="n">
        <v>0</v>
      </c>
      <c r="FM63" s="7" t="n">
        <v>0</v>
      </c>
      <c r="FN63" s="7" t="n">
        <v>0</v>
      </c>
      <c r="FO63" s="2" t="inlineStr">
        <is>
          <t>专业技术类</t>
        </is>
      </c>
      <c r="FP63" s="2"/>
      <c r="FQ63" s="2" t="inlineStr">
        <is>
          <t>专业问题协调</t>
        </is>
      </c>
      <c r="FR63" s="2" t="inlineStr">
        <is>
          <t>岗位职责</t>
        </is>
      </c>
      <c r="FS63" s="2" t="inlineStr">
        <is>
          <t>重要且紧急</t>
        </is>
      </c>
      <c r="FT63" s="2" t="inlineStr">
        <is>
          <t>半标准化-有流程框架，需专业经验</t>
        </is>
      </c>
      <c r="FU63" s="2" t="inlineStr">
        <is>
          <t>低频（5%-10%）</t>
        </is>
      </c>
      <c r="FV63" s="2" t="inlineStr">
        <is>
          <t>时效/强度负荷</t>
        </is>
      </c>
      <c r="FW63" s="2" t="inlineStr">
        <is>
          <t>/</t>
        </is>
      </c>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t="inlineStr">
        <is>
          <t>74fe7aec-e16a-4626-bf1f-1a1c4bb48877</t>
        </is>
      </c>
      <c r="BT64" s="3" t="n">
        <v>2</v>
      </c>
      <c r="BU64" s="2" t="inlineStr">
        <is>
          <t>专业技术类</t>
        </is>
      </c>
      <c r="BV64" s="2" t="inlineStr">
        <is>
          <t>线上投标流程提交、保证金支付、招标文件报名下载、招标澄清下载、平台注册</t>
        </is>
      </c>
      <c r="BW64" s="2" t="inlineStr">
        <is>
          <t>1次</t>
        </is>
      </c>
      <c r="BX64" s="3" t="n">
        <v>1</v>
      </c>
      <c r="BY64" s="3" t="n">
        <v>1</v>
      </c>
      <c r="BZ64" s="2" t="inlineStr">
        <is>
          <t>B.2小时以内</t>
        </is>
      </c>
      <c r="CA64" s="7" t="n">
        <v>2</v>
      </c>
      <c r="CB64" s="7" t="n">
        <v>2</v>
      </c>
      <c r="CC64" s="7" t="n">
        <v>2</v>
      </c>
      <c r="CD64" s="7" t="n">
        <v>2</v>
      </c>
      <c r="CE64" s="2" t="inlineStr">
        <is>
          <t>专业技术类</t>
        </is>
      </c>
      <c r="CF64" s="2"/>
      <c r="CG64" s="2" t="inlineStr">
        <is>
          <t>专业问题协调</t>
        </is>
      </c>
      <c r="CH64" s="2" t="inlineStr">
        <is>
          <t>部门计划</t>
        </is>
      </c>
      <c r="CI64" s="2" t="inlineStr">
        <is>
          <t>重要且紧急</t>
        </is>
      </c>
      <c r="CJ64" s="2" t="inlineStr">
        <is>
          <t>半标准化-有流程框架，需专业经验</t>
        </is>
      </c>
      <c r="CK64" s="2" t="inlineStr">
        <is>
          <t>低频（5%-10%）</t>
        </is>
      </c>
      <c r="CL64" s="2" t="inlineStr">
        <is>
          <t>脑力/复杂度负荷</t>
        </is>
      </c>
      <c r="CM64" s="2" t="inlineStr">
        <is>
          <t>/</t>
        </is>
      </c>
      <c r="CN64" s="2" t="inlineStr">
        <is>
          <t>82a52d38-c28c-444c-af1a-a640adf4b2e0</t>
        </is>
      </c>
      <c r="CO64" s="3" t="n">
        <v>2</v>
      </c>
      <c r="CP64" s="2"/>
      <c r="CQ64" s="2" t="inlineStr">
        <is>
          <t>跟踪项目及时关注，有条件及时进行后续招投标环节</t>
        </is>
      </c>
      <c r="CR64" s="2" t="inlineStr">
        <is>
          <t>2-3次</t>
        </is>
      </c>
      <c r="CS64" s="3" t="n">
        <v>2</v>
      </c>
      <c r="CT64" s="3" t="n">
        <v>3</v>
      </c>
      <c r="CU64" s="2" t="inlineStr">
        <is>
          <t>B.2小时以内</t>
        </is>
      </c>
      <c r="CV64" s="7" t="n">
        <v>2</v>
      </c>
      <c r="CW64" s="7" t="n">
        <v>2</v>
      </c>
      <c r="CX64" s="7" t="n">
        <v>4</v>
      </c>
      <c r="CY64" s="7" t="n">
        <v>6</v>
      </c>
      <c r="CZ64" s="2" t="inlineStr">
        <is>
          <t>专业技术类</t>
        </is>
      </c>
      <c r="DA64" s="2"/>
      <c r="DB64" s="2" t="inlineStr">
        <is>
          <t>专业问题协调</t>
        </is>
      </c>
      <c r="DC64" s="2" t="inlineStr">
        <is>
          <t>部门计划</t>
        </is>
      </c>
      <c r="DD64" s="2" t="inlineStr">
        <is>
          <t>重要且紧急</t>
        </is>
      </c>
      <c r="DE64" s="2" t="inlineStr">
        <is>
          <t>半标准化-有流程框架，需专业经验</t>
        </is>
      </c>
      <c r="DF64" s="2" t="inlineStr">
        <is>
          <t>极少（&lt;5%）</t>
        </is>
      </c>
      <c r="DG64" s="2" t="inlineStr">
        <is>
          <t>时效/强度负荷</t>
        </is>
      </c>
      <c r="DH64" s="2" t="inlineStr">
        <is>
          <t>/</t>
        </is>
      </c>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t="inlineStr">
        <is>
          <t>f133de5b-5219-42a4-864f-64af18b52361</t>
        </is>
      </c>
      <c r="BT65" s="3" t="n">
        <v>3</v>
      </c>
      <c r="BU65" s="2" t="inlineStr">
        <is>
          <t>专业技术类</t>
        </is>
      </c>
      <c r="BV65" s="2" t="inlineStr">
        <is>
          <t>线下投标文件打印盖章扫描封装、线上投标文件盖章上传解密。</t>
        </is>
      </c>
      <c r="BW65" s="2" t="inlineStr">
        <is>
          <t>1次</t>
        </is>
      </c>
      <c r="BX65" s="3" t="n">
        <v>1</v>
      </c>
      <c r="BY65" s="3" t="n">
        <v>1</v>
      </c>
      <c r="BZ65" s="2" t="inlineStr">
        <is>
          <t>D.4-8小时</t>
        </is>
      </c>
      <c r="CA65" s="7" t="n">
        <v>4</v>
      </c>
      <c r="CB65" s="7" t="n">
        <v>8</v>
      </c>
      <c r="CC65" s="7" t="n">
        <v>4</v>
      </c>
      <c r="CD65" s="7" t="n">
        <v>8</v>
      </c>
      <c r="CE65" s="2" t="inlineStr">
        <is>
          <t>专业技术类</t>
        </is>
      </c>
      <c r="CF65" s="2"/>
      <c r="CG65" s="2" t="inlineStr">
        <is>
          <t>专业问题协调</t>
        </is>
      </c>
      <c r="CH65" s="2" t="inlineStr">
        <is>
          <t>岗位职责</t>
        </is>
      </c>
      <c r="CI65" s="2" t="inlineStr">
        <is>
          <t>重要且紧急</t>
        </is>
      </c>
      <c r="CJ65" s="2" t="inlineStr">
        <is>
          <t>半标准化-有流程框架，需专业经验</t>
        </is>
      </c>
      <c r="CK65" s="2" t="inlineStr">
        <is>
          <t>低频（5%-10%）</t>
        </is>
      </c>
      <c r="CL65" s="2" t="inlineStr">
        <is>
          <t>时效/强度负荷</t>
        </is>
      </c>
      <c r="CM65" s="2" t="inlineStr">
        <is>
          <t>/</t>
        </is>
      </c>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t="inlineStr">
        <is>
          <t>7c31264b-6994-41e3-ac01-4d920f5bd0a7</t>
        </is>
      </c>
      <c r="BT66" s="3" t="n">
        <v>4</v>
      </c>
      <c r="BU66" s="2" t="inlineStr">
        <is>
          <t>专业技术类</t>
        </is>
      </c>
      <c r="BV66" s="2" t="inlineStr">
        <is>
          <t>与招标代理、业主、分公司、同事间沟通招投标文件</t>
        </is>
      </c>
      <c r="BW66" s="2" t="inlineStr">
        <is>
          <t>1次</t>
        </is>
      </c>
      <c r="BX66" s="3" t="n">
        <v>1</v>
      </c>
      <c r="BY66" s="3" t="n">
        <v>1</v>
      </c>
      <c r="BZ66" s="2" t="inlineStr">
        <is>
          <t>B.2小时以内</t>
        </is>
      </c>
      <c r="CA66" s="7" t="n">
        <v>2</v>
      </c>
      <c r="CB66" s="7" t="n">
        <v>2</v>
      </c>
      <c r="CC66" s="7" t="n">
        <v>2</v>
      </c>
      <c r="CD66" s="7" t="n">
        <v>2</v>
      </c>
      <c r="CE66" s="2" t="inlineStr">
        <is>
          <t>专业技术类</t>
        </is>
      </c>
      <c r="CF66" s="2"/>
      <c r="CG66" s="2" t="inlineStr">
        <is>
          <t>专业问题协调</t>
        </is>
      </c>
      <c r="CH66" s="2" t="inlineStr">
        <is>
          <t>岗位职责</t>
        </is>
      </c>
      <c r="CI66" s="2" t="inlineStr">
        <is>
          <t>重要且紧急</t>
        </is>
      </c>
      <c r="CJ66" s="2" t="inlineStr">
        <is>
          <t>半标准化-有流程框架，需专业经验</t>
        </is>
      </c>
      <c r="CK66" s="2" t="inlineStr">
        <is>
          <t>低频（5%-10%）</t>
        </is>
      </c>
      <c r="CL66" s="2" t="inlineStr">
        <is>
          <t>沟通/协调负荷</t>
        </is>
      </c>
      <c r="CM66" s="2" t="inlineStr">
        <is>
          <t>/</t>
        </is>
      </c>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row>
    <row r="67">
      <c r="A67" s="2" t="inlineStr">
        <is>
          <t>2026-05-25 16:08:07</t>
        </is>
      </c>
      <c r="B67" s="2" t="inlineStr">
        <is>
          <t>夏凤琴</t>
        </is>
      </c>
      <c r="C67" s="2" t="inlineStr">
        <is>
          <t>市场开发部</t>
        </is>
      </c>
      <c r="D67" s="2" t="inlineStr">
        <is>
          <t>女</t>
        </is>
      </c>
      <c r="E67" s="2" t="inlineStr">
        <is>
          <t>341221198101304125</t>
        </is>
      </c>
      <c r="F67" s="2" t="inlineStr">
        <is>
          <t>专业工程师</t>
        </is>
      </c>
      <c r="G67" s="2" t="inlineStr">
        <is>
          <t>2004-08</t>
        </is>
      </c>
      <c r="H67" s="2" t="inlineStr">
        <is>
          <t>安徽理工大学</t>
        </is>
      </c>
      <c r="I67" s="2"/>
      <c r="J67" s="2" t="inlineStr">
        <is>
          <t>大专</t>
        </is>
      </c>
      <c r="K67" s="2"/>
      <c r="L67" s="6">
        <f>HYPERLINK("https://www.h3yun.com/Form/Attachments/?schemacode=D1483577de63ede327d4760b10664bd57671d7e&amp;bizObjectId=862eb1c7-3733-4892-b1b6-d06eaf802872&amp;name=F0000046","点击查看")</f>
        <v>0</v>
      </c>
      <c r="M67" s="2" t="inlineStr">
        <is>
          <t>重复性工作</t>
        </is>
      </c>
      <c r="N67" s="2" t="inlineStr">
        <is>
          <t>每日工作</t>
        </is>
      </c>
      <c r="O67" s="2" t="inlineStr">
        <is>
          <t>41-45岁</t>
        </is>
      </c>
      <c r="P67" s="2" t="inlineStr">
        <is>
          <t>C.已婚已育</t>
        </is>
      </c>
      <c r="Q67" s="2" t="inlineStr">
        <is>
          <t>A.否</t>
        </is>
      </c>
      <c r="R67" s="2" t="inlineStr">
        <is>
          <t>A.否</t>
        </is>
      </c>
      <c r="S67" s="2" t="inlineStr">
        <is>
          <t>D.希望承担更有挑战性的工作，并争取更大发展空间</t>
        </is>
      </c>
      <c r="T67" s="2" t="inlineStr">
        <is>
          <t>A.基本满意，希望保持</t>
        </is>
      </c>
      <c r="U67" s="2" t="inlineStr">
        <is>
          <t>A.减少重复性事务</t>
        </is>
      </c>
      <c r="V67" s="2" t="inlineStr">
        <is>
          <t>D.已形成较稳定优化做法</t>
        </is>
      </c>
      <c r="W67" s="2"/>
      <c r="X67" s="2" t="inlineStr">
        <is>
          <t>B.满负荷 (100%-120%)</t>
        </is>
      </c>
      <c r="Y67" s="2" t="inlineStr">
        <is>
          <t>G.接收到任务分配单完成周期内要求的加班;I.因正常工作任务截止日遇上节假日所需加班</t>
        </is>
      </c>
      <c r="Z67" s="2" t="inlineStr">
        <is>
          <t>专业问题协调</t>
        </is>
      </c>
      <c r="AA67" s="2" t="inlineStr">
        <is>
          <t>无</t>
        </is>
      </c>
      <c r="AB67" s="2" t="inlineStr">
        <is>
          <t>专业问题协调</t>
        </is>
      </c>
      <c r="AC67" s="2" t="inlineStr">
        <is>
          <t>A.高度匹配（得心应手）</t>
        </is>
      </c>
      <c r="AD67" s="2" t="inlineStr">
        <is>
          <t>培训</t>
        </is>
      </c>
      <c r="AE67" s="2"/>
      <c r="AF67" s="2"/>
      <c r="AG67" s="2"/>
      <c r="AH67" s="2" t="inlineStr">
        <is>
          <t>C.无意向</t>
        </is>
      </c>
      <c r="AI67" s="7" t="n">
        <v>8</v>
      </c>
      <c r="AJ67" s="7" t="n">
        <v>8</v>
      </c>
      <c r="AK67" s="7" t="n">
        <v>0</v>
      </c>
      <c r="AL67" s="7" t="n">
        <v>0</v>
      </c>
      <c r="AM67" s="7" t="n">
        <v>0</v>
      </c>
      <c r="AN67" s="7" t="n">
        <v>0</v>
      </c>
      <c r="AO67" s="7" t="n">
        <v>0</v>
      </c>
      <c r="AP67" s="7" t="n">
        <v>0</v>
      </c>
      <c r="AQ67" s="7" t="n">
        <v>0</v>
      </c>
      <c r="AR67" s="7" t="n">
        <v>0</v>
      </c>
      <c r="AS67" s="7" t="n">
        <v>8</v>
      </c>
      <c r="AT67" s="7" t="n">
        <v>8</v>
      </c>
      <c r="AU67" s="7" t="n">
        <v>8</v>
      </c>
      <c r="AV67" s="2" t="inlineStr">
        <is>
          <t>满负荷</t>
        </is>
      </c>
      <c r="AW67" s="2" t="inlineStr">
        <is>
          <t>一致</t>
        </is>
      </c>
      <c r="AX67" s="2" t="inlineStr">
        <is>
          <t>862eb1c7-3733-4892-b1b6-d06eaf802872</t>
        </is>
      </c>
      <c r="AY67" s="2" t="inlineStr">
        <is>
          <t>市场开发部    夏凤琴</t>
        </is>
      </c>
      <c r="AZ67" s="2" t="inlineStr">
        <is>
          <t>Anonymous</t>
        </is>
      </c>
      <c r="BA67" s="2" t="inlineStr">
        <is>
          <t>Anonymous</t>
        </is>
      </c>
      <c r="BB67" s="2"/>
      <c r="BC67" s="2" t="inlineStr">
        <is>
          <t>2026-05-25 16:47:25</t>
        </is>
      </c>
      <c r="BD67" s="3" t="n">
        <v>1981</v>
      </c>
      <c r="BE67" s="3" t="n">
        <v>45</v>
      </c>
      <c r="BF67" s="2" t="inlineStr">
        <is>
          <t>A.无此需求</t>
        </is>
      </c>
      <c r="BG67" s="2" t="inlineStr">
        <is>
          <t>已生效</t>
        </is>
      </c>
      <c r="BH67" s="2" t="inlineStr">
        <is>
          <t>1e2bfc41-5b9e-4480-9a22-c563fa1bcd01</t>
        </is>
      </c>
      <c r="BI67" s="3" t="n">
        <v>1</v>
      </c>
      <c r="BJ67" s="2"/>
      <c r="BK67" s="2"/>
      <c r="BL67" s="2"/>
      <c r="BM67" s="2"/>
      <c r="BN67" s="2"/>
      <c r="BO67" s="2"/>
      <c r="BP67" s="2"/>
      <c r="BQ67" s="2"/>
      <c r="BR67" s="2"/>
      <c r="BS67" s="2" t="inlineStr">
        <is>
          <t>ccd6eb58-f326-430c-9467-34448fb7c45f</t>
        </is>
      </c>
      <c r="BT67" s="3" t="n">
        <v>1</v>
      </c>
      <c r="BU67" s="2" t="inlineStr">
        <is>
          <t>专业技术类</t>
        </is>
      </c>
      <c r="BV67" s="2" t="inlineStr">
        <is>
          <t>投标报价</t>
        </is>
      </c>
      <c r="BW67" s="2" t="inlineStr">
        <is>
          <t>1次</t>
        </is>
      </c>
      <c r="BX67" s="3" t="n">
        <v>1</v>
      </c>
      <c r="BY67" s="3" t="n">
        <v>1</v>
      </c>
      <c r="BZ67" s="2" t="inlineStr">
        <is>
          <t>E.8小时以上</t>
        </is>
      </c>
      <c r="CA67" s="7" t="n">
        <v>8</v>
      </c>
      <c r="CB67" s="7" t="n">
        <v>8</v>
      </c>
      <c r="CC67" s="7" t="n">
        <v>8</v>
      </c>
      <c r="CD67" s="7" t="n">
        <v>8</v>
      </c>
      <c r="CE67" s="2" t="inlineStr">
        <is>
          <t>专业技术类</t>
        </is>
      </c>
      <c r="CF67" s="2"/>
      <c r="CG67" s="2" t="inlineStr">
        <is>
          <t>专业问题协调</t>
        </is>
      </c>
      <c r="CH67" s="2" t="inlineStr">
        <is>
          <t>上级指令</t>
        </is>
      </c>
      <c r="CI67" s="2" t="inlineStr">
        <is>
          <t>重要且紧急</t>
        </is>
      </c>
      <c r="CJ67" s="2" t="inlineStr">
        <is>
          <t>非标准化-无先例参考，需创新协调</t>
        </is>
      </c>
      <c r="CK67" s="2" t="inlineStr">
        <is>
          <t>极少（&lt;5%）</t>
        </is>
      </c>
      <c r="CL67" s="2" t="inlineStr">
        <is>
          <t>时效/强度负荷</t>
        </is>
      </c>
      <c r="CM67" s="2"/>
      <c r="CN67" s="2" t="inlineStr">
        <is>
          <t>c45e31e1-a609-4c32-afc2-fab4c9b21aac</t>
        </is>
      </c>
      <c r="CO67" s="3" t="n">
        <v>1</v>
      </c>
      <c r="CP67" s="2"/>
      <c r="CQ67" s="2"/>
      <c r="CR67" s="2"/>
      <c r="CS67" s="3"/>
      <c r="CT67" s="3"/>
      <c r="CU67" s="2"/>
      <c r="CV67" s="3"/>
      <c r="CW67" s="3"/>
      <c r="CX67" s="7" t="n">
        <v>0</v>
      </c>
      <c r="CY67" s="7" t="n">
        <v>0</v>
      </c>
      <c r="CZ67" s="2"/>
      <c r="DA67" s="2"/>
      <c r="DB67" s="2"/>
      <c r="DC67" s="2"/>
      <c r="DD67" s="2"/>
      <c r="DE67" s="2"/>
      <c r="DF67" s="2"/>
      <c r="DG67" s="2"/>
      <c r="DH67" s="2"/>
      <c r="DI67" s="2" t="inlineStr">
        <is>
          <t>62640c78-2000-473f-875e-27136b52d693</t>
        </is>
      </c>
      <c r="DJ67" s="3" t="n">
        <v>1</v>
      </c>
      <c r="DK67" s="2"/>
      <c r="DL67" s="2"/>
      <c r="DM67" s="2"/>
      <c r="DN67" s="3"/>
      <c r="DO67" s="3"/>
      <c r="DP67" s="2"/>
      <c r="DQ67" s="3"/>
      <c r="DR67" s="3"/>
      <c r="DS67" s="7" t="n">
        <v>0</v>
      </c>
      <c r="DT67" s="7" t="n">
        <v>0</v>
      </c>
      <c r="DU67" s="2"/>
      <c r="DV67" s="2"/>
      <c r="DW67" s="2"/>
      <c r="DX67" s="2"/>
      <c r="DY67" s="2"/>
      <c r="DZ67" s="2"/>
      <c r="EA67" s="2"/>
      <c r="EB67" s="2"/>
      <c r="EC67" s="2"/>
      <c r="ED67" s="2" t="inlineStr">
        <is>
          <t>e1bf17b2-54ce-48c7-82a9-f88950a809a1</t>
        </is>
      </c>
      <c r="EE67" s="3" t="n">
        <v>1</v>
      </c>
      <c r="EF67" s="2"/>
      <c r="EG67" s="2"/>
      <c r="EH67" s="2"/>
      <c r="EI67" s="3"/>
      <c r="EJ67" s="2"/>
      <c r="EK67" s="3"/>
      <c r="EL67" s="3"/>
      <c r="EM67" s="7" t="n">
        <v>0</v>
      </c>
      <c r="EN67" s="7" t="n">
        <v>0</v>
      </c>
      <c r="EO67" s="2"/>
      <c r="EP67" s="2"/>
      <c r="EQ67" s="2"/>
      <c r="ER67" s="2"/>
      <c r="ES67" s="2"/>
      <c r="ET67" s="2"/>
      <c r="EU67" s="2"/>
      <c r="EV67" s="2"/>
      <c r="EW67" s="2"/>
      <c r="EX67" s="2" t="inlineStr">
        <is>
          <t>adc3dbf4-1150-4a26-9fdd-647504299ad6</t>
        </is>
      </c>
      <c r="EY67" s="3" t="n">
        <v>1</v>
      </c>
      <c r="EZ67" s="2"/>
      <c r="FA67" s="2"/>
      <c r="FB67" s="2"/>
      <c r="FC67" s="2"/>
      <c r="FD67" s="3"/>
      <c r="FE67" s="3"/>
      <c r="FF67" s="2"/>
      <c r="FG67" s="3"/>
      <c r="FH67" s="3"/>
      <c r="FI67" s="7" t="n">
        <v>0</v>
      </c>
      <c r="FJ67" s="7" t="n">
        <v>0</v>
      </c>
      <c r="FK67" s="7" t="n">
        <v>0</v>
      </c>
      <c r="FL67" s="7" t="n">
        <v>0</v>
      </c>
      <c r="FM67" s="7" t="n">
        <v>0</v>
      </c>
      <c r="FN67" s="7" t="n">
        <v>0</v>
      </c>
      <c r="FO67" s="2"/>
      <c r="FP67" s="2"/>
      <c r="FQ67" s="2"/>
      <c r="FR67" s="2"/>
      <c r="FS67" s="2"/>
      <c r="FT67" s="2"/>
      <c r="FU67" s="2"/>
      <c r="FV67" s="2"/>
      <c r="FW67" s="2"/>
    </row>
    <row r="68">
      <c r="A68" s="2" t="inlineStr">
        <is>
          <t>2026-05-25 16:04:16</t>
        </is>
      </c>
      <c r="B68" s="2" t="inlineStr">
        <is>
          <t>刘辰宏</t>
        </is>
      </c>
      <c r="C68" s="2" t="inlineStr">
        <is>
          <t>市场开发部</t>
        </is>
      </c>
      <c r="D68" s="2" t="inlineStr">
        <is>
          <t>男</t>
        </is>
      </c>
      <c r="E68" s="2" t="inlineStr">
        <is>
          <t>320683199906306030</t>
        </is>
      </c>
      <c r="F68" s="2" t="inlineStr">
        <is>
          <t>技术助理(二)</t>
        </is>
      </c>
      <c r="G68" s="2" t="inlineStr">
        <is>
          <t>2020-08</t>
        </is>
      </c>
      <c r="H68" s="2" t="inlineStr">
        <is>
          <t>南京科技职业学院</t>
        </is>
      </c>
      <c r="I68" s="2" t="inlineStr">
        <is>
          <t>土建</t>
        </is>
      </c>
      <c r="J68" s="2" t="inlineStr">
        <is>
          <t>大专</t>
        </is>
      </c>
      <c r="K68" s="2"/>
      <c r="L68" s="6">
        <f>HYPERLINK("https://www.h3yun.com/Form/Attachments/?schemacode=D1483577de63ede327d4760b10664bd57671d7e&amp;bizObjectId=c9b37f76-180d-4d49-b0d2-057dda2f9329&amp;name=F0000046","点击查看")</f>
        <v>0</v>
      </c>
      <c r="M68" s="2" t="inlineStr">
        <is>
          <t>无</t>
        </is>
      </c>
      <c r="N68" s="2" t="inlineStr">
        <is>
          <t>每周工作;每月工作</t>
        </is>
      </c>
      <c r="O68" s="2" t="inlineStr">
        <is>
          <t>26-30岁</t>
        </is>
      </c>
      <c r="P68" s="2" t="inlineStr">
        <is>
          <t>B.已婚未育</t>
        </is>
      </c>
      <c r="Q68" s="2" t="inlineStr">
        <is>
          <t>A.否</t>
        </is>
      </c>
      <c r="R68" s="2" t="inlineStr">
        <is>
          <t>A.否</t>
        </is>
      </c>
      <c r="S68" s="2" t="inlineStr">
        <is>
          <t>B.希望工作更稳定、更规律，便于兼顾家庭</t>
        </is>
      </c>
      <c r="T68" s="2" t="inlineStr">
        <is>
          <t>A.基本满意，希望保持</t>
        </is>
      </c>
      <c r="U68" s="2" t="inlineStr">
        <is>
          <t>A.减少重复性事务</t>
        </is>
      </c>
      <c r="V68" s="2" t="inlineStr">
        <is>
          <t>A.没有</t>
        </is>
      </c>
      <c r="W68" s="2"/>
      <c r="X68" s="2" t="inlineStr">
        <is>
          <t>C.均衡 (80%-100%)</t>
        </is>
      </c>
      <c r="Y68" s="2" t="inlineStr">
        <is>
          <t>G.接收到任务分配单完成周期内要求的加班;I.因正常工作任务截止日遇上节假日所需加班</t>
        </is>
      </c>
      <c r="Z68" s="2" t="inlineStr">
        <is>
          <t>专项统计</t>
        </is>
      </c>
      <c r="AA68" s="2" t="inlineStr">
        <is>
          <t>无</t>
        </is>
      </c>
      <c r="AB68" s="2" t="inlineStr">
        <is>
          <t>无</t>
        </is>
      </c>
      <c r="AC68" s="2" t="inlineStr">
        <is>
          <t>B.基本匹配（正常履行）</t>
        </is>
      </c>
      <c r="AD68" s="2" t="inlineStr">
        <is>
          <t>无</t>
        </is>
      </c>
      <c r="AE68" s="2" t="inlineStr">
        <is>
          <t>无</t>
        </is>
      </c>
      <c r="AF68" s="2" t="inlineStr">
        <is>
          <t>无</t>
        </is>
      </c>
      <c r="AG68" s="2" t="inlineStr">
        <is>
          <t>D.配偶不是公司家属</t>
        </is>
      </c>
      <c r="AH68" s="2"/>
      <c r="AI68" s="7" t="n">
        <v>0</v>
      </c>
      <c r="AJ68" s="7" t="n">
        <v>0</v>
      </c>
      <c r="AK68" s="7" t="n">
        <v>3.2</v>
      </c>
      <c r="AL68" s="7" t="n">
        <v>8</v>
      </c>
      <c r="AM68" s="7" t="n">
        <v>1.45</v>
      </c>
      <c r="AN68" s="7" t="n">
        <v>2.91</v>
      </c>
      <c r="AO68" s="7" t="n">
        <v>0</v>
      </c>
      <c r="AP68" s="7" t="n">
        <v>0</v>
      </c>
      <c r="AQ68" s="7" t="n">
        <v>0</v>
      </c>
      <c r="AR68" s="7" t="n">
        <v>0</v>
      </c>
      <c r="AS68" s="7" t="n">
        <v>4.65</v>
      </c>
      <c r="AT68" s="7" t="n">
        <v>10.91</v>
      </c>
      <c r="AU68" s="7" t="n">
        <v>7.78</v>
      </c>
      <c r="AV68" s="2" t="inlineStr">
        <is>
          <t>均衡</t>
        </is>
      </c>
      <c r="AW68" s="2" t="inlineStr">
        <is>
          <t>一致</t>
        </is>
      </c>
      <c r="AX68" s="2" t="inlineStr">
        <is>
          <t>c9b37f76-180d-4d49-b0d2-057dda2f9329</t>
        </is>
      </c>
      <c r="AY68" s="2" t="inlineStr">
        <is>
          <t>市场开发部    刘辰宏</t>
        </is>
      </c>
      <c r="AZ68" s="2" t="inlineStr">
        <is>
          <t>Anonymous</t>
        </is>
      </c>
      <c r="BA68" s="2" t="inlineStr">
        <is>
          <t>Anonymous</t>
        </is>
      </c>
      <c r="BB68" s="2"/>
      <c r="BC68" s="2" t="inlineStr">
        <is>
          <t>2026-05-26 09:08:04</t>
        </is>
      </c>
      <c r="BD68" s="3" t="n">
        <v>1999</v>
      </c>
      <c r="BE68" s="3" t="n">
        <v>27</v>
      </c>
      <c r="BF68" s="2" t="inlineStr">
        <is>
          <t>A.无此需求</t>
        </is>
      </c>
      <c r="BG68" s="2" t="inlineStr">
        <is>
          <t>已生效</t>
        </is>
      </c>
      <c r="BH68" s="2" t="inlineStr">
        <is>
          <t>11a39a90-2a76-4709-9db0-5dcb78a045e8</t>
        </is>
      </c>
      <c r="BI68" s="3" t="n">
        <v>1</v>
      </c>
      <c r="BJ68" s="2"/>
      <c r="BK68" s="2"/>
      <c r="BL68" s="2"/>
      <c r="BM68" s="2"/>
      <c r="BN68" s="2"/>
      <c r="BO68" s="2"/>
      <c r="BP68" s="2"/>
      <c r="BQ68" s="2"/>
      <c r="BR68" s="2"/>
      <c r="BS68" s="2" t="inlineStr">
        <is>
          <t>9ff671ec-6bec-4943-af73-b35aace5fa70</t>
        </is>
      </c>
      <c r="BT68" s="3" t="n">
        <v>1</v>
      </c>
      <c r="BU68" s="2"/>
      <c r="BV68" s="2"/>
      <c r="BW68" s="2"/>
      <c r="BX68" s="3"/>
      <c r="BY68" s="3"/>
      <c r="BZ68" s="2"/>
      <c r="CA68" s="3"/>
      <c r="CB68" s="3"/>
      <c r="CC68" s="7" t="n">
        <v>0</v>
      </c>
      <c r="CD68" s="7" t="n">
        <v>0</v>
      </c>
      <c r="CE68" s="2"/>
      <c r="CF68" s="2"/>
      <c r="CG68" s="2"/>
      <c r="CH68" s="2"/>
      <c r="CI68" s="2"/>
      <c r="CJ68" s="2"/>
      <c r="CK68" s="2"/>
      <c r="CL68" s="2"/>
      <c r="CM68" s="2"/>
      <c r="CN68" s="2" t="inlineStr">
        <is>
          <t>b34f2868-4696-4e46-bb2a-0dc8ec5003b2</t>
        </is>
      </c>
      <c r="CO68" s="3" t="n">
        <v>1</v>
      </c>
      <c r="CP68" s="2"/>
      <c r="CQ68" s="2" t="inlineStr">
        <is>
          <t>成本分析</t>
        </is>
      </c>
      <c r="CR68" s="2" t="inlineStr">
        <is>
          <t>4-5次</t>
        </is>
      </c>
      <c r="CS68" s="3" t="n">
        <v>4</v>
      </c>
      <c r="CT68" s="3" t="n">
        <v>5</v>
      </c>
      <c r="CU68" s="2" t="inlineStr">
        <is>
          <t>D.4-8小时</t>
        </is>
      </c>
      <c r="CV68" s="7" t="n">
        <v>4</v>
      </c>
      <c r="CW68" s="7" t="n">
        <v>8</v>
      </c>
      <c r="CX68" s="7" t="n">
        <v>16</v>
      </c>
      <c r="CY68" s="7" t="n">
        <v>40</v>
      </c>
      <c r="CZ68" s="2" t="inlineStr">
        <is>
          <t>数据报表类</t>
        </is>
      </c>
      <c r="DA68" s="2"/>
      <c r="DB68" s="2" t="inlineStr">
        <is>
          <t>专项统计</t>
        </is>
      </c>
      <c r="DC68" s="2" t="inlineStr">
        <is>
          <t>上级指令</t>
        </is>
      </c>
      <c r="DD68" s="2" t="inlineStr">
        <is>
          <t>重要不紧急</t>
        </is>
      </c>
      <c r="DE68" s="2" t="inlineStr">
        <is>
          <t>非标准化-无先例参考，需创新协调</t>
        </is>
      </c>
      <c r="DF68" s="2" t="inlineStr">
        <is>
          <t>低频（5%-10%）</t>
        </is>
      </c>
      <c r="DG68" s="2" t="inlineStr">
        <is>
          <t>脑力/复杂度负荷</t>
        </is>
      </c>
      <c r="DH68" s="2"/>
      <c r="DI68" s="2" t="inlineStr">
        <is>
          <t>3c944c8f-1f6a-443a-9aad-18f97ca95aa2</t>
        </is>
      </c>
      <c r="DJ68" s="3" t="n">
        <v>1</v>
      </c>
      <c r="DK68" s="2"/>
      <c r="DL68" s="2" t="inlineStr">
        <is>
          <t>投标预算</t>
        </is>
      </c>
      <c r="DM68" s="2" t="inlineStr">
        <is>
          <t>4-8次</t>
        </is>
      </c>
      <c r="DN68" s="3" t="n">
        <v>4</v>
      </c>
      <c r="DO68" s="3" t="n">
        <v>8</v>
      </c>
      <c r="DP68" s="2" t="inlineStr">
        <is>
          <t>E.8小时以上</t>
        </is>
      </c>
      <c r="DQ68" s="7" t="n">
        <v>8</v>
      </c>
      <c r="DR68" s="7" t="n">
        <v>8</v>
      </c>
      <c r="DS68" s="7" t="n">
        <v>32</v>
      </c>
      <c r="DT68" s="7" t="n">
        <v>64</v>
      </c>
      <c r="DU68" s="2" t="inlineStr">
        <is>
          <t>专业技术类</t>
        </is>
      </c>
      <c r="DV68" s="2"/>
      <c r="DW68" s="2" t="inlineStr">
        <is>
          <t>专业问题协调</t>
        </is>
      </c>
      <c r="DX68" s="2" t="inlineStr">
        <is>
          <t>上级指令</t>
        </is>
      </c>
      <c r="DY68" s="2" t="inlineStr">
        <is>
          <t>重要且紧急</t>
        </is>
      </c>
      <c r="DZ68" s="2" t="inlineStr">
        <is>
          <t>半标准化-有流程框架，需专业经验</t>
        </is>
      </c>
      <c r="EA68" s="2" t="inlineStr">
        <is>
          <t>低频（5%-10%）</t>
        </is>
      </c>
      <c r="EB68" s="2" t="inlineStr">
        <is>
          <t>脑力/复杂度负荷</t>
        </is>
      </c>
      <c r="EC68" s="2"/>
      <c r="ED68" s="2" t="inlineStr">
        <is>
          <t>e50fe14f-39ae-4f13-985c-0be41d34ac2b</t>
        </is>
      </c>
      <c r="EE68" s="3" t="n">
        <v>1</v>
      </c>
      <c r="EF68" s="2"/>
      <c r="EG68" s="2"/>
      <c r="EH68" s="2"/>
      <c r="EI68" s="3"/>
      <c r="EJ68" s="2"/>
      <c r="EK68" s="3"/>
      <c r="EL68" s="3"/>
      <c r="EM68" s="7" t="n">
        <v>0</v>
      </c>
      <c r="EN68" s="7" t="n">
        <v>0</v>
      </c>
      <c r="EO68" s="2"/>
      <c r="EP68" s="2"/>
      <c r="EQ68" s="2"/>
      <c r="ER68" s="2"/>
      <c r="ES68" s="2"/>
      <c r="ET68" s="2"/>
      <c r="EU68" s="2"/>
      <c r="EV68" s="2"/>
      <c r="EW68" s="2"/>
      <c r="EX68" s="2" t="inlineStr">
        <is>
          <t>1e3ae407-0bb5-4443-9fb3-9ef83fa8e99b</t>
        </is>
      </c>
      <c r="EY68" s="3" t="n">
        <v>1</v>
      </c>
      <c r="EZ68" s="2"/>
      <c r="FA68" s="2"/>
      <c r="FB68" s="2"/>
      <c r="FC68" s="2"/>
      <c r="FD68" s="3"/>
      <c r="FE68" s="3"/>
      <c r="FF68" s="2"/>
      <c r="FG68" s="3"/>
      <c r="FH68" s="3"/>
      <c r="FI68" s="7" t="n">
        <v>0</v>
      </c>
      <c r="FJ68" s="7" t="n">
        <v>0</v>
      </c>
      <c r="FK68" s="7" t="n">
        <v>0</v>
      </c>
      <c r="FL68" s="7" t="n">
        <v>0</v>
      </c>
      <c r="FM68" s="7" t="n">
        <v>0</v>
      </c>
      <c r="FN68" s="7" t="n">
        <v>0</v>
      </c>
      <c r="FO68" s="2"/>
      <c r="FP68" s="2"/>
      <c r="FQ68" s="2"/>
      <c r="FR68" s="2"/>
      <c r="FS68" s="2"/>
      <c r="FT68" s="2"/>
      <c r="FU68" s="2"/>
      <c r="FV68" s="2"/>
      <c r="FW68" s="2"/>
    </row>
    <row r="69">
      <c r="A69" s="2" t="inlineStr">
        <is>
          <t>2026-05-25 15:33:02</t>
        </is>
      </c>
      <c r="B69" s="2" t="inlineStr">
        <is>
          <t>张芬</t>
        </is>
      </c>
      <c r="C69" s="2" t="inlineStr">
        <is>
          <t>市场开发部</t>
        </is>
      </c>
      <c r="D69" s="2" t="inlineStr">
        <is>
          <t>女</t>
        </is>
      </c>
      <c r="E69" s="2" t="inlineStr">
        <is>
          <t>320112197611120026</t>
        </is>
      </c>
      <c r="F69" s="2" t="inlineStr">
        <is>
          <t>业务主办B</t>
        </is>
      </c>
      <c r="G69" s="2" t="inlineStr">
        <is>
          <t>1995-08</t>
        </is>
      </c>
      <c r="H69" s="2" t="inlineStr">
        <is>
          <t>南京中华会计函授学校</t>
        </is>
      </c>
      <c r="I69" s="2" t="inlineStr">
        <is>
          <t>其他</t>
        </is>
      </c>
      <c r="J69" s="2" t="inlineStr">
        <is>
          <t>中专</t>
        </is>
      </c>
      <c r="K69" s="2"/>
      <c r="L69" s="6">
        <f>HYPERLINK("https://www.h3yun.com/Form/Attachments/?schemacode=D1483577de63ede327d4760b10664bd57671d7e&amp;bizObjectId=bd577fbf-9e28-4ed1-b40d-f7dc91361a27&amp;name=F0000046","点击查看")</f>
        <v>0</v>
      </c>
      <c r="M69" s="2" t="inlineStr">
        <is>
          <t>无</t>
        </is>
      </c>
      <c r="N69" s="2" t="inlineStr">
        <is>
          <t>每日工作;每周工作;每月工作;临时/突发工作</t>
        </is>
      </c>
      <c r="O69" s="2" t="inlineStr">
        <is>
          <t>46岁及以上</t>
        </is>
      </c>
      <c r="P69" s="2" t="inlineStr">
        <is>
          <t>C.已婚已育</t>
        </is>
      </c>
      <c r="Q69" s="2" t="inlineStr">
        <is>
          <t>A.否</t>
        </is>
      </c>
      <c r="R69" s="2" t="inlineStr">
        <is>
          <t>A.否</t>
        </is>
      </c>
      <c r="S69" s="2" t="inlineStr">
        <is>
          <t>A.保持当前工作内容和节奏，收入相对稳定即可</t>
        </is>
      </c>
      <c r="T69" s="2" t="inlineStr">
        <is>
          <t>A.基本满意，希望保持</t>
        </is>
      </c>
      <c r="U69" s="2" t="inlineStr">
        <is>
          <t>B.减少无效流转和返工</t>
        </is>
      </c>
      <c r="V69" s="2" t="inlineStr">
        <is>
          <t>A.没有</t>
        </is>
      </c>
      <c r="W69" s="2"/>
      <c r="X69" s="2" t="inlineStr">
        <is>
          <t>C.均衡 (80%-100%)</t>
        </is>
      </c>
      <c r="Y69" s="2" t="inlineStr">
        <is>
          <t>E.项目服务按照项目作息考勤制加班;G.接收到任务分配单完成周期内要求的加班</t>
        </is>
      </c>
      <c r="Z69" s="2" t="inlineStr">
        <is>
          <t>市场投标管理</t>
        </is>
      </c>
      <c r="AA69" s="2" t="inlineStr">
        <is>
          <t>无</t>
        </is>
      </c>
      <c r="AB69" s="2" t="inlineStr">
        <is>
          <t>市场投标管理</t>
        </is>
      </c>
      <c r="AC69" s="2" t="inlineStr">
        <is>
          <t>B.基本匹配（正常履行）</t>
        </is>
      </c>
      <c r="AD69" s="2" t="inlineStr">
        <is>
          <t>无</t>
        </is>
      </c>
      <c r="AE69" s="2"/>
      <c r="AF69" s="2"/>
      <c r="AG69" s="2" t="inlineStr">
        <is>
          <t>D.配偶不是公司家属</t>
        </is>
      </c>
      <c r="AH69" s="2" t="inlineStr">
        <is>
          <t>C.无意向</t>
        </is>
      </c>
      <c r="AI69" s="7" t="n">
        <v>8</v>
      </c>
      <c r="AJ69" s="7" t="n">
        <v>30</v>
      </c>
      <c r="AK69" s="7" t="n">
        <v>5.6</v>
      </c>
      <c r="AL69" s="7" t="n">
        <v>15.2</v>
      </c>
      <c r="AM69" s="7" t="n">
        <v>0.18</v>
      </c>
      <c r="AN69" s="7" t="n">
        <v>0.36</v>
      </c>
      <c r="AO69" s="7" t="n">
        <v>0</v>
      </c>
      <c r="AP69" s="7" t="n">
        <v>0</v>
      </c>
      <c r="AQ69" s="7" t="n">
        <v>0.27</v>
      </c>
      <c r="AR69" s="7" t="n">
        <v>0.55</v>
      </c>
      <c r="AS69" s="7" t="n">
        <v>14.05</v>
      </c>
      <c r="AT69" s="7" t="n">
        <v>46.11</v>
      </c>
      <c r="AU69" s="7" t="n">
        <v>30.08</v>
      </c>
      <c r="AV69" s="2" t="inlineStr">
        <is>
          <t>超负荷</t>
        </is>
      </c>
      <c r="AW69" s="2" t="inlineStr">
        <is>
          <t>不一致</t>
        </is>
      </c>
      <c r="AX69" s="2" t="inlineStr">
        <is>
          <t>bd577fbf-9e28-4ed1-b40d-f7dc91361a27</t>
        </is>
      </c>
      <c r="AY69" s="2" t="inlineStr">
        <is>
          <t>市场开发部    张芬</t>
        </is>
      </c>
      <c r="AZ69" s="2" t="inlineStr">
        <is>
          <t>Anonymous</t>
        </is>
      </c>
      <c r="BA69" s="2" t="inlineStr">
        <is>
          <t>Anonymous</t>
        </is>
      </c>
      <c r="BB69" s="2"/>
      <c r="BC69" s="2" t="inlineStr">
        <is>
          <t>2026-05-25 19:17:03</t>
        </is>
      </c>
      <c r="BD69" s="3" t="n">
        <v>1976</v>
      </c>
      <c r="BE69" s="3" t="n">
        <v>50</v>
      </c>
      <c r="BF69" s="2" t="inlineStr">
        <is>
          <t>A.无此需求</t>
        </is>
      </c>
      <c r="BG69" s="2" t="inlineStr">
        <is>
          <t>已生效</t>
        </is>
      </c>
      <c r="BH69" s="2" t="inlineStr">
        <is>
          <t>1d5a518e-be09-4087-b937-3aa91cce05de</t>
        </is>
      </c>
      <c r="BI69" s="3" t="n">
        <v>1</v>
      </c>
      <c r="BJ69" s="2"/>
      <c r="BK69" s="2"/>
      <c r="BL69" s="2"/>
      <c r="BM69" s="2"/>
      <c r="BN69" s="2"/>
      <c r="BO69" s="2"/>
      <c r="BP69" s="2"/>
      <c r="BQ69" s="2"/>
      <c r="BR69" s="2"/>
      <c r="BS69" s="2" t="inlineStr">
        <is>
          <t>ff6571e9-8ed1-4838-9b94-861e1a426287</t>
        </is>
      </c>
      <c r="BT69" s="3" t="n">
        <v>1</v>
      </c>
      <c r="BU69" s="2" t="inlineStr">
        <is>
          <t>流程审批类</t>
        </is>
      </c>
      <c r="BV69" s="2" t="inlineStr">
        <is>
          <t>ERP流程</t>
        </is>
      </c>
      <c r="BW69" s="2" t="inlineStr">
        <is>
          <t>2-5次</t>
        </is>
      </c>
      <c r="BX69" s="3" t="n">
        <v>2</v>
      </c>
      <c r="BY69" s="3" t="n">
        <v>5</v>
      </c>
      <c r="BZ69" s="2" t="inlineStr">
        <is>
          <t>C.2-4小时</t>
        </is>
      </c>
      <c r="CA69" s="7" t="n">
        <v>2</v>
      </c>
      <c r="CB69" s="7" t="n">
        <v>4</v>
      </c>
      <c r="CC69" s="7" t="n">
        <v>4</v>
      </c>
      <c r="CD69" s="7" t="n">
        <v>20</v>
      </c>
      <c r="CE69" s="2" t="inlineStr">
        <is>
          <t>流程审批类</t>
        </is>
      </c>
      <c r="CF69" s="2"/>
      <c r="CG69" s="2" t="inlineStr">
        <is>
          <t>市场投标管理</t>
        </is>
      </c>
      <c r="CH69" s="2" t="inlineStr">
        <is>
          <t>跨部门协同</t>
        </is>
      </c>
      <c r="CI69" s="2" t="inlineStr">
        <is>
          <t>重要且紧急</t>
        </is>
      </c>
      <c r="CJ69" s="2" t="inlineStr">
        <is>
          <t>高度标准化-有成熟SOP，照做即可</t>
        </is>
      </c>
      <c r="CK69" s="2" t="inlineStr">
        <is>
          <t>极少（&lt;5%）</t>
        </is>
      </c>
      <c r="CL69" s="2" t="inlineStr">
        <is>
          <t>时效/强度负荷</t>
        </is>
      </c>
      <c r="CM69" s="2"/>
      <c r="CN69" s="2" t="inlineStr">
        <is>
          <t>960216af-56b6-44e1-bd70-e8702d7da479</t>
        </is>
      </c>
      <c r="CO69" s="3" t="n">
        <v>1</v>
      </c>
      <c r="CP69" s="2"/>
      <c r="CQ69" s="2" t="inlineStr">
        <is>
          <t>开具社保</t>
        </is>
      </c>
      <c r="CR69" s="2" t="inlineStr">
        <is>
          <t>2-3次</t>
        </is>
      </c>
      <c r="CS69" s="3" t="n">
        <v>2</v>
      </c>
      <c r="CT69" s="3" t="n">
        <v>3</v>
      </c>
      <c r="CU69" s="2" t="inlineStr">
        <is>
          <t>C.2-4小时</t>
        </is>
      </c>
      <c r="CV69" s="7" t="n">
        <v>2</v>
      </c>
      <c r="CW69" s="7" t="n">
        <v>4</v>
      </c>
      <c r="CX69" s="7" t="n">
        <v>4</v>
      </c>
      <c r="CY69" s="7" t="n">
        <v>12</v>
      </c>
      <c r="CZ69" s="2" t="inlineStr">
        <is>
          <t>其他</t>
        </is>
      </c>
      <c r="DA69" s="2"/>
      <c r="DB69" s="2"/>
      <c r="DC69" s="2" t="inlineStr">
        <is>
          <t>上级指令</t>
        </is>
      </c>
      <c r="DD69" s="2" t="inlineStr">
        <is>
          <t>重要且紧急</t>
        </is>
      </c>
      <c r="DE69" s="2" t="inlineStr">
        <is>
          <t>高度标准化-有成熟SOP，照做即可</t>
        </is>
      </c>
      <c r="DF69" s="2" t="inlineStr">
        <is>
          <t>极少（&lt;5%）</t>
        </is>
      </c>
      <c r="DG69" s="2" t="inlineStr">
        <is>
          <t>时效/强度负荷</t>
        </is>
      </c>
      <c r="DH69" s="2"/>
      <c r="DI69" s="2" t="inlineStr">
        <is>
          <t>bed99b2e-51f7-4b00-9295-e14f01462e1d</t>
        </is>
      </c>
      <c r="DJ69" s="3" t="n">
        <v>1</v>
      </c>
      <c r="DK69" s="2"/>
      <c r="DL69" s="2" t="inlineStr">
        <is>
          <t>材料设备报表</t>
        </is>
      </c>
      <c r="DM69" s="2" t="inlineStr">
        <is>
          <t>1次</t>
        </is>
      </c>
      <c r="DN69" s="3" t="n">
        <v>1</v>
      </c>
      <c r="DO69" s="3" t="n">
        <v>1</v>
      </c>
      <c r="DP69" s="2" t="inlineStr">
        <is>
          <t>D.4-8小时</t>
        </is>
      </c>
      <c r="DQ69" s="7" t="n">
        <v>4</v>
      </c>
      <c r="DR69" s="7" t="n">
        <v>8</v>
      </c>
      <c r="DS69" s="7" t="n">
        <v>4</v>
      </c>
      <c r="DT69" s="7" t="n">
        <v>8</v>
      </c>
      <c r="DU69" s="2" t="inlineStr">
        <is>
          <t>数据报表类</t>
        </is>
      </c>
      <c r="DV69" s="2"/>
      <c r="DW69" s="2" t="inlineStr">
        <is>
          <t>专项统计</t>
        </is>
      </c>
      <c r="DX69" s="2" t="inlineStr">
        <is>
          <t>跨部门协同</t>
        </is>
      </c>
      <c r="DY69" s="2" t="inlineStr">
        <is>
          <t>重要且紧急</t>
        </is>
      </c>
      <c r="DZ69" s="2" t="inlineStr">
        <is>
          <t>半标准化-有流程框架，需专业经验</t>
        </is>
      </c>
      <c r="EA69" s="2" t="inlineStr">
        <is>
          <t>极少（&lt;5%）</t>
        </is>
      </c>
      <c r="EB69" s="2" t="inlineStr">
        <is>
          <t>沟通/协调负荷</t>
        </is>
      </c>
      <c r="EC69" s="2"/>
      <c r="ED69" s="2" t="inlineStr">
        <is>
          <t>a8dac09e-f3e3-4b27-9c51-6fb8319170b2</t>
        </is>
      </c>
      <c r="EE69" s="3" t="n">
        <v>1</v>
      </c>
      <c r="EF69" s="2"/>
      <c r="EG69" s="2"/>
      <c r="EH69" s="2"/>
      <c r="EI69" s="3"/>
      <c r="EJ69" s="2"/>
      <c r="EK69" s="3"/>
      <c r="EL69" s="3"/>
      <c r="EM69" s="7" t="n">
        <v>0</v>
      </c>
      <c r="EN69" s="7" t="n">
        <v>0</v>
      </c>
      <c r="EO69" s="2"/>
      <c r="EP69" s="2"/>
      <c r="EQ69" s="2"/>
      <c r="ER69" s="2"/>
      <c r="ES69" s="2"/>
      <c r="ET69" s="2"/>
      <c r="EU69" s="2"/>
      <c r="EV69" s="2"/>
      <c r="EW69" s="2"/>
      <c r="EX69" s="2" t="inlineStr">
        <is>
          <t>d6ebd53e-f7f6-47c5-9ce6-5f2719158c47</t>
        </is>
      </c>
      <c r="EY69" s="3" t="n">
        <v>1</v>
      </c>
      <c r="EZ69" s="2"/>
      <c r="FA69" s="2" t="inlineStr">
        <is>
          <t>部门领导安排</t>
        </is>
      </c>
      <c r="FB69" s="2" t="inlineStr">
        <is>
          <t>每月3次以上</t>
        </is>
      </c>
      <c r="FC69" s="2" t="inlineStr">
        <is>
          <t>月</t>
        </is>
      </c>
      <c r="FD69" s="3" t="n">
        <v>3</v>
      </c>
      <c r="FE69" s="3" t="n">
        <v>3</v>
      </c>
      <c r="FF69" s="2" t="inlineStr">
        <is>
          <t>C.2-4小时</t>
        </is>
      </c>
      <c r="FG69" s="7" t="n">
        <v>2</v>
      </c>
      <c r="FH69" s="7" t="n">
        <v>4</v>
      </c>
      <c r="FI69" s="7" t="n">
        <v>6</v>
      </c>
      <c r="FJ69" s="7" t="n">
        <v>12</v>
      </c>
      <c r="FK69" s="7" t="n">
        <v>0</v>
      </c>
      <c r="FL69" s="7" t="n">
        <v>0</v>
      </c>
      <c r="FM69" s="7" t="n">
        <v>0</v>
      </c>
      <c r="FN69" s="7" t="n">
        <v>0</v>
      </c>
      <c r="FO69" s="2" t="inlineStr">
        <is>
          <t>其他</t>
        </is>
      </c>
      <c r="FP69" s="2"/>
      <c r="FQ69" s="2"/>
      <c r="FR69" s="2" t="inlineStr">
        <is>
          <t>上级指令</t>
        </is>
      </c>
      <c r="FS69" s="2" t="inlineStr">
        <is>
          <t>重要且紧急</t>
        </is>
      </c>
      <c r="FT69" s="2" t="inlineStr">
        <is>
          <t>半标准化-有流程框架，需专业经验</t>
        </is>
      </c>
      <c r="FU69" s="2" t="inlineStr">
        <is>
          <t>极少（&lt;5%）</t>
        </is>
      </c>
      <c r="FV69" s="2" t="inlineStr">
        <is>
          <t>时效/强度负荷</t>
        </is>
      </c>
      <c r="FW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t="inlineStr">
        <is>
          <t>62f557ee-1fc8-407c-99b4-1a3ad84cfa1e</t>
        </is>
      </c>
      <c r="BT70" s="3" t="n">
        <v>2</v>
      </c>
      <c r="BU70" s="2" t="inlineStr">
        <is>
          <t>协调沟通类</t>
        </is>
      </c>
      <c r="BV70" s="2" t="inlineStr">
        <is>
          <t>各平台CA借用</t>
        </is>
      </c>
      <c r="BW70" s="2" t="inlineStr">
        <is>
          <t>2-5次</t>
        </is>
      </c>
      <c r="BX70" s="3" t="n">
        <v>2</v>
      </c>
      <c r="BY70" s="3" t="n">
        <v>5</v>
      </c>
      <c r="BZ70" s="2" t="inlineStr">
        <is>
          <t>B.2小时以内</t>
        </is>
      </c>
      <c r="CA70" s="7" t="n">
        <v>2</v>
      </c>
      <c r="CB70" s="7" t="n">
        <v>2</v>
      </c>
      <c r="CC70" s="7" t="n">
        <v>4</v>
      </c>
      <c r="CD70" s="7" t="n">
        <v>10</v>
      </c>
      <c r="CE70" s="2" t="inlineStr">
        <is>
          <t>协调沟通类</t>
        </is>
      </c>
      <c r="CF70" s="2"/>
      <c r="CG70" s="2" t="inlineStr">
        <is>
          <t>跨部门对接</t>
        </is>
      </c>
      <c r="CH70" s="2" t="inlineStr">
        <is>
          <t>跨部门协同</t>
        </is>
      </c>
      <c r="CI70" s="2" t="inlineStr">
        <is>
          <t>重要且紧急</t>
        </is>
      </c>
      <c r="CJ70" s="2" t="inlineStr">
        <is>
          <t>高度标准化-有成熟SOP，照做即可</t>
        </is>
      </c>
      <c r="CK70" s="2" t="inlineStr">
        <is>
          <t>极少（&lt;5%）</t>
        </is>
      </c>
      <c r="CL70" s="2" t="inlineStr">
        <is>
          <t>沟通/协调负荷</t>
        </is>
      </c>
      <c r="CM70" s="2"/>
      <c r="CN70" s="2" t="inlineStr">
        <is>
          <t>4596ccbc-1dd7-4e8b-82ec-c8cc315e45ff</t>
        </is>
      </c>
      <c r="CO70" s="3" t="n">
        <v>2</v>
      </c>
      <c r="CP70" s="2"/>
      <c r="CQ70" s="2" t="inlineStr">
        <is>
          <t>费用</t>
        </is>
      </c>
      <c r="CR70" s="2" t="inlineStr">
        <is>
          <t>2-3次</t>
        </is>
      </c>
      <c r="CS70" s="3" t="n">
        <v>2</v>
      </c>
      <c r="CT70" s="3" t="n">
        <v>3</v>
      </c>
      <c r="CU70" s="2" t="inlineStr">
        <is>
          <t>D.4-8小时</t>
        </is>
      </c>
      <c r="CV70" s="7" t="n">
        <v>4</v>
      </c>
      <c r="CW70" s="7" t="n">
        <v>8</v>
      </c>
      <c r="CX70" s="7" t="n">
        <v>8</v>
      </c>
      <c r="CY70" s="7" t="n">
        <v>24</v>
      </c>
      <c r="CZ70" s="2" t="inlineStr">
        <is>
          <t>流程审批类</t>
        </is>
      </c>
      <c r="DA70" s="2"/>
      <c r="DB70" s="2" t="inlineStr">
        <is>
          <t>费用报销流程</t>
        </is>
      </c>
      <c r="DC70" s="2" t="inlineStr">
        <is>
          <t>上级指令</t>
        </is>
      </c>
      <c r="DD70" s="2" t="inlineStr">
        <is>
          <t>重要且紧急</t>
        </is>
      </c>
      <c r="DE70" s="2" t="inlineStr">
        <is>
          <t>高度标准化-有成熟SOP，照做即可</t>
        </is>
      </c>
      <c r="DF70" s="2" t="inlineStr">
        <is>
          <t>极少（&lt;5%）</t>
        </is>
      </c>
      <c r="DG70" s="2" t="inlineStr">
        <is>
          <t>时效/强度负荷</t>
        </is>
      </c>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t="inlineStr">
        <is>
          <t>0dddd11a-f863-4898-b061-faaeb2ebd0e6</t>
        </is>
      </c>
      <c r="CO71" s="3" t="n">
        <v>3</v>
      </c>
      <c r="CP71" s="2"/>
      <c r="CQ71" s="2" t="inlineStr">
        <is>
          <t>投保保证金</t>
        </is>
      </c>
      <c r="CR71" s="2" t="inlineStr">
        <is>
          <t>4-5次</t>
        </is>
      </c>
      <c r="CS71" s="3" t="n">
        <v>4</v>
      </c>
      <c r="CT71" s="3" t="n">
        <v>5</v>
      </c>
      <c r="CU71" s="2" t="inlineStr">
        <is>
          <t>D.4-8小时</t>
        </is>
      </c>
      <c r="CV71" s="7" t="n">
        <v>4</v>
      </c>
      <c r="CW71" s="7" t="n">
        <v>8</v>
      </c>
      <c r="CX71" s="7" t="n">
        <v>16</v>
      </c>
      <c r="CY71" s="7" t="n">
        <v>40</v>
      </c>
      <c r="CZ71" s="2" t="inlineStr">
        <is>
          <t>流程审批类</t>
        </is>
      </c>
      <c r="DA71" s="2"/>
      <c r="DB71" s="2" t="inlineStr">
        <is>
          <t>财务管理流程</t>
        </is>
      </c>
      <c r="DC71" s="2" t="inlineStr">
        <is>
          <t>上级指令</t>
        </is>
      </c>
      <c r="DD71" s="2" t="inlineStr">
        <is>
          <t>重要且紧急</t>
        </is>
      </c>
      <c r="DE71" s="2" t="inlineStr">
        <is>
          <t>高度标准化-有成熟SOP，照做即可</t>
        </is>
      </c>
      <c r="DF71" s="2" t="inlineStr">
        <is>
          <t>极少（&lt;5%）</t>
        </is>
      </c>
      <c r="DG71" s="2" t="inlineStr">
        <is>
          <t>时效/强度负荷</t>
        </is>
      </c>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row>
    <row r="72">
      <c r="A72" s="2" t="inlineStr">
        <is>
          <t>2026-05-25 15:11:17</t>
        </is>
      </c>
      <c r="B72" s="2" t="inlineStr">
        <is>
          <t>李汶铖</t>
        </is>
      </c>
      <c r="C72" s="2" t="inlineStr">
        <is>
          <t>市场开发部</t>
        </is>
      </c>
      <c r="D72" s="2" t="inlineStr">
        <is>
          <t>男</t>
        </is>
      </c>
      <c r="E72" s="2" t="inlineStr">
        <is>
          <t>320981199502115717</t>
        </is>
      </c>
      <c r="F72" s="2" t="inlineStr">
        <is>
          <t>专业工程师</t>
        </is>
      </c>
      <c r="G72" s="2" t="inlineStr">
        <is>
          <t>2017-08</t>
        </is>
      </c>
      <c r="H72" s="2" t="inlineStr">
        <is>
          <t>南京大学金陵学院</t>
        </is>
      </c>
      <c r="I72" s="2" t="inlineStr">
        <is>
          <t>土建</t>
        </is>
      </c>
      <c r="J72" s="2" t="inlineStr">
        <is>
          <t>本科</t>
        </is>
      </c>
      <c r="K72" s="2"/>
      <c r="L72" s="6">
        <f>HYPERLINK("https://www.h3yun.com/Form/Attachments/?schemacode=D1483577de63ede327d4760b10664bd57671d7e&amp;bizObjectId=b6e230b2-fd9b-4dd2-a0bb-b689a59d8e0f&amp;name=F0000046","点击查看")</f>
        <v>0</v>
      </c>
      <c r="M72" s="2" t="inlineStr">
        <is>
          <t>1、简化：因为现在报销都是从系统上走流程，付款凭证和上传的电子发票，建议由财务自行打印。
2、取消：取消食堂就餐方式，比如试点充值到饭卡，每日四菜一汤标价，按份计费，个人按需刷卡购买
3、合并：合同部应该是对公司合同业绩最为熟悉的部门，然而在投标时，并不能根据招标文件要求，准确提供业绩；反观市场部对公司业绩更为了解，合同部完全可以并入市场部，由市场部进行统一管理</t>
        </is>
      </c>
      <c r="N72" s="2" t="inlineStr">
        <is>
          <t>每日工作;每周工作;每月工作;每季度/阶段性工作;临时/突发工作</t>
        </is>
      </c>
      <c r="O72" s="2" t="inlineStr">
        <is>
          <t>31-35岁</t>
        </is>
      </c>
      <c r="P72" s="2" t="inlineStr">
        <is>
          <t>B.已婚未育</t>
        </is>
      </c>
      <c r="Q72" s="2" t="inlineStr">
        <is>
          <t>A.否</t>
        </is>
      </c>
      <c r="R72" s="2" t="inlineStr">
        <is>
          <t>A.否</t>
        </is>
      </c>
      <c r="S72" s="2" t="inlineStr">
        <is>
          <t>D.希望承担更有挑战性的工作，并争取更大发展空间</t>
        </is>
      </c>
      <c r="T72" s="2" t="inlineStr">
        <is>
          <t>B.工作内容可接受，但负荷偏重</t>
        </is>
      </c>
      <c r="U72" s="2" t="inlineStr">
        <is>
          <t>D.明确职责边界</t>
        </is>
      </c>
      <c r="V72" s="2" t="inlineStr">
        <is>
          <t>B.提出过建议，但未推动</t>
        </is>
      </c>
      <c r="W72" s="2" t="inlineStr">
        <is>
          <t>B.涉及多部门，协调难度大</t>
        </is>
      </c>
      <c r="X72" s="2" t="inlineStr">
        <is>
          <t>B.满负荷 (100%-120%)</t>
        </is>
      </c>
      <c r="Y72" s="2" t="inlineStr">
        <is>
          <t>A.岗位工作量饱和，已达人效上限;B.上游资料不全，导致反复沟通/返工;C.会议或日常协调过多，压缩产出时间;E.临时差旅、突发事件、会议加班;H.研发探索性质，保持研究不间断的主动加班;I.因正常工作任务截止日遇上节假日所需加班;J.在指导答疑协助上耗时过多导致的加班</t>
        </is>
      </c>
      <c r="Z72" s="2" t="inlineStr">
        <is>
          <t>合同流程</t>
        </is>
      </c>
      <c r="AA72" s="2" t="inlineStr">
        <is>
          <t>催办</t>
        </is>
      </c>
      <c r="AB72" s="2" t="inlineStr">
        <is>
          <t>市场投标管理</t>
        </is>
      </c>
      <c r="AC72" s="2" t="inlineStr">
        <is>
          <t>A.高度匹配（得心应手）</t>
        </is>
      </c>
      <c r="AD72" s="2" t="inlineStr">
        <is>
          <t>简化公司的ERP各项流程，保质的基础上进行提速</t>
        </is>
      </c>
      <c r="AE72" s="2" t="inlineStr">
        <is>
          <t>单纯是对现在工作和期望工作的问卷调查，并没有与薪酬有具体的联系，个人觉得填写的内容大部分是应付式工作</t>
        </is>
      </c>
      <c r="AF72" s="2" t="inlineStr">
        <is>
          <t>同上</t>
        </is>
      </c>
      <c r="AG72" s="2" t="inlineStr">
        <is>
          <t>D.配偶不是公司家属</t>
        </is>
      </c>
      <c r="AH72" s="2"/>
      <c r="AI72" s="7" t="n">
        <v>0.66</v>
      </c>
      <c r="AJ72" s="7" t="n">
        <v>1.65</v>
      </c>
      <c r="AK72" s="7" t="n">
        <v>2</v>
      </c>
      <c r="AL72" s="7" t="n">
        <v>4.4</v>
      </c>
      <c r="AM72" s="7" t="n">
        <v>1.64</v>
      </c>
      <c r="AN72" s="7" t="n">
        <v>4.18</v>
      </c>
      <c r="AO72" s="7" t="n">
        <v>0.14</v>
      </c>
      <c r="AP72" s="7" t="n">
        <v>0.17</v>
      </c>
      <c r="AQ72" s="7" t="n">
        <v>0.09</v>
      </c>
      <c r="AR72" s="7" t="n">
        <v>0.36</v>
      </c>
      <c r="AS72" s="7" t="n">
        <v>4.53</v>
      </c>
      <c r="AT72" s="7" t="n">
        <v>10.76</v>
      </c>
      <c r="AU72" s="7" t="n">
        <v>7.65</v>
      </c>
      <c r="AV72" s="2" t="inlineStr">
        <is>
          <t>均衡</t>
        </is>
      </c>
      <c r="AW72" s="2" t="inlineStr">
        <is>
          <t>不一致</t>
        </is>
      </c>
      <c r="AX72" s="2" t="inlineStr">
        <is>
          <t>b6e230b2-fd9b-4dd2-a0bb-b689a59d8e0f</t>
        </is>
      </c>
      <c r="AY72" s="2" t="inlineStr">
        <is>
          <t>市场开发部    李汶铖</t>
        </is>
      </c>
      <c r="AZ72" s="2" t="inlineStr">
        <is>
          <t>Anonymous</t>
        </is>
      </c>
      <c r="BA72" s="2" t="inlineStr">
        <is>
          <t>Anonymous</t>
        </is>
      </c>
      <c r="BB72" s="2"/>
      <c r="BC72" s="2" t="inlineStr">
        <is>
          <t>2026-05-25 15:45:50</t>
        </is>
      </c>
      <c r="BD72" s="3" t="n">
        <v>1995</v>
      </c>
      <c r="BE72" s="3" t="n">
        <v>31</v>
      </c>
      <c r="BF72" s="2" t="inlineStr">
        <is>
          <t>A.无此需求</t>
        </is>
      </c>
      <c r="BG72" s="2" t="inlineStr">
        <is>
          <t>已生效</t>
        </is>
      </c>
      <c r="BH72" s="2" t="inlineStr">
        <is>
          <t>bed73701-635f-41d3-83e5-d6380748bfac</t>
        </is>
      </c>
      <c r="BI72" s="3" t="n">
        <v>1</v>
      </c>
      <c r="BJ72" s="2"/>
      <c r="BK72" s="2"/>
      <c r="BL72" s="2"/>
      <c r="BM72" s="2"/>
      <c r="BN72" s="2"/>
      <c r="BO72" s="2"/>
      <c r="BP72" s="2"/>
      <c r="BQ72" s="2"/>
      <c r="BR72" s="2"/>
      <c r="BS72" s="2" t="inlineStr">
        <is>
          <t>b0c09f67-e595-4c83-9033-d11c4a742b07</t>
        </is>
      </c>
      <c r="BT72" s="3" t="n">
        <v>1</v>
      </c>
      <c r="BU72" s="2" t="inlineStr">
        <is>
          <t>流程审批类</t>
        </is>
      </c>
      <c r="BV72" s="2" t="inlineStr">
        <is>
          <t>走相关的业务审批流程</t>
        </is>
      </c>
      <c r="BW72" s="2" t="inlineStr">
        <is>
          <t>2-5次</t>
        </is>
      </c>
      <c r="BX72" s="3" t="n">
        <v>2</v>
      </c>
      <c r="BY72" s="3" t="n">
        <v>5</v>
      </c>
      <c r="BZ72" s="2" t="inlineStr">
        <is>
          <t>A.20分钟以内</t>
        </is>
      </c>
      <c r="CA72" s="7" t="n">
        <v>0.33</v>
      </c>
      <c r="CB72" s="7" t="n">
        <v>0.33</v>
      </c>
      <c r="CC72" s="7" t="n">
        <v>0.66</v>
      </c>
      <c r="CD72" s="7" t="n">
        <v>1.65</v>
      </c>
      <c r="CE72" s="2" t="inlineStr">
        <is>
          <t>流程审批类</t>
        </is>
      </c>
      <c r="CF72" s="2"/>
      <c r="CG72" s="2" t="inlineStr">
        <is>
          <t>市场投标管理</t>
        </is>
      </c>
      <c r="CH72" s="2" t="inlineStr">
        <is>
          <t>上级指令</t>
        </is>
      </c>
      <c r="CI72" s="2" t="inlineStr">
        <is>
          <t>重要不紧急</t>
        </is>
      </c>
      <c r="CJ72" s="2" t="inlineStr">
        <is>
          <t>半标准化-有流程框架，需专业经验</t>
        </is>
      </c>
      <c r="CK72" s="2" t="inlineStr">
        <is>
          <t>极少（&lt;5%）</t>
        </is>
      </c>
      <c r="CL72" s="2" t="inlineStr">
        <is>
          <t>时效/强度负荷</t>
        </is>
      </c>
      <c r="CM72" s="2" t="inlineStr">
        <is>
          <t>流程审批过程批复慢，严重影响效率</t>
        </is>
      </c>
      <c r="CN72" s="2" t="inlineStr">
        <is>
          <t>620837ab-e247-4559-83ba-1e8905b00848</t>
        </is>
      </c>
      <c r="CO72" s="3" t="n">
        <v>1</v>
      </c>
      <c r="CP72" s="2"/>
      <c r="CQ72" s="2" t="inlineStr">
        <is>
          <t>周会议纪要</t>
        </is>
      </c>
      <c r="CR72" s="2" t="inlineStr">
        <is>
          <t>1次</t>
        </is>
      </c>
      <c r="CS72" s="3" t="n">
        <v>1</v>
      </c>
      <c r="CT72" s="3" t="n">
        <v>1</v>
      </c>
      <c r="CU72" s="2" t="inlineStr">
        <is>
          <t>B.2小时以内</t>
        </is>
      </c>
      <c r="CV72" s="7" t="n">
        <v>2</v>
      </c>
      <c r="CW72" s="7" t="n">
        <v>2</v>
      </c>
      <c r="CX72" s="7" t="n">
        <v>2</v>
      </c>
      <c r="CY72" s="7" t="n">
        <v>2</v>
      </c>
      <c r="CZ72" s="2" t="inlineStr">
        <is>
          <t>行政事务类</t>
        </is>
      </c>
      <c r="DA72" s="2"/>
      <c r="DB72" s="2" t="inlineStr">
        <is>
          <t>会议安排</t>
        </is>
      </c>
      <c r="DC72" s="2" t="inlineStr">
        <is>
          <t>部门计划</t>
        </is>
      </c>
      <c r="DD72" s="2" t="inlineStr">
        <is>
          <t>重要且紧急</t>
        </is>
      </c>
      <c r="DE72" s="2" t="inlineStr">
        <is>
          <t>半标准化-有流程框架，需专业经验</t>
        </is>
      </c>
      <c r="DF72" s="2" t="inlineStr">
        <is>
          <t>极少（&lt;5%）</t>
        </is>
      </c>
      <c r="DG72" s="2" t="inlineStr">
        <is>
          <t>时效/强度负荷</t>
        </is>
      </c>
      <c r="DH72" s="2"/>
      <c r="DI72" s="2" t="inlineStr">
        <is>
          <t>12b72856-2db7-490a-abc6-f32a4c47f641</t>
        </is>
      </c>
      <c r="DJ72" s="3" t="n">
        <v>1</v>
      </c>
      <c r="DK72" s="2"/>
      <c r="DL72" s="2" t="inlineStr">
        <is>
          <t>项目跟踪</t>
        </is>
      </c>
      <c r="DM72" s="2" t="inlineStr">
        <is>
          <t>8次以上</t>
        </is>
      </c>
      <c r="DN72" s="3" t="n">
        <v>8</v>
      </c>
      <c r="DO72" s="3" t="n">
        <v>8</v>
      </c>
      <c r="DP72" s="2" t="inlineStr">
        <is>
          <t>C.2-4小时</t>
        </is>
      </c>
      <c r="DQ72" s="7" t="n">
        <v>2</v>
      </c>
      <c r="DR72" s="7" t="n">
        <v>4</v>
      </c>
      <c r="DS72" s="7" t="n">
        <v>16</v>
      </c>
      <c r="DT72" s="7" t="n">
        <v>32</v>
      </c>
      <c r="DU72" s="2" t="inlineStr">
        <is>
          <t>综合管理类</t>
        </is>
      </c>
      <c r="DV72" s="2"/>
      <c r="DW72" s="2" t="inlineStr">
        <is>
          <t>重点任务督办</t>
        </is>
      </c>
      <c r="DX72" s="2" t="inlineStr">
        <is>
          <t>部门计划</t>
        </is>
      </c>
      <c r="DY72" s="2" t="inlineStr">
        <is>
          <t>重要且紧急</t>
        </is>
      </c>
      <c r="DZ72" s="2" t="inlineStr">
        <is>
          <t>非标准化-无先例参考，需创新协调</t>
        </is>
      </c>
      <c r="EA72" s="2" t="inlineStr">
        <is>
          <t>极少（&lt;5%）</t>
        </is>
      </c>
      <c r="EB72" s="2" t="inlineStr">
        <is>
          <t>脑力/复杂度负荷</t>
        </is>
      </c>
      <c r="EC72" s="2"/>
      <c r="ED72" s="2" t="inlineStr">
        <is>
          <t>6dc1263a-7c21-4ba8-81dd-3e64f35a8b15</t>
        </is>
      </c>
      <c r="EE72" s="3" t="n">
        <v>1</v>
      </c>
      <c r="EF72" s="2"/>
      <c r="EG72" s="2" t="inlineStr">
        <is>
          <t>季度会议纪要</t>
        </is>
      </c>
      <c r="EH72" s="2" t="inlineStr">
        <is>
          <t>1次</t>
        </is>
      </c>
      <c r="EI72" s="3" t="n">
        <v>1</v>
      </c>
      <c r="EJ72" s="2" t="inlineStr">
        <is>
          <t>B.2小时以内</t>
        </is>
      </c>
      <c r="EK72" s="7" t="n">
        <v>2</v>
      </c>
      <c r="EL72" s="7" t="n">
        <v>2</v>
      </c>
      <c r="EM72" s="7" t="n">
        <v>2</v>
      </c>
      <c r="EN72" s="7" t="n">
        <v>2</v>
      </c>
      <c r="EO72" s="2" t="inlineStr">
        <is>
          <t>行政事务类</t>
        </is>
      </c>
      <c r="EP72" s="2"/>
      <c r="EQ72" s="2" t="inlineStr">
        <is>
          <t>会议安排</t>
        </is>
      </c>
      <c r="ER72" s="2" t="inlineStr">
        <is>
          <t>跨部门协同</t>
        </is>
      </c>
      <c r="ES72" s="2" t="inlineStr">
        <is>
          <t>重要不紧急</t>
        </is>
      </c>
      <c r="ET72" s="2" t="inlineStr">
        <is>
          <t>半标准化-有流程框架，需专业经验</t>
        </is>
      </c>
      <c r="EU72" s="2" t="inlineStr">
        <is>
          <t>极少（&lt;5%）</t>
        </is>
      </c>
      <c r="EV72" s="2" t="inlineStr">
        <is>
          <t>沟通/协调负荷</t>
        </is>
      </c>
      <c r="EW72" s="2"/>
      <c r="EX72" s="2" t="inlineStr">
        <is>
          <t>cbc988d9-98ae-43da-a81a-ddb14d16e88a</t>
        </is>
      </c>
      <c r="EY72" s="3" t="n">
        <v>1</v>
      </c>
      <c r="EZ72" s="2"/>
      <c r="FA72" s="2" t="inlineStr">
        <is>
          <t>紧急的投标工作</t>
        </is>
      </c>
      <c r="FB72" s="2" t="inlineStr">
        <is>
          <t>每月1-2次</t>
        </is>
      </c>
      <c r="FC72" s="2" t="inlineStr">
        <is>
          <t>月</t>
        </is>
      </c>
      <c r="FD72" s="3" t="n">
        <v>1</v>
      </c>
      <c r="FE72" s="3" t="n">
        <v>2</v>
      </c>
      <c r="FF72" s="2" t="inlineStr">
        <is>
          <t>C.2-4小时</t>
        </is>
      </c>
      <c r="FG72" s="7" t="n">
        <v>2</v>
      </c>
      <c r="FH72" s="7" t="n">
        <v>4</v>
      </c>
      <c r="FI72" s="7" t="n">
        <v>2</v>
      </c>
      <c r="FJ72" s="7" t="n">
        <v>8</v>
      </c>
      <c r="FK72" s="7" t="n">
        <v>0</v>
      </c>
      <c r="FL72" s="7" t="n">
        <v>0</v>
      </c>
      <c r="FM72" s="7" t="n">
        <v>0</v>
      </c>
      <c r="FN72" s="7" t="n">
        <v>0</v>
      </c>
      <c r="FO72" s="2" t="inlineStr">
        <is>
          <t>协调沟通类</t>
        </is>
      </c>
      <c r="FP72" s="2"/>
      <c r="FQ72" s="2" t="inlineStr">
        <is>
          <t>跨部门对接</t>
        </is>
      </c>
      <c r="FR72" s="2" t="inlineStr">
        <is>
          <t>上级指令</t>
        </is>
      </c>
      <c r="FS72" s="2" t="inlineStr">
        <is>
          <t>重要且紧急</t>
        </is>
      </c>
      <c r="FT72" s="2" t="inlineStr">
        <is>
          <t>非标准化-无先例参考，需创新协调</t>
        </is>
      </c>
      <c r="FU72" s="2" t="inlineStr">
        <is>
          <t>极少（&lt;5%）</t>
        </is>
      </c>
      <c r="FV72" s="2" t="inlineStr">
        <is>
          <t>时效/强度负荷</t>
        </is>
      </c>
      <c r="FW72" s="2" t="inlineStr">
        <is>
          <t>一般是分公司的紧急投标</t>
        </is>
      </c>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t="inlineStr">
        <is>
          <t>cbfb8c2c-70bf-4d8d-8d30-cb2e86ded634</t>
        </is>
      </c>
      <c r="CO73" s="3" t="n">
        <v>2</v>
      </c>
      <c r="CP73" s="2"/>
      <c r="CQ73" s="2" t="inlineStr">
        <is>
          <t>标书进度跟踪</t>
        </is>
      </c>
      <c r="CR73" s="2" t="inlineStr">
        <is>
          <t>4-5次</t>
        </is>
      </c>
      <c r="CS73" s="3" t="n">
        <v>4</v>
      </c>
      <c r="CT73" s="3" t="n">
        <v>5</v>
      </c>
      <c r="CU73" s="2" t="inlineStr">
        <is>
          <t>C.2-4小时</t>
        </is>
      </c>
      <c r="CV73" s="7" t="n">
        <v>2</v>
      </c>
      <c r="CW73" s="7" t="n">
        <v>4</v>
      </c>
      <c r="CX73" s="7" t="n">
        <v>8</v>
      </c>
      <c r="CY73" s="7" t="n">
        <v>20</v>
      </c>
      <c r="CZ73" s="2" t="inlineStr">
        <is>
          <t>综合管理类</t>
        </is>
      </c>
      <c r="DA73" s="2"/>
      <c r="DB73" s="2" t="inlineStr">
        <is>
          <t>专题工作推进</t>
        </is>
      </c>
      <c r="DC73" s="2" t="inlineStr">
        <is>
          <t>岗位职责</t>
        </is>
      </c>
      <c r="DD73" s="2" t="inlineStr">
        <is>
          <t>重要且紧急</t>
        </is>
      </c>
      <c r="DE73" s="2" t="inlineStr">
        <is>
          <t>非标准化-无先例参考，需创新协调</t>
        </is>
      </c>
      <c r="DF73" s="2" t="inlineStr">
        <is>
          <t>低频（5%-10%）</t>
        </is>
      </c>
      <c r="DG73" s="2" t="inlineStr">
        <is>
          <t>责任/风险负荷</t>
        </is>
      </c>
      <c r="DH73" s="2"/>
      <c r="DI73" s="2" t="inlineStr">
        <is>
          <t>3e8c4584-fafd-4d65-a9c9-be0ca3ffbafa</t>
        </is>
      </c>
      <c r="DJ73" s="3" t="n">
        <v>2</v>
      </c>
      <c r="DK73" s="2"/>
      <c r="DL73" s="2" t="inlineStr">
        <is>
          <t>投标情况跟踪</t>
        </is>
      </c>
      <c r="DM73" s="2" t="inlineStr">
        <is>
          <t>4-8次</t>
        </is>
      </c>
      <c r="DN73" s="3" t="n">
        <v>4</v>
      </c>
      <c r="DO73" s="3" t="n">
        <v>8</v>
      </c>
      <c r="DP73" s="2" t="inlineStr">
        <is>
          <t>C.2-4小时</t>
        </is>
      </c>
      <c r="DQ73" s="7" t="n">
        <v>2</v>
      </c>
      <c r="DR73" s="7" t="n">
        <v>4</v>
      </c>
      <c r="DS73" s="7" t="n">
        <v>8</v>
      </c>
      <c r="DT73" s="7" t="n">
        <v>32</v>
      </c>
      <c r="DU73" s="2" t="inlineStr">
        <is>
          <t>协调沟通类</t>
        </is>
      </c>
      <c r="DV73" s="2"/>
      <c r="DW73" s="2" t="inlineStr">
        <is>
          <t>接口协调</t>
        </is>
      </c>
      <c r="DX73" s="2" t="inlineStr">
        <is>
          <t>自主发起</t>
        </is>
      </c>
      <c r="DY73" s="2" t="inlineStr">
        <is>
          <t>重要不紧急</t>
        </is>
      </c>
      <c r="DZ73" s="2" t="inlineStr">
        <is>
          <t>非标准化-无先例参考，需创新协调</t>
        </is>
      </c>
      <c r="EA73" s="2" t="inlineStr">
        <is>
          <t>极少（&lt;5%）</t>
        </is>
      </c>
      <c r="EB73" s="2" t="inlineStr">
        <is>
          <t>沟通/协调负荷</t>
        </is>
      </c>
      <c r="EC73" s="2"/>
      <c r="ED73" s="2" t="inlineStr">
        <is>
          <t>c06de14f-34a0-43dc-b3ba-dc1b4343537e</t>
        </is>
      </c>
      <c r="EE73" s="3" t="n">
        <v>2</v>
      </c>
      <c r="EF73" s="2"/>
      <c r="EG73" s="2" t="inlineStr">
        <is>
          <t>季度投标统计</t>
        </is>
      </c>
      <c r="EH73" s="2" t="inlineStr">
        <is>
          <t>1次</t>
        </is>
      </c>
      <c r="EI73" s="3" t="n">
        <v>1</v>
      </c>
      <c r="EJ73" s="2" t="inlineStr">
        <is>
          <t>C.2-4小时</t>
        </is>
      </c>
      <c r="EK73" s="7" t="n">
        <v>2</v>
      </c>
      <c r="EL73" s="7" t="n">
        <v>4</v>
      </c>
      <c r="EM73" s="7" t="n">
        <v>2</v>
      </c>
      <c r="EN73" s="7" t="n">
        <v>4</v>
      </c>
      <c r="EO73" s="2" t="inlineStr">
        <is>
          <t>数据报表类</t>
        </is>
      </c>
      <c r="EP73" s="2"/>
      <c r="EQ73" s="2" t="inlineStr">
        <is>
          <t>专项统计</t>
        </is>
      </c>
      <c r="ER73" s="2" t="inlineStr">
        <is>
          <t>部门计划</t>
        </is>
      </c>
      <c r="ES73" s="2" t="inlineStr">
        <is>
          <t>重要且紧急</t>
        </is>
      </c>
      <c r="ET73" s="2" t="inlineStr">
        <is>
          <t>半标准化-有流程框架，需专业经验</t>
        </is>
      </c>
      <c r="EU73" s="2" t="inlineStr">
        <is>
          <t>中频（10%-30%）</t>
        </is>
      </c>
      <c r="EV73" s="2" t="inlineStr">
        <is>
          <t>时效/强度负荷</t>
        </is>
      </c>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t="inlineStr">
        <is>
          <t>cc43c277-2275-4093-9a16-3d6172472fac</t>
        </is>
      </c>
      <c r="DJ74" s="3" t="n">
        <v>3</v>
      </c>
      <c r="DK74" s="2"/>
      <c r="DL74" s="2" t="inlineStr">
        <is>
          <t>月度会议纪要</t>
        </is>
      </c>
      <c r="DM74" s="2" t="inlineStr">
        <is>
          <t>1次</t>
        </is>
      </c>
      <c r="DN74" s="3" t="n">
        <v>1</v>
      </c>
      <c r="DO74" s="3" t="n">
        <v>1</v>
      </c>
      <c r="DP74" s="2" t="inlineStr">
        <is>
          <t>B.2小时以内</t>
        </is>
      </c>
      <c r="DQ74" s="7" t="n">
        <v>2</v>
      </c>
      <c r="DR74" s="7" t="n">
        <v>2</v>
      </c>
      <c r="DS74" s="7" t="n">
        <v>2</v>
      </c>
      <c r="DT74" s="7" t="n">
        <v>2</v>
      </c>
      <c r="DU74" s="2" t="inlineStr">
        <is>
          <t>行政事务类</t>
        </is>
      </c>
      <c r="DV74" s="2"/>
      <c r="DW74" s="2" t="inlineStr">
        <is>
          <t>会议安排</t>
        </is>
      </c>
      <c r="DX74" s="2" t="inlineStr">
        <is>
          <t>跨部门协同</t>
        </is>
      </c>
      <c r="DY74" s="2" t="inlineStr">
        <is>
          <t>重要不紧急</t>
        </is>
      </c>
      <c r="DZ74" s="2" t="inlineStr">
        <is>
          <t>半标准化-有流程框架，需专业经验</t>
        </is>
      </c>
      <c r="EA74" s="2" t="inlineStr">
        <is>
          <t>极少（&lt;5%）</t>
        </is>
      </c>
      <c r="EB74" s="2" t="inlineStr">
        <is>
          <t>沟通/协调负荷</t>
        </is>
      </c>
      <c r="EC74" s="2"/>
      <c r="ED74" s="2" t="inlineStr">
        <is>
          <t>6c37551a-0261-438a-9fdb-692f923153ec</t>
        </is>
      </c>
      <c r="EE74" s="3" t="n">
        <v>3</v>
      </c>
      <c r="EF74" s="2"/>
      <c r="EG74" s="2" t="inlineStr">
        <is>
          <t>投标出差</t>
        </is>
      </c>
      <c r="EH74" s="2" t="inlineStr">
        <is>
          <t>3次及以上</t>
        </is>
      </c>
      <c r="EI74" s="3" t="n">
        <v>3</v>
      </c>
      <c r="EJ74" s="2" t="inlineStr">
        <is>
          <t>E.8小时以上</t>
        </is>
      </c>
      <c r="EK74" s="7" t="n">
        <v>8</v>
      </c>
      <c r="EL74" s="7" t="n">
        <v>8</v>
      </c>
      <c r="EM74" s="7" t="n">
        <v>24</v>
      </c>
      <c r="EN74" s="7" t="n">
        <v>24</v>
      </c>
      <c r="EO74" s="2" t="inlineStr">
        <is>
          <t>其他</t>
        </is>
      </c>
      <c r="EP74" s="2" t="inlineStr">
        <is>
          <t>公出</t>
        </is>
      </c>
      <c r="EQ74" s="2"/>
      <c r="ER74" s="2" t="inlineStr">
        <is>
          <t>上级指令</t>
        </is>
      </c>
      <c r="ES74" s="2" t="inlineStr">
        <is>
          <t>重要且紧急</t>
        </is>
      </c>
      <c r="ET74" s="2" t="inlineStr">
        <is>
          <t>非标准化-无先例参考，需创新协调</t>
        </is>
      </c>
      <c r="EU74" s="2" t="inlineStr">
        <is>
          <t>极少（&lt;5%）</t>
        </is>
      </c>
      <c r="EV74" s="2" t="inlineStr">
        <is>
          <t>责任/风险负荷</t>
        </is>
      </c>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t="inlineStr">
        <is>
          <t>db5578b3-a7bb-4c55-8751-cdcb3780c7d6</t>
        </is>
      </c>
      <c r="DJ75" s="3" t="n">
        <v>4</v>
      </c>
      <c r="DK75" s="2"/>
      <c r="DL75" s="2" t="inlineStr">
        <is>
          <t>月度投标统计</t>
        </is>
      </c>
      <c r="DM75" s="2" t="inlineStr">
        <is>
          <t>1次</t>
        </is>
      </c>
      <c r="DN75" s="3" t="n">
        <v>1</v>
      </c>
      <c r="DO75" s="3" t="n">
        <v>1</v>
      </c>
      <c r="DP75" s="2" t="inlineStr">
        <is>
          <t>B.2小时以内</t>
        </is>
      </c>
      <c r="DQ75" s="7" t="n">
        <v>2</v>
      </c>
      <c r="DR75" s="7" t="n">
        <v>2</v>
      </c>
      <c r="DS75" s="7" t="n">
        <v>2</v>
      </c>
      <c r="DT75" s="7" t="n">
        <v>2</v>
      </c>
      <c r="DU75" s="2" t="inlineStr">
        <is>
          <t>数据报表类</t>
        </is>
      </c>
      <c r="DV75" s="2"/>
      <c r="DW75" s="2" t="inlineStr">
        <is>
          <t>月报</t>
        </is>
      </c>
      <c r="DX75" s="2" t="inlineStr">
        <is>
          <t>部门计划</t>
        </is>
      </c>
      <c r="DY75" s="2" t="inlineStr">
        <is>
          <t>重要且紧急</t>
        </is>
      </c>
      <c r="DZ75" s="2" t="inlineStr">
        <is>
          <t>半标准化-有流程框架，需专业经验</t>
        </is>
      </c>
      <c r="EA75" s="2" t="inlineStr">
        <is>
          <t>极少（&lt;5%）</t>
        </is>
      </c>
      <c r="EB75" s="2" t="inlineStr">
        <is>
          <t>时效/强度负荷</t>
        </is>
      </c>
      <c r="EC75" s="2"/>
      <c r="ED75" s="2" t="inlineStr">
        <is>
          <t>fb1c1414-edb1-43c7-8e2b-83a49c852ad3</t>
        </is>
      </c>
      <c r="EE75" s="3" t="n">
        <v>4</v>
      </c>
      <c r="EF75" s="2"/>
      <c r="EG75" s="2" t="inlineStr">
        <is>
          <t>江北新区建筑协会调研</t>
        </is>
      </c>
      <c r="EH75" s="2" t="inlineStr">
        <is>
          <t>3次及以上</t>
        </is>
      </c>
      <c r="EI75" s="3" t="n">
        <v>3</v>
      </c>
      <c r="EJ75" s="2" t="inlineStr">
        <is>
          <t>C.2-4小时</t>
        </is>
      </c>
      <c r="EK75" s="7" t="n">
        <v>2</v>
      </c>
      <c r="EL75" s="7" t="n">
        <v>4</v>
      </c>
      <c r="EM75" s="7" t="n">
        <v>6</v>
      </c>
      <c r="EN75" s="7" t="n">
        <v>12</v>
      </c>
      <c r="EO75" s="2" t="inlineStr">
        <is>
          <t>协调沟通类</t>
        </is>
      </c>
      <c r="EP75" s="2"/>
      <c r="EQ75" s="2" t="inlineStr">
        <is>
          <t>外部联络</t>
        </is>
      </c>
      <c r="ER75" s="2" t="inlineStr">
        <is>
          <t>上级指令</t>
        </is>
      </c>
      <c r="ES75" s="2" t="inlineStr">
        <is>
          <t>重要不紧急</t>
        </is>
      </c>
      <c r="ET75" s="2" t="inlineStr">
        <is>
          <t>非标准化-无先例参考，需创新协调</t>
        </is>
      </c>
      <c r="EU75" s="2" t="inlineStr">
        <is>
          <t>极少（&lt;5%）</t>
        </is>
      </c>
      <c r="EV75" s="2" t="inlineStr">
        <is>
          <t>沟通/协调负荷</t>
        </is>
      </c>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t="inlineStr">
        <is>
          <t>b71e2320-2a4a-4ce7-9e7b-539fb97a95fc</t>
        </is>
      </c>
      <c r="DJ76" s="3" t="n">
        <v>5</v>
      </c>
      <c r="DK76" s="2"/>
      <c r="DL76" s="2" t="inlineStr">
        <is>
          <t>投标文件编制</t>
        </is>
      </c>
      <c r="DM76" s="2" t="inlineStr">
        <is>
          <t>2-3次</t>
        </is>
      </c>
      <c r="DN76" s="3" t="n">
        <v>2</v>
      </c>
      <c r="DO76" s="3" t="n">
        <v>3</v>
      </c>
      <c r="DP76" s="2" t="inlineStr">
        <is>
          <t>D.4-8小时</t>
        </is>
      </c>
      <c r="DQ76" s="7" t="n">
        <v>4</v>
      </c>
      <c r="DR76" s="7" t="n">
        <v>8</v>
      </c>
      <c r="DS76" s="7" t="n">
        <v>8</v>
      </c>
      <c r="DT76" s="7" t="n">
        <v>24</v>
      </c>
      <c r="DU76" s="2" t="inlineStr">
        <is>
          <t>专业技术类</t>
        </is>
      </c>
      <c r="DV76" s="2"/>
      <c r="DW76" s="2" t="inlineStr">
        <is>
          <t>专业问题协调</t>
        </is>
      </c>
      <c r="DX76" s="2" t="inlineStr">
        <is>
          <t>部门计划</t>
        </is>
      </c>
      <c r="DY76" s="2" t="inlineStr">
        <is>
          <t>重要不紧急</t>
        </is>
      </c>
      <c r="DZ76" s="2" t="inlineStr">
        <is>
          <t>非标准化-无先例参考，需创新协调</t>
        </is>
      </c>
      <c r="EA76" s="2" t="inlineStr">
        <is>
          <t>极少（&lt;5%）</t>
        </is>
      </c>
      <c r="EB76" s="2" t="inlineStr">
        <is>
          <t>脑力/复杂度负荷</t>
        </is>
      </c>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row>
    <row r="77">
      <c r="A77" s="2" t="inlineStr">
        <is>
          <t>2026-05-25 14:54:27</t>
        </is>
      </c>
      <c r="B77" s="2" t="inlineStr">
        <is>
          <t>高塽</t>
        </is>
      </c>
      <c r="C77" s="2" t="inlineStr">
        <is>
          <t>市场开发部</t>
        </is>
      </c>
      <c r="D77" s="2" t="inlineStr">
        <is>
          <t>女</t>
        </is>
      </c>
      <c r="E77" s="2" t="inlineStr">
        <is>
          <t>320682198411252201</t>
        </is>
      </c>
      <c r="F77" s="2" t="inlineStr">
        <is>
          <t>专业工程师</t>
        </is>
      </c>
      <c r="G77" s="2" t="inlineStr">
        <is>
          <t>2005-08</t>
        </is>
      </c>
      <c r="H77" s="2" t="inlineStr">
        <is>
          <t>南京化工职业技术学院</t>
        </is>
      </c>
      <c r="I77" s="2" t="inlineStr">
        <is>
          <t>仪表</t>
        </is>
      </c>
      <c r="J77" s="2" t="inlineStr">
        <is>
          <t>大专</t>
        </is>
      </c>
      <c r="K77" s="2"/>
      <c r="L77" s="6">
        <f>HYPERLINK("https://www.h3yun.com/Form/Attachments/?schemacode=D1483577de63ede327d4760b10664bd57671d7e&amp;bizObjectId=da652932-6f49-4f6b-acaa-6b7e3d6895db&amp;name=F0000046","点击查看")</f>
        <v>0</v>
      </c>
      <c r="M77" s="2" t="inlineStr">
        <is>
          <t>无</t>
        </is>
      </c>
      <c r="N77" s="2" t="inlineStr">
        <is>
          <t>每日工作;每周工作;每月工作</t>
        </is>
      </c>
      <c r="O77" s="2" t="inlineStr">
        <is>
          <t>41-45岁</t>
        </is>
      </c>
      <c r="P77" s="2" t="inlineStr">
        <is>
          <t>C.已婚已育</t>
        </is>
      </c>
      <c r="Q77" s="2" t="inlineStr">
        <is>
          <t>A.否</t>
        </is>
      </c>
      <c r="R77" s="2" t="inlineStr">
        <is>
          <t>B.有1名</t>
        </is>
      </c>
      <c r="S77" s="2" t="inlineStr">
        <is>
          <t>A.保持当前工作内容和节奏，收入相对稳定即可</t>
        </is>
      </c>
      <c r="T77" s="2" t="inlineStr">
        <is>
          <t>A.基本满意，希望保持</t>
        </is>
      </c>
      <c r="U77" s="2" t="inlineStr">
        <is>
          <t>B.减少无效流转和返工</t>
        </is>
      </c>
      <c r="V77" s="2" t="inlineStr">
        <is>
          <t>A.没有</t>
        </is>
      </c>
      <c r="W77" s="2"/>
      <c r="X77" s="2" t="inlineStr">
        <is>
          <t>C.均衡 (80%-100%)</t>
        </is>
      </c>
      <c r="Y77" s="2" t="inlineStr">
        <is>
          <t>E.项目服务按照项目作息考勤制加班;G.接收到任务分配单完成周期内要求的加班</t>
        </is>
      </c>
      <c r="Z77" s="2" t="inlineStr">
        <is>
          <t>市场投标管理</t>
        </is>
      </c>
      <c r="AA77" s="2" t="inlineStr">
        <is>
          <t>无</t>
        </is>
      </c>
      <c r="AB77" s="2" t="inlineStr">
        <is>
          <t>市场投标管理</t>
        </is>
      </c>
      <c r="AC77" s="2" t="inlineStr">
        <is>
          <t>B.基本匹配（正常履行）</t>
        </is>
      </c>
      <c r="AD77" s="2" t="inlineStr">
        <is>
          <t>无</t>
        </is>
      </c>
      <c r="AE77" s="2"/>
      <c r="AF77" s="2"/>
      <c r="AG77" s="2" t="inlineStr">
        <is>
          <t>C.配偶为公司家属，常驻项目，但暂无照顾家庭的任务</t>
        </is>
      </c>
      <c r="AH77" s="2" t="inlineStr">
        <is>
          <t>C.无意向</t>
        </is>
      </c>
      <c r="AI77" s="7" t="n">
        <v>5.28</v>
      </c>
      <c r="AJ77" s="7" t="n">
        <v>6.6</v>
      </c>
      <c r="AK77" s="7" t="n">
        <v>3.6</v>
      </c>
      <c r="AL77" s="7" t="n">
        <v>4</v>
      </c>
      <c r="AM77" s="7" t="n">
        <v>3.82</v>
      </c>
      <c r="AN77" s="7" t="n">
        <v>10.73</v>
      </c>
      <c r="AO77" s="7" t="n">
        <v>0</v>
      </c>
      <c r="AP77" s="7" t="n">
        <v>0</v>
      </c>
      <c r="AQ77" s="7" t="n">
        <v>0</v>
      </c>
      <c r="AR77" s="7" t="n">
        <v>0</v>
      </c>
      <c r="AS77" s="7" t="n">
        <v>12.7</v>
      </c>
      <c r="AT77" s="7" t="n">
        <v>21.33</v>
      </c>
      <c r="AU77" s="7" t="n">
        <v>17.02</v>
      </c>
      <c r="AV77" s="2" t="inlineStr">
        <is>
          <t>超负荷</t>
        </is>
      </c>
      <c r="AW77" s="2" t="inlineStr">
        <is>
          <t>不一致</t>
        </is>
      </c>
      <c r="AX77" s="2" t="inlineStr">
        <is>
          <t>da652932-6f49-4f6b-acaa-6b7e3d6895db</t>
        </is>
      </c>
      <c r="AY77" s="2" t="inlineStr">
        <is>
          <t>市场开发部    高塽</t>
        </is>
      </c>
      <c r="AZ77" s="2" t="inlineStr">
        <is>
          <t>Anonymous</t>
        </is>
      </c>
      <c r="BA77" s="2" t="inlineStr">
        <is>
          <t>Anonymous</t>
        </is>
      </c>
      <c r="BB77" s="2"/>
      <c r="BC77" s="2" t="inlineStr">
        <is>
          <t>2026-05-25 17:01:21</t>
        </is>
      </c>
      <c r="BD77" s="3" t="n">
        <v>1984</v>
      </c>
      <c r="BE77" s="3" t="n">
        <v>42</v>
      </c>
      <c r="BF77" s="2" t="inlineStr">
        <is>
          <t>A.无此需求</t>
        </is>
      </c>
      <c r="BG77" s="2" t="inlineStr">
        <is>
          <t>已生效</t>
        </is>
      </c>
      <c r="BH77" s="2" t="inlineStr">
        <is>
          <t>ec8f7f4a-27d5-44ac-beb8-5751c84384ba</t>
        </is>
      </c>
      <c r="BI77" s="3" t="n">
        <v>1</v>
      </c>
      <c r="BJ77" s="2"/>
      <c r="BK77" s="2"/>
      <c r="BL77" s="2"/>
      <c r="BM77" s="2"/>
      <c r="BN77" s="2"/>
      <c r="BO77" s="2"/>
      <c r="BP77" s="2"/>
      <c r="BQ77" s="2"/>
      <c r="BR77" s="2"/>
      <c r="BS77" s="2" t="inlineStr">
        <is>
          <t>844008e2-cc1e-4e13-b1b7-3294181e1cc7</t>
        </is>
      </c>
      <c r="BT77" s="3" t="n">
        <v>1</v>
      </c>
      <c r="BU77" s="2" t="inlineStr">
        <is>
          <t>流程审批类</t>
        </is>
      </c>
      <c r="BV77" s="2" t="inlineStr">
        <is>
          <t>ERP流程的日常审核等</t>
        </is>
      </c>
      <c r="BW77" s="2" t="inlineStr">
        <is>
          <t>10次以上</t>
        </is>
      </c>
      <c r="BX77" s="3" t="n">
        <v>10</v>
      </c>
      <c r="BY77" s="3" t="n">
        <v>10</v>
      </c>
      <c r="BZ77" s="2" t="inlineStr">
        <is>
          <t>A.20分钟以内</t>
        </is>
      </c>
      <c r="CA77" s="7" t="n">
        <v>0.33</v>
      </c>
      <c r="CB77" s="7" t="n">
        <v>0.33</v>
      </c>
      <c r="CC77" s="7" t="n">
        <v>3.3</v>
      </c>
      <c r="CD77" s="7" t="n">
        <v>3.3</v>
      </c>
      <c r="CE77" s="2" t="inlineStr">
        <is>
          <t>流程审批类</t>
        </is>
      </c>
      <c r="CF77" s="2"/>
      <c r="CG77" s="2" t="inlineStr">
        <is>
          <t>市场投标管理</t>
        </is>
      </c>
      <c r="CH77" s="2" t="inlineStr">
        <is>
          <t>跨部门协同</t>
        </is>
      </c>
      <c r="CI77" s="2" t="inlineStr">
        <is>
          <t>重要且紧急</t>
        </is>
      </c>
      <c r="CJ77" s="2" t="inlineStr">
        <is>
          <t>高度标准化-有成熟SOP，照做即可</t>
        </is>
      </c>
      <c r="CK77" s="2" t="inlineStr">
        <is>
          <t>极少（&lt;5%）</t>
        </is>
      </c>
      <c r="CL77" s="2" t="inlineStr">
        <is>
          <t>沟通/协调负荷</t>
        </is>
      </c>
      <c r="CM77" s="2"/>
      <c r="CN77" s="2" t="inlineStr">
        <is>
          <t>da2a0afb-27b8-43e6-ad23-142b19ae79b2</t>
        </is>
      </c>
      <c r="CO77" s="3" t="n">
        <v>1</v>
      </c>
      <c r="CP77" s="2"/>
      <c r="CQ77" s="2" t="inlineStr">
        <is>
          <t>每周部门例会</t>
        </is>
      </c>
      <c r="CR77" s="2" t="inlineStr">
        <is>
          <t>1次</t>
        </is>
      </c>
      <c r="CS77" s="3" t="n">
        <v>1</v>
      </c>
      <c r="CT77" s="3" t="n">
        <v>1</v>
      </c>
      <c r="CU77" s="2" t="inlineStr">
        <is>
          <t>C.2-4小时</t>
        </is>
      </c>
      <c r="CV77" s="7" t="n">
        <v>2</v>
      </c>
      <c r="CW77" s="7" t="n">
        <v>4</v>
      </c>
      <c r="CX77" s="7" t="n">
        <v>2</v>
      </c>
      <c r="CY77" s="7" t="n">
        <v>4</v>
      </c>
      <c r="CZ77" s="2" t="inlineStr">
        <is>
          <t>综合管理类</t>
        </is>
      </c>
      <c r="DA77" s="2"/>
      <c r="DB77" s="2" t="inlineStr">
        <is>
          <t>综合性汇报组织</t>
        </is>
      </c>
      <c r="DC77" s="2" t="inlineStr">
        <is>
          <t>上级指令</t>
        </is>
      </c>
      <c r="DD77" s="2" t="inlineStr">
        <is>
          <t>重要且紧急</t>
        </is>
      </c>
      <c r="DE77" s="2" t="inlineStr">
        <is>
          <t>半标准化-有流程框架，需专业经验</t>
        </is>
      </c>
      <c r="DF77" s="2" t="inlineStr">
        <is>
          <t>极少（&lt;5%）</t>
        </is>
      </c>
      <c r="DG77" s="2" t="inlineStr">
        <is>
          <t>沟通/协调负荷</t>
        </is>
      </c>
      <c r="DH77" s="2"/>
      <c r="DI77" s="2" t="inlineStr">
        <is>
          <t>03c5a409-a13c-43ad-be24-90e4cb121b58</t>
        </is>
      </c>
      <c r="DJ77" s="3" t="n">
        <v>1</v>
      </c>
      <c r="DK77" s="2"/>
      <c r="DL77" s="2" t="inlineStr">
        <is>
          <t>注册维护各投标平台平台</t>
        </is>
      </c>
      <c r="DM77" s="2" t="inlineStr">
        <is>
          <t>4-8次</t>
        </is>
      </c>
      <c r="DN77" s="3" t="n">
        <v>4</v>
      </c>
      <c r="DO77" s="3" t="n">
        <v>8</v>
      </c>
      <c r="DP77" s="2" t="inlineStr">
        <is>
          <t>D.4-8小时</t>
        </is>
      </c>
      <c r="DQ77" s="7" t="n">
        <v>4</v>
      </c>
      <c r="DR77" s="7" t="n">
        <v>8</v>
      </c>
      <c r="DS77" s="7" t="n">
        <v>16</v>
      </c>
      <c r="DT77" s="7" t="n">
        <v>64</v>
      </c>
      <c r="DU77" s="2" t="inlineStr">
        <is>
          <t>专业技术类</t>
        </is>
      </c>
      <c r="DV77" s="2"/>
      <c r="DW77" s="2" t="inlineStr">
        <is>
          <t>标准研究</t>
        </is>
      </c>
      <c r="DX77" s="2" t="inlineStr">
        <is>
          <t>上级指令</t>
        </is>
      </c>
      <c r="DY77" s="2" t="inlineStr">
        <is>
          <t>重要且紧急</t>
        </is>
      </c>
      <c r="DZ77" s="2" t="inlineStr">
        <is>
          <t>半标准化-有流程框架，需专业经验</t>
        </is>
      </c>
      <c r="EA77" s="2" t="inlineStr">
        <is>
          <t>极少（&lt;5%）</t>
        </is>
      </c>
      <c r="EB77" s="2" t="inlineStr">
        <is>
          <t>时效/强度负荷</t>
        </is>
      </c>
      <c r="EC77" s="2"/>
      <c r="ED77" s="2" t="inlineStr">
        <is>
          <t>9e957f58-a6b0-4667-bbc9-be4ced37c248</t>
        </is>
      </c>
      <c r="EE77" s="3" t="n">
        <v>1</v>
      </c>
      <c r="EF77" s="2"/>
      <c r="EG77" s="2"/>
      <c r="EH77" s="2"/>
      <c r="EI77" s="3"/>
      <c r="EJ77" s="2"/>
      <c r="EK77" s="3"/>
      <c r="EL77" s="3"/>
      <c r="EM77" s="7" t="n">
        <v>0</v>
      </c>
      <c r="EN77" s="7" t="n">
        <v>0</v>
      </c>
      <c r="EO77" s="2"/>
      <c r="EP77" s="2"/>
      <c r="EQ77" s="2"/>
      <c r="ER77" s="2"/>
      <c r="ES77" s="2"/>
      <c r="ET77" s="2"/>
      <c r="EU77" s="2"/>
      <c r="EV77" s="2"/>
      <c r="EW77" s="2"/>
      <c r="EX77" s="2" t="inlineStr">
        <is>
          <t>76dc7bf0-29df-46f2-80a0-1f8fdb84a8ed</t>
        </is>
      </c>
      <c r="EY77" s="3" t="n">
        <v>1</v>
      </c>
      <c r="EZ77" s="2"/>
      <c r="FA77" s="2" t="inlineStr">
        <is>
          <t>各分公司投标扫码</t>
        </is>
      </c>
      <c r="FB77" s="2"/>
      <c r="FC77" s="2"/>
      <c r="FD77" s="3"/>
      <c r="FE77" s="3"/>
      <c r="FF77" s="2"/>
      <c r="FG77" s="3"/>
      <c r="FH77" s="3"/>
      <c r="FI77" s="7" t="n">
        <v>0</v>
      </c>
      <c r="FJ77" s="7" t="n">
        <v>0</v>
      </c>
      <c r="FK77" s="7" t="n">
        <v>0</v>
      </c>
      <c r="FL77" s="7" t="n">
        <v>0</v>
      </c>
      <c r="FM77" s="7" t="n">
        <v>0</v>
      </c>
      <c r="FN77" s="7" t="n">
        <v>0</v>
      </c>
      <c r="FO77" s="2"/>
      <c r="FP77" s="2"/>
      <c r="FQ77" s="2"/>
      <c r="FR77" s="2"/>
      <c r="FS77" s="2"/>
      <c r="FT77" s="2"/>
      <c r="FU77" s="2"/>
      <c r="FV77" s="2"/>
      <c r="FW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t="inlineStr">
        <is>
          <t>98f3064f-e50c-4ff7-afb5-f59e27b75f42</t>
        </is>
      </c>
      <c r="BT78" s="3" t="n">
        <v>2</v>
      </c>
      <c r="BU78" s="2" t="inlineStr">
        <is>
          <t>流程审批类</t>
        </is>
      </c>
      <c r="BV78" s="2" t="inlineStr">
        <is>
          <t>ERP流程的日常审核等</t>
        </is>
      </c>
      <c r="BW78" s="2" t="inlineStr">
        <is>
          <t>6-10次</t>
        </is>
      </c>
      <c r="BX78" s="3" t="n">
        <v>6</v>
      </c>
      <c r="BY78" s="3" t="n">
        <v>10</v>
      </c>
      <c r="BZ78" s="2" t="inlineStr">
        <is>
          <t>A.20分钟以内</t>
        </is>
      </c>
      <c r="CA78" s="7" t="n">
        <v>0.33</v>
      </c>
      <c r="CB78" s="7" t="n">
        <v>0.33</v>
      </c>
      <c r="CC78" s="7" t="n">
        <v>1.98</v>
      </c>
      <c r="CD78" s="7" t="n">
        <v>3.3</v>
      </c>
      <c r="CE78" s="2" t="inlineStr">
        <is>
          <t>流程审批类</t>
        </is>
      </c>
      <c r="CF78" s="2"/>
      <c r="CG78" s="2" t="inlineStr">
        <is>
          <t>市场投标管理</t>
        </is>
      </c>
      <c r="CH78" s="2" t="inlineStr">
        <is>
          <t>上级指令</t>
        </is>
      </c>
      <c r="CI78" s="2" t="inlineStr">
        <is>
          <t>重要且紧急</t>
        </is>
      </c>
      <c r="CJ78" s="2" t="inlineStr">
        <is>
          <t>高度标准化-有成熟SOP，照做即可</t>
        </is>
      </c>
      <c r="CK78" s="2" t="inlineStr">
        <is>
          <t>极少（&lt;5%）</t>
        </is>
      </c>
      <c r="CL78" s="2" t="inlineStr">
        <is>
          <t>沟通/协调负荷</t>
        </is>
      </c>
      <c r="CM78" s="2"/>
      <c r="CN78" s="2" t="inlineStr">
        <is>
          <t>7b65df8a-10eb-4ba3-b105-b4dd41b2a400</t>
        </is>
      </c>
      <c r="CO78" s="3" t="n">
        <v>2</v>
      </c>
      <c r="CP78" s="2"/>
      <c r="CQ78" s="2" t="inlineStr">
        <is>
          <t>统计各片区每周的开标情况</t>
        </is>
      </c>
      <c r="CR78" s="2" t="inlineStr">
        <is>
          <t>1次</t>
        </is>
      </c>
      <c r="CS78" s="3" t="n">
        <v>1</v>
      </c>
      <c r="CT78" s="3" t="n">
        <v>1</v>
      </c>
      <c r="CU78" s="2" t="inlineStr">
        <is>
          <t>E.8小时以上</t>
        </is>
      </c>
      <c r="CV78" s="7" t="n">
        <v>8</v>
      </c>
      <c r="CW78" s="7" t="n">
        <v>8</v>
      </c>
      <c r="CX78" s="7" t="n">
        <v>8</v>
      </c>
      <c r="CY78" s="7" t="n">
        <v>8</v>
      </c>
      <c r="CZ78" s="2" t="inlineStr">
        <is>
          <t>数据报表类</t>
        </is>
      </c>
      <c r="DA78" s="2"/>
      <c r="DB78" s="2" t="inlineStr">
        <is>
          <t>专项统计</t>
        </is>
      </c>
      <c r="DC78" s="2" t="inlineStr">
        <is>
          <t>跨部门协同</t>
        </is>
      </c>
      <c r="DD78" s="2" t="inlineStr">
        <is>
          <t>重要且紧急</t>
        </is>
      </c>
      <c r="DE78" s="2" t="inlineStr">
        <is>
          <t>半标准化-有流程框架，需专业经验</t>
        </is>
      </c>
      <c r="DF78" s="2" t="inlineStr">
        <is>
          <t>极少（&lt;5%）</t>
        </is>
      </c>
      <c r="DG78" s="2" t="inlineStr">
        <is>
          <t>沟通/协调负荷</t>
        </is>
      </c>
      <c r="DH78" s="2"/>
      <c r="DI78" s="2" t="inlineStr">
        <is>
          <t>b68e4724-f495-4189-8c79-6208fab6a240</t>
        </is>
      </c>
      <c r="DJ78" s="3" t="n">
        <v>2</v>
      </c>
      <c r="DK78" s="2"/>
      <c r="DL78" s="2" t="inlineStr">
        <is>
          <t>供应商入库</t>
        </is>
      </c>
      <c r="DM78" s="2" t="inlineStr">
        <is>
          <t>4-8次</t>
        </is>
      </c>
      <c r="DN78" s="3" t="n">
        <v>4</v>
      </c>
      <c r="DO78" s="3" t="n">
        <v>8</v>
      </c>
      <c r="DP78" s="2" t="inlineStr">
        <is>
          <t>E.8小时以上</t>
        </is>
      </c>
      <c r="DQ78" s="7" t="n">
        <v>8</v>
      </c>
      <c r="DR78" s="7" t="n">
        <v>8</v>
      </c>
      <c r="DS78" s="7" t="n">
        <v>32</v>
      </c>
      <c r="DT78" s="7" t="n">
        <v>64</v>
      </c>
      <c r="DU78" s="2" t="inlineStr">
        <is>
          <t>专业技术类</t>
        </is>
      </c>
      <c r="DV78" s="2"/>
      <c r="DW78" s="2" t="inlineStr">
        <is>
          <t>专业问题协调</t>
        </is>
      </c>
      <c r="DX78" s="2" t="inlineStr">
        <is>
          <t>上级指令</t>
        </is>
      </c>
      <c r="DY78" s="2" t="inlineStr">
        <is>
          <t>重要且紧急</t>
        </is>
      </c>
      <c r="DZ78" s="2" t="inlineStr">
        <is>
          <t>半标准化-有流程框架，需专业经验</t>
        </is>
      </c>
      <c r="EA78" s="2" t="inlineStr">
        <is>
          <t>极少（&lt;5%）</t>
        </is>
      </c>
      <c r="EB78" s="2" t="inlineStr">
        <is>
          <t>时效/强度负荷</t>
        </is>
      </c>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t="inlineStr">
        <is>
          <t>d5e3376a-41db-4e30-9929-e6d08ff34f39</t>
        </is>
      </c>
      <c r="CO79" s="3" t="n">
        <v>3</v>
      </c>
      <c r="CP79" s="2"/>
      <c r="CQ79" s="2" t="inlineStr">
        <is>
          <t>统计各片区每周跟踪的项目</t>
        </is>
      </c>
      <c r="CR79" s="2" t="inlineStr">
        <is>
          <t>1次</t>
        </is>
      </c>
      <c r="CS79" s="3" t="n">
        <v>1</v>
      </c>
      <c r="CT79" s="3" t="n">
        <v>1</v>
      </c>
      <c r="CU79" s="2" t="inlineStr">
        <is>
          <t>E.8小时以上</t>
        </is>
      </c>
      <c r="CV79" s="7" t="n">
        <v>8</v>
      </c>
      <c r="CW79" s="7" t="n">
        <v>8</v>
      </c>
      <c r="CX79" s="7" t="n">
        <v>8</v>
      </c>
      <c r="CY79" s="7" t="n">
        <v>8</v>
      </c>
      <c r="CZ79" s="2" t="inlineStr">
        <is>
          <t>数据报表类</t>
        </is>
      </c>
      <c r="DA79" s="2"/>
      <c r="DB79" s="2" t="inlineStr">
        <is>
          <t>专项统计</t>
        </is>
      </c>
      <c r="DC79" s="2" t="inlineStr">
        <is>
          <t>跨部门协同</t>
        </is>
      </c>
      <c r="DD79" s="2" t="inlineStr">
        <is>
          <t>重要且紧急</t>
        </is>
      </c>
      <c r="DE79" s="2" t="inlineStr">
        <is>
          <t>半标准化-有流程框架，需专业经验</t>
        </is>
      </c>
      <c r="DF79" s="2" t="inlineStr">
        <is>
          <t>极少（&lt;5%）</t>
        </is>
      </c>
      <c r="DG79" s="2" t="inlineStr">
        <is>
          <t>沟通/协调负荷</t>
        </is>
      </c>
      <c r="DH79" s="2"/>
      <c r="DI79" s="2" t="inlineStr">
        <is>
          <t>4bba5b0a-94fd-40b1-8f84-b05511e6c904</t>
        </is>
      </c>
      <c r="DJ79" s="3" t="n">
        <v>3</v>
      </c>
      <c r="DK79" s="2"/>
      <c r="DL79" s="2" t="inlineStr">
        <is>
          <t>项目投标报名</t>
        </is>
      </c>
      <c r="DM79" s="2" t="inlineStr">
        <is>
          <t>8次以上</t>
        </is>
      </c>
      <c r="DN79" s="3" t="n">
        <v>8</v>
      </c>
      <c r="DO79" s="3" t="n">
        <v>8</v>
      </c>
      <c r="DP79" s="2" t="inlineStr">
        <is>
          <t>C.2-4小时</t>
        </is>
      </c>
      <c r="DQ79" s="7" t="n">
        <v>2</v>
      </c>
      <c r="DR79" s="7" t="n">
        <v>4</v>
      </c>
      <c r="DS79" s="7" t="n">
        <v>16</v>
      </c>
      <c r="DT79" s="7" t="n">
        <v>32</v>
      </c>
      <c r="DU79" s="2" t="inlineStr">
        <is>
          <t>专业技术类</t>
        </is>
      </c>
      <c r="DV79" s="2"/>
      <c r="DW79" s="2" t="inlineStr">
        <is>
          <t>标准研究</t>
        </is>
      </c>
      <c r="DX79" s="2" t="inlineStr">
        <is>
          <t>上级指令</t>
        </is>
      </c>
      <c r="DY79" s="2" t="inlineStr">
        <is>
          <t>重要且紧急</t>
        </is>
      </c>
      <c r="DZ79" s="2" t="inlineStr">
        <is>
          <t>半标准化-有流程框架，需专业经验</t>
        </is>
      </c>
      <c r="EA79" s="2" t="inlineStr">
        <is>
          <t>极少（&lt;5%）</t>
        </is>
      </c>
      <c r="EB79" s="2" t="inlineStr">
        <is>
          <t>时效/强度负荷</t>
        </is>
      </c>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t="inlineStr">
        <is>
          <t>3cb98271-4638-44ed-bd13-b4e0a88e57fd</t>
        </is>
      </c>
      <c r="DJ80" s="3" t="n">
        <v>4</v>
      </c>
      <c r="DK80" s="2"/>
      <c r="DL80" s="2" t="inlineStr">
        <is>
          <t>办理维护各投标平台的CA</t>
        </is>
      </c>
      <c r="DM80" s="2" t="inlineStr">
        <is>
          <t>4-8次</t>
        </is>
      </c>
      <c r="DN80" s="3" t="n">
        <v>4</v>
      </c>
      <c r="DO80" s="3" t="n">
        <v>8</v>
      </c>
      <c r="DP80" s="2" t="inlineStr">
        <is>
          <t>D.4-8小时</t>
        </is>
      </c>
      <c r="DQ80" s="7" t="n">
        <v>4</v>
      </c>
      <c r="DR80" s="7" t="n">
        <v>8</v>
      </c>
      <c r="DS80" s="7" t="n">
        <v>16</v>
      </c>
      <c r="DT80" s="7" t="n">
        <v>64</v>
      </c>
      <c r="DU80" s="2" t="inlineStr">
        <is>
          <t>其他</t>
        </is>
      </c>
      <c r="DV80" s="2"/>
      <c r="DW80" s="2"/>
      <c r="DX80" s="2" t="inlineStr">
        <is>
          <t>上级指令</t>
        </is>
      </c>
      <c r="DY80" s="2" t="inlineStr">
        <is>
          <t>重要且紧急</t>
        </is>
      </c>
      <c r="DZ80" s="2" t="inlineStr">
        <is>
          <t>半标准化-有流程框架，需专业经验</t>
        </is>
      </c>
      <c r="EA80" s="2" t="inlineStr">
        <is>
          <t>极少（&lt;5%）</t>
        </is>
      </c>
      <c r="EB80" s="2" t="inlineStr">
        <is>
          <t>时效/强度负荷</t>
        </is>
      </c>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t="inlineStr">
        <is>
          <t>91d8c1ac-f230-4de6-8813-51b2a1540b91</t>
        </is>
      </c>
      <c r="DJ81" s="3" t="n">
        <v>5</v>
      </c>
      <c r="DK81" s="2"/>
      <c r="DL81" s="2" t="inlineStr">
        <is>
          <t>给各分公司投标扫码</t>
        </is>
      </c>
      <c r="DM81" s="2" t="inlineStr">
        <is>
          <t>2-3次</t>
        </is>
      </c>
      <c r="DN81" s="3" t="n">
        <v>2</v>
      </c>
      <c r="DO81" s="3" t="n">
        <v>3</v>
      </c>
      <c r="DP81" s="2" t="inlineStr">
        <is>
          <t>C.2-4小时</t>
        </is>
      </c>
      <c r="DQ81" s="7" t="n">
        <v>2</v>
      </c>
      <c r="DR81" s="7" t="n">
        <v>4</v>
      </c>
      <c r="DS81" s="7" t="n">
        <v>4</v>
      </c>
      <c r="DT81" s="7" t="n">
        <v>12</v>
      </c>
      <c r="DU81" s="2" t="inlineStr">
        <is>
          <t>协调沟通类</t>
        </is>
      </c>
      <c r="DV81" s="2"/>
      <c r="DW81" s="2" t="inlineStr">
        <is>
          <t>跨部门对接</t>
        </is>
      </c>
      <c r="DX81" s="2" t="inlineStr">
        <is>
          <t>跨部门协同</t>
        </is>
      </c>
      <c r="DY81" s="2" t="inlineStr">
        <is>
          <t>重要且紧急</t>
        </is>
      </c>
      <c r="DZ81" s="2" t="inlineStr">
        <is>
          <t>高度标准化-有成熟SOP，照做即可</t>
        </is>
      </c>
      <c r="EA81" s="2" t="inlineStr">
        <is>
          <t>极少（&lt;5%）</t>
        </is>
      </c>
      <c r="EB81" s="2" t="inlineStr">
        <is>
          <t>沟通/协调负荷</t>
        </is>
      </c>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row>
    <row r="82">
      <c r="A82" s="2" t="inlineStr">
        <is>
          <t>2026-05-25 14:51:49</t>
        </is>
      </c>
      <c r="B82" s="2" t="inlineStr">
        <is>
          <t>王超</t>
        </is>
      </c>
      <c r="C82" s="2" t="inlineStr">
        <is>
          <t>市场开发部</t>
        </is>
      </c>
      <c r="D82" s="2" t="inlineStr">
        <is>
          <t>男</t>
        </is>
      </c>
      <c r="E82" s="2" t="inlineStr">
        <is>
          <t>320112197512040418</t>
        </is>
      </c>
      <c r="F82" s="2" t="inlineStr">
        <is>
          <t>业务主办A</t>
        </is>
      </c>
      <c r="G82" s="2" t="inlineStr">
        <is>
          <t>1995-08</t>
        </is>
      </c>
      <c r="H82" s="2"/>
      <c r="I82" s="2" t="inlineStr">
        <is>
          <t>驾驶员</t>
        </is>
      </c>
      <c r="J82" s="2" t="inlineStr">
        <is>
          <t>技校</t>
        </is>
      </c>
      <c r="K82" s="2"/>
      <c r="L82" s="6">
        <f>HYPERLINK("https://www.h3yun.com/Form/Attachments/?schemacode=D1483577de63ede327d4760b10664bd57671d7e&amp;bizObjectId=8e2d8c7e-2c32-4a65-874d-eb0601e7e419&amp;name=F0000046","点击查看")</f>
        <v>0</v>
      </c>
      <c r="M82" s="2" t="inlineStr">
        <is>
          <t>无</t>
        </is>
      </c>
      <c r="N82" s="2" t="inlineStr">
        <is>
          <t>每日工作;每周工作</t>
        </is>
      </c>
      <c r="O82" s="2" t="inlineStr">
        <is>
          <t>46岁及以上</t>
        </is>
      </c>
      <c r="P82" s="2" t="inlineStr">
        <is>
          <t>C.已婚已育</t>
        </is>
      </c>
      <c r="Q82" s="2" t="inlineStr">
        <is>
          <t>A.否</t>
        </is>
      </c>
      <c r="R82" s="2" t="inlineStr">
        <is>
          <t>A.否</t>
        </is>
      </c>
      <c r="S82" s="2" t="inlineStr">
        <is>
          <t>A.保持当前工作内容和节奏，收入相对稳定即可</t>
        </is>
      </c>
      <c r="T82" s="2" t="inlineStr">
        <is>
          <t>A.基本满意，希望保持</t>
        </is>
      </c>
      <c r="U82" s="2" t="inlineStr">
        <is>
          <t>B.减少无效流转和返工</t>
        </is>
      </c>
      <c r="V82" s="2" t="inlineStr">
        <is>
          <t>B.提出过建议，但未推动</t>
        </is>
      </c>
      <c r="W82" s="2" t="inlineStr">
        <is>
          <t>B.涉及多部门，协调难度大</t>
        </is>
      </c>
      <c r="X82" s="2" t="inlineStr">
        <is>
          <t>C.均衡 (80%-100%)</t>
        </is>
      </c>
      <c r="Y82" s="2" t="inlineStr">
        <is>
          <t>E.项目服务按照项目作息考勤制加班;E.临时差旅、突发事件、会议加班;I.因正常工作任务截止日遇上节假日所需加班</t>
        </is>
      </c>
      <c r="Z82" s="2" t="inlineStr">
        <is>
          <t>市场投标管理</t>
        </is>
      </c>
      <c r="AA82" s="2" t="inlineStr">
        <is>
          <t>财务管理流程</t>
        </is>
      </c>
      <c r="AB82" s="2" t="inlineStr">
        <is>
          <t>协同办公流程</t>
        </is>
      </c>
      <c r="AC82" s="2" t="inlineStr">
        <is>
          <t>B.基本匹配（正常履行）</t>
        </is>
      </c>
      <c r="AD82" s="2" t="inlineStr">
        <is>
          <t>无</t>
        </is>
      </c>
      <c r="AE82" s="2"/>
      <c r="AF82" s="2"/>
      <c r="AG82" s="2"/>
      <c r="AH82" s="2"/>
      <c r="AI82" s="7" t="n">
        <v>16</v>
      </c>
      <c r="AJ82" s="7" t="n">
        <v>40</v>
      </c>
      <c r="AK82" s="7" t="n">
        <v>1.6</v>
      </c>
      <c r="AL82" s="7" t="n">
        <v>4.8</v>
      </c>
      <c r="AM82" s="7" t="n">
        <v>0</v>
      </c>
      <c r="AN82" s="7" t="n">
        <v>0</v>
      </c>
      <c r="AO82" s="7" t="n">
        <v>0</v>
      </c>
      <c r="AP82" s="7" t="n">
        <v>0</v>
      </c>
      <c r="AQ82" s="7" t="n">
        <v>0</v>
      </c>
      <c r="AR82" s="7" t="n">
        <v>0</v>
      </c>
      <c r="AS82" s="7" t="n">
        <v>17.6</v>
      </c>
      <c r="AT82" s="7" t="n">
        <v>44.8</v>
      </c>
      <c r="AU82" s="7" t="n">
        <v>31.2</v>
      </c>
      <c r="AV82" s="2" t="inlineStr">
        <is>
          <t>超负荷</t>
        </is>
      </c>
      <c r="AW82" s="2" t="inlineStr">
        <is>
          <t>不一致</t>
        </is>
      </c>
      <c r="AX82" s="2" t="inlineStr">
        <is>
          <t>8e2d8c7e-2c32-4a65-874d-eb0601e7e419</t>
        </is>
      </c>
      <c r="AY82" s="2" t="inlineStr">
        <is>
          <t>市场开发部    王超</t>
        </is>
      </c>
      <c r="AZ82" s="2" t="inlineStr">
        <is>
          <t>Anonymous</t>
        </is>
      </c>
      <c r="BA82" s="2" t="inlineStr">
        <is>
          <t>Anonymous</t>
        </is>
      </c>
      <c r="BB82" s="2"/>
      <c r="BC82" s="2" t="inlineStr">
        <is>
          <t>2026-05-25 19:20:40</t>
        </is>
      </c>
      <c r="BD82" s="3" t="n">
        <v>1975</v>
      </c>
      <c r="BE82" s="3" t="n">
        <v>51</v>
      </c>
      <c r="BF82" s="2" t="inlineStr">
        <is>
          <t>A.无此需求</t>
        </is>
      </c>
      <c r="BG82" s="2" t="inlineStr">
        <is>
          <t>已生效</t>
        </is>
      </c>
      <c r="BH82" s="2" t="inlineStr">
        <is>
          <t>e587d4d5-f92b-401a-ba13-8f70eaad425d</t>
        </is>
      </c>
      <c r="BI82" s="3" t="n">
        <v>1</v>
      </c>
      <c r="BJ82" s="2"/>
      <c r="BK82" s="2"/>
      <c r="BL82" s="2"/>
      <c r="BM82" s="2"/>
      <c r="BN82" s="2"/>
      <c r="BO82" s="2"/>
      <c r="BP82" s="2"/>
      <c r="BQ82" s="2"/>
      <c r="BR82" s="2"/>
      <c r="BS82" s="2" t="inlineStr">
        <is>
          <t>0d547430-2208-4713-9611-2e4e391635a2</t>
        </is>
      </c>
      <c r="BT82" s="3" t="n">
        <v>1</v>
      </c>
      <c r="BU82" s="2" t="inlineStr">
        <is>
          <t>专业技术类</t>
        </is>
      </c>
      <c r="BV82" s="2" t="inlineStr">
        <is>
          <t>投标，拆除投标</t>
        </is>
      </c>
      <c r="BW82" s="2" t="inlineStr">
        <is>
          <t>2-5次</t>
        </is>
      </c>
      <c r="BX82" s="3" t="n">
        <v>2</v>
      </c>
      <c r="BY82" s="3" t="n">
        <v>5</v>
      </c>
      <c r="BZ82" s="2" t="inlineStr">
        <is>
          <t>E.8小时以上</t>
        </is>
      </c>
      <c r="CA82" s="7" t="n">
        <v>8</v>
      </c>
      <c r="CB82" s="7" t="n">
        <v>8</v>
      </c>
      <c r="CC82" s="7" t="n">
        <v>16</v>
      </c>
      <c r="CD82" s="7" t="n">
        <v>40</v>
      </c>
      <c r="CE82" s="2" t="inlineStr">
        <is>
          <t>专业技术类</t>
        </is>
      </c>
      <c r="CF82" s="2"/>
      <c r="CG82" s="2" t="inlineStr">
        <is>
          <t>专业问题协调</t>
        </is>
      </c>
      <c r="CH82" s="2" t="inlineStr">
        <is>
          <t>部门计划</t>
        </is>
      </c>
      <c r="CI82" s="2" t="inlineStr">
        <is>
          <t>重要且紧急</t>
        </is>
      </c>
      <c r="CJ82" s="2" t="inlineStr">
        <is>
          <t>半标准化-有流程框架，需专业经验</t>
        </is>
      </c>
      <c r="CK82" s="2" t="inlineStr">
        <is>
          <t>极少（&lt;5%）</t>
        </is>
      </c>
      <c r="CL82" s="2" t="inlineStr">
        <is>
          <t>责任/风险负荷</t>
        </is>
      </c>
      <c r="CM82" s="2"/>
      <c r="CN82" s="2" t="inlineStr">
        <is>
          <t>1e46e5e1-1b19-4428-aa7b-76fc087ec60f</t>
        </is>
      </c>
      <c r="CO82" s="3" t="n">
        <v>1</v>
      </c>
      <c r="CP82" s="2"/>
      <c r="CQ82" s="2" t="inlineStr">
        <is>
          <t>投标，拆除投标</t>
        </is>
      </c>
      <c r="CR82" s="2" t="inlineStr">
        <is>
          <t>2-3次</t>
        </is>
      </c>
      <c r="CS82" s="3" t="n">
        <v>2</v>
      </c>
      <c r="CT82" s="3" t="n">
        <v>3</v>
      </c>
      <c r="CU82" s="2" t="inlineStr">
        <is>
          <t>D.4-8小时</t>
        </is>
      </c>
      <c r="CV82" s="7" t="n">
        <v>4</v>
      </c>
      <c r="CW82" s="7" t="n">
        <v>8</v>
      </c>
      <c r="CX82" s="7" t="n">
        <v>8</v>
      </c>
      <c r="CY82" s="7" t="n">
        <v>24</v>
      </c>
      <c r="CZ82" s="2" t="inlineStr">
        <is>
          <t>其他</t>
        </is>
      </c>
      <c r="DA82" s="2"/>
      <c r="DB82" s="2"/>
      <c r="DC82" s="2" t="inlineStr">
        <is>
          <t>自主发起</t>
        </is>
      </c>
      <c r="DD82" s="2" t="inlineStr">
        <is>
          <t>重要且紧急</t>
        </is>
      </c>
      <c r="DE82" s="2" t="inlineStr">
        <is>
          <t>半标准化-有流程框架，需专业经验</t>
        </is>
      </c>
      <c r="DF82" s="2" t="inlineStr">
        <is>
          <t>低频（5%-10%）</t>
        </is>
      </c>
      <c r="DG82" s="2" t="inlineStr">
        <is>
          <t>责任/风险负荷</t>
        </is>
      </c>
      <c r="DH82" s="2"/>
      <c r="DI82" s="2" t="inlineStr">
        <is>
          <t>65933e36-2219-49d7-a149-851b0c56ae97</t>
        </is>
      </c>
      <c r="DJ82" s="3" t="n">
        <v>1</v>
      </c>
      <c r="DK82" s="2"/>
      <c r="DL82" s="2"/>
      <c r="DM82" s="2"/>
      <c r="DN82" s="3"/>
      <c r="DO82" s="3"/>
      <c r="DP82" s="2"/>
      <c r="DQ82" s="3"/>
      <c r="DR82" s="3"/>
      <c r="DS82" s="7" t="n">
        <v>0</v>
      </c>
      <c r="DT82" s="7" t="n">
        <v>0</v>
      </c>
      <c r="DU82" s="2"/>
      <c r="DV82" s="2"/>
      <c r="DW82" s="2"/>
      <c r="DX82" s="2"/>
      <c r="DY82" s="2"/>
      <c r="DZ82" s="2"/>
      <c r="EA82" s="2"/>
      <c r="EB82" s="2"/>
      <c r="EC82" s="2"/>
      <c r="ED82" s="2" t="inlineStr">
        <is>
          <t>dc14bb38-793b-449a-a297-d71cc02943b8</t>
        </is>
      </c>
      <c r="EE82" s="3" t="n">
        <v>1</v>
      </c>
      <c r="EF82" s="2"/>
      <c r="EG82" s="2"/>
      <c r="EH82" s="2"/>
      <c r="EI82" s="3"/>
      <c r="EJ82" s="2"/>
      <c r="EK82" s="3"/>
      <c r="EL82" s="3"/>
      <c r="EM82" s="7" t="n">
        <v>0</v>
      </c>
      <c r="EN82" s="7" t="n">
        <v>0</v>
      </c>
      <c r="EO82" s="2"/>
      <c r="EP82" s="2"/>
      <c r="EQ82" s="2"/>
      <c r="ER82" s="2"/>
      <c r="ES82" s="2"/>
      <c r="ET82" s="2"/>
      <c r="EU82" s="2"/>
      <c r="EV82" s="2"/>
      <c r="EW82" s="2"/>
      <c r="EX82" s="2" t="inlineStr">
        <is>
          <t>e5660cf0-dbb1-40cf-b5b0-2727194a998f</t>
        </is>
      </c>
      <c r="EY82" s="3" t="n">
        <v>1</v>
      </c>
      <c r="EZ82" s="2"/>
      <c r="FA82" s="2"/>
      <c r="FB82" s="2"/>
      <c r="FC82" s="2"/>
      <c r="FD82" s="3"/>
      <c r="FE82" s="3"/>
      <c r="FF82" s="2"/>
      <c r="FG82" s="3"/>
      <c r="FH82" s="3"/>
      <c r="FI82" s="7" t="n">
        <v>0</v>
      </c>
      <c r="FJ82" s="7" t="n">
        <v>0</v>
      </c>
      <c r="FK82" s="7" t="n">
        <v>0</v>
      </c>
      <c r="FL82" s="7" t="n">
        <v>0</v>
      </c>
      <c r="FM82" s="7" t="n">
        <v>0</v>
      </c>
      <c r="FN82" s="7" t="n">
        <v>0</v>
      </c>
      <c r="FO82" s="2"/>
      <c r="FP82" s="2"/>
      <c r="FQ82" s="2"/>
      <c r="FR82" s="2"/>
      <c r="FS82" s="2"/>
      <c r="FT82" s="2"/>
      <c r="FU82" s="2"/>
      <c r="FV82" s="2"/>
      <c r="FW82" s="2"/>
    </row>
    <row r="83">
      <c r="A83" s="2" t="inlineStr">
        <is>
          <t>2026-05-24 00:17:41</t>
        </is>
      </c>
      <c r="B83" s="2" t="inlineStr">
        <is>
          <t>潘良峰</t>
        </is>
      </c>
      <c r="C83" s="2" t="inlineStr">
        <is>
          <t>资产财务部</t>
        </is>
      </c>
      <c r="D83" s="2" t="inlineStr">
        <is>
          <t>男</t>
        </is>
      </c>
      <c r="E83" s="2" t="inlineStr">
        <is>
          <t>320122198001171210</t>
        </is>
      </c>
      <c r="F83" s="2" t="inlineStr">
        <is>
          <t>业务主管</t>
        </is>
      </c>
      <c r="G83" s="2" t="inlineStr">
        <is>
          <t>2008-04</t>
        </is>
      </c>
      <c r="H83" s="2" t="inlineStr">
        <is>
          <t>安徽工贸学院</t>
        </is>
      </c>
      <c r="I83" s="2" t="inlineStr">
        <is>
          <t>会计</t>
        </is>
      </c>
      <c r="J83" s="2" t="inlineStr">
        <is>
          <t>大专</t>
        </is>
      </c>
      <c r="K83" s="2"/>
      <c r="L83" s="6">
        <f>HYPERLINK("https://www.h3yun.com/Form/Attachments/?schemacode=D1483577de63ede327d4760b10664bd57671d7e&amp;bizObjectId=da807efb-dfa7-4122-a437-4c7facace6ba&amp;name=F0000046","点击查看")</f>
        <v>0</v>
      </c>
      <c r="M83" s="2" t="inlineStr">
        <is>
          <t>1.部分工作汇报会，影响日常工作。2.EPR流程复杂，效率低，不符合公司自身发展。</t>
        </is>
      </c>
      <c r="N83" s="2" t="inlineStr">
        <is>
          <t>每日工作;每周工作;每月工作;每季度/阶段性工作;临时/突发工作</t>
        </is>
      </c>
      <c r="O83" s="2" t="inlineStr">
        <is>
          <t>46岁及以上</t>
        </is>
      </c>
      <c r="P83" s="2" t="inlineStr">
        <is>
          <t>C.已婚已育</t>
        </is>
      </c>
      <c r="Q83" s="2" t="inlineStr">
        <is>
          <t>D.是，同时照护子女和老人</t>
        </is>
      </c>
      <c r="R83" s="2" t="inlineStr">
        <is>
          <t>C.有2名及以上</t>
        </is>
      </c>
      <c r="S83" s="2" t="inlineStr">
        <is>
          <t>B.希望工作更稳定、更规律，便于兼顾家庭</t>
        </is>
      </c>
      <c r="T83" s="2" t="inlineStr">
        <is>
          <t>B.工作内容可接受，但负荷偏重</t>
        </is>
      </c>
      <c r="U83" s="2" t="inlineStr">
        <is>
          <t>E.增加成长性和挑战性</t>
        </is>
      </c>
      <c r="V83" s="2" t="inlineStr">
        <is>
          <t>D.已形成较稳定优化做法</t>
        </is>
      </c>
      <c r="W83" s="2"/>
      <c r="X83" s="2" t="inlineStr">
        <is>
          <t>A.超负荷 (&gt;120%)</t>
        </is>
      </c>
      <c r="Y83" s="2" t="inlineStr">
        <is>
          <t>A.岗位工作量饱和，已达人效上限;C.会议或日常协调过多，压缩产出时间;E.临时差旅、突发事件、会议加班;G.接收到任务分配单完成周期内要求的加班;I.因正常工作任务截止日遇上节假日所需加班</t>
        </is>
      </c>
      <c r="Z83" s="2" t="inlineStr">
        <is>
          <t>协同办公流程</t>
        </is>
      </c>
      <c r="AA83" s="2" t="inlineStr">
        <is>
          <t>协同办公流程</t>
        </is>
      </c>
      <c r="AB83" s="2" t="inlineStr">
        <is>
          <t>专业问题协调</t>
        </is>
      </c>
      <c r="AC83" s="2" t="inlineStr">
        <is>
          <t>A.高度匹配（得心应手）</t>
        </is>
      </c>
      <c r="AD83" s="2" t="inlineStr">
        <is>
          <t>公司最终还是以盈利为目标，外抓市场，内抓管理，只有业务增加了，利润提高了，管理自然就会到位。</t>
        </is>
      </c>
      <c r="AE83" s="2" t="inlineStr">
        <is>
          <t>还不够具体</t>
        </is>
      </c>
      <c r="AF83" s="2" t="inlineStr">
        <is>
          <t>1.还需增加员工对公司的评价2.在当前经济形势下，应以现有业务经营开发人员为主，适当发动全员拓展业务，动用全员社会关系和力量，为公司发展做贡献</t>
        </is>
      </c>
      <c r="AG83" s="2" t="inlineStr">
        <is>
          <t>D.配偶不是公司家属</t>
        </is>
      </c>
      <c r="AH83" s="2"/>
      <c r="AI83" s="7" t="n">
        <v>20</v>
      </c>
      <c r="AJ83" s="7" t="n">
        <v>20</v>
      </c>
      <c r="AK83" s="7" t="n">
        <v>2</v>
      </c>
      <c r="AL83" s="7" t="n">
        <v>2</v>
      </c>
      <c r="AM83" s="7" t="n">
        <v>0.36</v>
      </c>
      <c r="AN83" s="7" t="n">
        <v>0.36</v>
      </c>
      <c r="AO83" s="7" t="n">
        <v>0.1</v>
      </c>
      <c r="AP83" s="7" t="n">
        <v>0.1</v>
      </c>
      <c r="AQ83" s="7" t="n">
        <v>0.13</v>
      </c>
      <c r="AR83" s="7" t="n">
        <v>0.26</v>
      </c>
      <c r="AS83" s="7" t="n">
        <v>22.59</v>
      </c>
      <c r="AT83" s="7" t="n">
        <v>22.72</v>
      </c>
      <c r="AU83" s="7" t="n">
        <v>22.66</v>
      </c>
      <c r="AV83" s="2" t="inlineStr">
        <is>
          <t>超负荷</t>
        </is>
      </c>
      <c r="AW83" s="2" t="inlineStr">
        <is>
          <t>一致</t>
        </is>
      </c>
      <c r="AX83" s="2" t="inlineStr">
        <is>
          <t>da807efb-dfa7-4122-a437-4c7facace6ba</t>
        </is>
      </c>
      <c r="AY83" s="2" t="inlineStr">
        <is>
          <t>资产财务部    潘良峰</t>
        </is>
      </c>
      <c r="AZ83" s="2" t="inlineStr">
        <is>
          <t>Anonymous</t>
        </is>
      </c>
      <c r="BA83" s="2" t="inlineStr">
        <is>
          <t>Anonymous</t>
        </is>
      </c>
      <c r="BB83" s="2"/>
      <c r="BC83" s="2" t="inlineStr">
        <is>
          <t>2026-05-24 00:17:41</t>
        </is>
      </c>
      <c r="BD83" s="3" t="n">
        <v>1980</v>
      </c>
      <c r="BE83" s="3" t="n">
        <v>46</v>
      </c>
      <c r="BF83" s="2" t="inlineStr">
        <is>
          <t>A.无此需求</t>
        </is>
      </c>
      <c r="BG83" s="2" t="inlineStr">
        <is>
          <t>已生效</t>
        </is>
      </c>
      <c r="BH83" s="2" t="inlineStr">
        <is>
          <t>8dc26174-561c-4129-a929-507fb93ac1e0</t>
        </is>
      </c>
      <c r="BI83" s="3" t="n">
        <v>1</v>
      </c>
      <c r="BJ83" s="2"/>
      <c r="BK83" s="2"/>
      <c r="BL83" s="2"/>
      <c r="BM83" s="2"/>
      <c r="BN83" s="2"/>
      <c r="BO83" s="2"/>
      <c r="BP83" s="2"/>
      <c r="BQ83" s="2"/>
      <c r="BR83" s="2"/>
      <c r="BS83" s="2" t="inlineStr">
        <is>
          <t>439bb5e5-6a76-47cf-a972-0919a8189339</t>
        </is>
      </c>
      <c r="BT83" s="3" t="n">
        <v>1</v>
      </c>
      <c r="BU83" s="2" t="inlineStr">
        <is>
          <t>专业技术类</t>
        </is>
      </c>
      <c r="BV83" s="2" t="inlineStr">
        <is>
          <t>财务业务处理</t>
        </is>
      </c>
      <c r="BW83" s="2" t="inlineStr">
        <is>
          <t>10次以上</t>
        </is>
      </c>
      <c r="BX83" s="3" t="n">
        <v>10</v>
      </c>
      <c r="BY83" s="3" t="n">
        <v>10</v>
      </c>
      <c r="BZ83" s="2" t="inlineStr">
        <is>
          <t>B.2小时以内</t>
        </is>
      </c>
      <c r="CA83" s="7" t="n">
        <v>2</v>
      </c>
      <c r="CB83" s="7" t="n">
        <v>2</v>
      </c>
      <c r="CC83" s="7" t="n">
        <v>20</v>
      </c>
      <c r="CD83" s="7" t="n">
        <v>20</v>
      </c>
      <c r="CE83" s="2" t="inlineStr">
        <is>
          <t>专业技术类</t>
        </is>
      </c>
      <c r="CF83" s="2"/>
      <c r="CG83" s="2" t="inlineStr">
        <is>
          <t>专业问题协调</t>
        </is>
      </c>
      <c r="CH83" s="2" t="inlineStr">
        <is>
          <t>岗位职责</t>
        </is>
      </c>
      <c r="CI83" s="2" t="inlineStr">
        <is>
          <t>重要不紧急</t>
        </is>
      </c>
      <c r="CJ83" s="2" t="inlineStr">
        <is>
          <t>半标准化-有流程框架，需专业经验</t>
        </is>
      </c>
      <c r="CK83" s="2" t="inlineStr">
        <is>
          <t>极少（&lt;5%）</t>
        </is>
      </c>
      <c r="CL83" s="2" t="inlineStr">
        <is>
          <t>责任/风险负荷</t>
        </is>
      </c>
      <c r="CM83" s="2"/>
      <c r="CN83" s="2" t="inlineStr">
        <is>
          <t>73218fd8-20dc-49f7-8d29-b8a32132f477</t>
        </is>
      </c>
      <c r="CO83" s="3" t="n">
        <v>1</v>
      </c>
      <c r="CP83" s="2"/>
      <c r="CQ83" s="2" t="inlineStr">
        <is>
          <t>财务业务处理</t>
        </is>
      </c>
      <c r="CR83" s="2" t="inlineStr">
        <is>
          <t>5次以上</t>
        </is>
      </c>
      <c r="CS83" s="3" t="n">
        <v>5</v>
      </c>
      <c r="CT83" s="3" t="n">
        <v>5</v>
      </c>
      <c r="CU83" s="2" t="inlineStr">
        <is>
          <t>B.2小时以内</t>
        </is>
      </c>
      <c r="CV83" s="7" t="n">
        <v>2</v>
      </c>
      <c r="CW83" s="7" t="n">
        <v>2</v>
      </c>
      <c r="CX83" s="7" t="n">
        <v>10</v>
      </c>
      <c r="CY83" s="7" t="n">
        <v>10</v>
      </c>
      <c r="CZ83" s="2" t="inlineStr">
        <is>
          <t>专业技术类</t>
        </is>
      </c>
      <c r="DA83" s="2"/>
      <c r="DB83" s="2" t="inlineStr">
        <is>
          <t>专业问题协调</t>
        </is>
      </c>
      <c r="DC83" s="2" t="inlineStr">
        <is>
          <t>岗位职责</t>
        </is>
      </c>
      <c r="DD83" s="2" t="inlineStr">
        <is>
          <t>重要且紧急</t>
        </is>
      </c>
      <c r="DE83" s="2" t="inlineStr">
        <is>
          <t>半标准化-有流程框架，需专业经验</t>
        </is>
      </c>
      <c r="DF83" s="2" t="inlineStr">
        <is>
          <t>极少（&lt;5%）</t>
        </is>
      </c>
      <c r="DG83" s="2" t="inlineStr">
        <is>
          <t>沟通/协调负荷</t>
        </is>
      </c>
      <c r="DH83" s="2"/>
      <c r="DI83" s="2" t="inlineStr">
        <is>
          <t>d6dee050-2887-4232-bed0-0a3af23865cc</t>
        </is>
      </c>
      <c r="DJ83" s="3" t="n">
        <v>1</v>
      </c>
      <c r="DK83" s="2"/>
      <c r="DL83" s="2" t="inlineStr">
        <is>
          <t>报税</t>
        </is>
      </c>
      <c r="DM83" s="2" t="inlineStr">
        <is>
          <t>1次</t>
        </is>
      </c>
      <c r="DN83" s="3" t="n">
        <v>1</v>
      </c>
      <c r="DO83" s="3" t="n">
        <v>1</v>
      </c>
      <c r="DP83" s="2" t="inlineStr">
        <is>
          <t>E.8小时以上</t>
        </is>
      </c>
      <c r="DQ83" s="7" t="n">
        <v>8</v>
      </c>
      <c r="DR83" s="7" t="n">
        <v>8</v>
      </c>
      <c r="DS83" s="7" t="n">
        <v>8</v>
      </c>
      <c r="DT83" s="7" t="n">
        <v>8</v>
      </c>
      <c r="DU83" s="2" t="inlineStr">
        <is>
          <t>专业技术类</t>
        </is>
      </c>
      <c r="DV83" s="2"/>
      <c r="DW83" s="2" t="inlineStr">
        <is>
          <t>专业问题协调</t>
        </is>
      </c>
      <c r="DX83" s="2" t="inlineStr">
        <is>
          <t>岗位职责</t>
        </is>
      </c>
      <c r="DY83" s="2" t="inlineStr">
        <is>
          <t>重要且紧急</t>
        </is>
      </c>
      <c r="DZ83" s="2" t="inlineStr">
        <is>
          <t>半标准化-有流程框架，需专业经验</t>
        </is>
      </c>
      <c r="EA83" s="2" t="inlineStr">
        <is>
          <t>极少（&lt;5%）</t>
        </is>
      </c>
      <c r="EB83" s="2" t="inlineStr">
        <is>
          <t>脑力/复杂度负荷</t>
        </is>
      </c>
      <c r="EC83" s="2"/>
      <c r="ED83" s="2" t="inlineStr">
        <is>
          <t>2dd3b0de-33bf-47f2-8aee-4d4c16e41cb8</t>
        </is>
      </c>
      <c r="EE83" s="3" t="n">
        <v>1</v>
      </c>
      <c r="EF83" s="2"/>
      <c r="EG83" s="2" t="inlineStr">
        <is>
          <t>报税</t>
        </is>
      </c>
      <c r="EH83" s="2" t="inlineStr">
        <is>
          <t>3次及以上</t>
        </is>
      </c>
      <c r="EI83" s="3" t="n">
        <v>3</v>
      </c>
      <c r="EJ83" s="2" t="inlineStr">
        <is>
          <t>E.8小时以上</t>
        </is>
      </c>
      <c r="EK83" s="7" t="n">
        <v>8</v>
      </c>
      <c r="EL83" s="7" t="n">
        <v>8</v>
      </c>
      <c r="EM83" s="7" t="n">
        <v>24</v>
      </c>
      <c r="EN83" s="7" t="n">
        <v>24</v>
      </c>
      <c r="EO83" s="2" t="inlineStr">
        <is>
          <t>专业技术类</t>
        </is>
      </c>
      <c r="EP83" s="2"/>
      <c r="EQ83" s="2" t="inlineStr">
        <is>
          <t>专业问题协调</t>
        </is>
      </c>
      <c r="ER83" s="2" t="inlineStr">
        <is>
          <t>岗位职责</t>
        </is>
      </c>
      <c r="ES83" s="2" t="inlineStr">
        <is>
          <t>重要且紧急</t>
        </is>
      </c>
      <c r="ET83" s="2" t="inlineStr">
        <is>
          <t>半标准化-有流程框架，需专业经验</t>
        </is>
      </c>
      <c r="EU83" s="2" t="inlineStr">
        <is>
          <t>极少（&lt;5%）</t>
        </is>
      </c>
      <c r="EV83" s="2" t="inlineStr">
        <is>
          <t>脑力/复杂度负荷</t>
        </is>
      </c>
      <c r="EW83" s="2"/>
      <c r="EX83" s="2" t="inlineStr">
        <is>
          <t>13d13631-f203-4d3e-bdf7-819cc8223cfe</t>
        </is>
      </c>
      <c r="EY83" s="3" t="n">
        <v>1</v>
      </c>
      <c r="EZ83" s="2"/>
      <c r="FA83" s="2" t="inlineStr">
        <is>
          <t>税务稽查，纳税评估，税收疑点等</t>
        </is>
      </c>
      <c r="FB83" s="2" t="inlineStr">
        <is>
          <t>每季1-2次</t>
        </is>
      </c>
      <c r="FC83" s="2" t="inlineStr">
        <is>
          <t>季</t>
        </is>
      </c>
      <c r="FD83" s="3" t="n">
        <v>1</v>
      </c>
      <c r="FE83" s="3" t="n">
        <v>2</v>
      </c>
      <c r="FF83" s="2" t="inlineStr">
        <is>
          <t>E.8小时以上</t>
        </is>
      </c>
      <c r="FG83" s="7" t="n">
        <v>8</v>
      </c>
      <c r="FH83" s="7" t="n">
        <v>8</v>
      </c>
      <c r="FI83" s="7" t="n">
        <v>0</v>
      </c>
      <c r="FJ83" s="7" t="n">
        <v>0</v>
      </c>
      <c r="FK83" s="7" t="n">
        <v>8</v>
      </c>
      <c r="FL83" s="7" t="n">
        <v>16</v>
      </c>
      <c r="FM83" s="7" t="n">
        <v>0</v>
      </c>
      <c r="FN83" s="7" t="n">
        <v>0</v>
      </c>
      <c r="FO83" s="2" t="inlineStr">
        <is>
          <t>协调沟通类</t>
        </is>
      </c>
      <c r="FP83" s="2"/>
      <c r="FQ83" s="2" t="inlineStr">
        <is>
          <t>外部联络</t>
        </is>
      </c>
      <c r="FR83" s="2" t="inlineStr">
        <is>
          <t>岗位职责</t>
        </is>
      </c>
      <c r="FS83" s="2" t="inlineStr">
        <is>
          <t>重要且紧急</t>
        </is>
      </c>
      <c r="FT83" s="2" t="inlineStr">
        <is>
          <t>半标准化-有流程框架，需专业经验</t>
        </is>
      </c>
      <c r="FU83" s="2" t="inlineStr">
        <is>
          <t>极少（&lt;5%）</t>
        </is>
      </c>
      <c r="FV83" s="2" t="inlineStr">
        <is>
          <t>脑力/复杂度负荷</t>
        </is>
      </c>
      <c r="FW83" s="2"/>
    </row>
    <row r="84">
      <c r="A84" s="2" t="inlineStr">
        <is>
          <t>2026-05-22 18:00:32</t>
        </is>
      </c>
      <c r="B84" s="2" t="inlineStr">
        <is>
          <t>高英昌</t>
        </is>
      </c>
      <c r="C84" s="2" t="inlineStr">
        <is>
          <t>资产财务部</t>
        </is>
      </c>
      <c r="D84" s="2" t="inlineStr">
        <is>
          <t>男</t>
        </is>
      </c>
      <c r="E84" s="2" t="inlineStr">
        <is>
          <t>320302199312235015</t>
        </is>
      </c>
      <c r="F84" s="2" t="inlineStr">
        <is>
          <t>专业工程师</t>
        </is>
      </c>
      <c r="G84" s="2" t="inlineStr">
        <is>
          <t>2017-08</t>
        </is>
      </c>
      <c r="H84" s="2" t="inlineStr">
        <is>
          <t>金陵科技学院</t>
        </is>
      </c>
      <c r="I84" s="2" t="inlineStr">
        <is>
          <t>会计</t>
        </is>
      </c>
      <c r="J84" s="2" t="inlineStr">
        <is>
          <t>本科</t>
        </is>
      </c>
      <c r="K84" s="2"/>
      <c r="L84" s="6">
        <f>HYPERLINK("https://www.h3yun.com/Form/Attachments/?schemacode=D1483577de63ede327d4760b10664bd57671d7e&amp;bizObjectId=dd60dcf0-cf67-42d3-b91a-e6ecb93c3e42&amp;name=F0000046","点击查看")</f>
        <v>0</v>
      </c>
      <c r="M84" s="2" t="inlineStr">
        <is>
          <t>手工类台账</t>
        </is>
      </c>
      <c r="N84" s="2" t="inlineStr">
        <is>
          <t>每日工作;每月工作;临时/突发工作</t>
        </is>
      </c>
      <c r="O84" s="2" t="inlineStr">
        <is>
          <t>31-35岁</t>
        </is>
      </c>
      <c r="P84" s="2" t="inlineStr">
        <is>
          <t>B.已婚未育</t>
        </is>
      </c>
      <c r="Q84" s="2" t="inlineStr">
        <is>
          <t>C.是，主要照护老人</t>
        </is>
      </c>
      <c r="R84" s="2" t="inlineStr">
        <is>
          <t>A.否</t>
        </is>
      </c>
      <c r="S84" s="2" t="inlineStr">
        <is>
          <t>D.希望承担更有挑战性的工作，并争取更大发展空间</t>
        </is>
      </c>
      <c r="T84" s="2" t="inlineStr">
        <is>
          <t>E.希望承担更重要、更有挑战的职责</t>
        </is>
      </c>
      <c r="U84" s="2" t="inlineStr">
        <is>
          <t>D.明确职责边界</t>
        </is>
      </c>
      <c r="V84" s="2" t="inlineStr">
        <is>
          <t>C.推动过局部优化</t>
        </is>
      </c>
      <c r="W84" s="2" t="inlineStr">
        <is>
          <t>B.涉及多部门，协调难度大</t>
        </is>
      </c>
      <c r="X84" s="2" t="inlineStr">
        <is>
          <t>B.满负荷 (100%-120%)</t>
        </is>
      </c>
      <c r="Y84" s="2" t="inlineStr">
        <is>
          <t>G.接收到任务分配单完成周期内要求的加班;I.因正常工作任务截止日遇上节假日所需加班</t>
        </is>
      </c>
      <c r="Z84" s="2" t="inlineStr">
        <is>
          <t>接口协调</t>
        </is>
      </c>
      <c r="AA84" s="2" t="inlineStr">
        <is>
          <t>会议安排</t>
        </is>
      </c>
      <c r="AB84" s="2" t="inlineStr">
        <is>
          <t>财务管理流程</t>
        </is>
      </c>
      <c r="AC84" s="2" t="inlineStr">
        <is>
          <t>A.高度匹配（得心应手）</t>
        </is>
      </c>
      <c r="AD84" s="2" t="inlineStr">
        <is>
          <t>1、财务标准化 
2、减少沟通成本 
3、降低操作成本</t>
        </is>
      </c>
      <c r="AE84" s="2" t="inlineStr">
        <is>
          <t>问卷部分名词过于专业化，使人无法理解其含义</t>
        </is>
      </c>
      <c r="AF84" s="2" t="inlineStr">
        <is>
          <t>无</t>
        </is>
      </c>
      <c r="AG84" s="2" t="inlineStr">
        <is>
          <t>D.配偶不是公司家属</t>
        </is>
      </c>
      <c r="AH84" s="2"/>
      <c r="AI84" s="7" t="n">
        <v>11.9</v>
      </c>
      <c r="AJ84" s="7" t="n">
        <v>15.2</v>
      </c>
      <c r="AK84" s="7" t="n">
        <v>0</v>
      </c>
      <c r="AL84" s="7" t="n">
        <v>0</v>
      </c>
      <c r="AM84" s="7" t="n">
        <v>3.54</v>
      </c>
      <c r="AN84" s="7" t="n">
        <v>3.92</v>
      </c>
      <c r="AO84" s="7" t="n">
        <v>0</v>
      </c>
      <c r="AP84" s="7" t="n">
        <v>0</v>
      </c>
      <c r="AQ84" s="7" t="n">
        <v>0.06</v>
      </c>
      <c r="AR84" s="7" t="n">
        <v>0.13</v>
      </c>
      <c r="AS84" s="7" t="n">
        <v>15.5</v>
      </c>
      <c r="AT84" s="7" t="n">
        <v>19.25</v>
      </c>
      <c r="AU84" s="7" t="n">
        <v>17.38</v>
      </c>
      <c r="AV84" s="2" t="inlineStr">
        <is>
          <t>超负荷</t>
        </is>
      </c>
      <c r="AW84" s="2" t="inlineStr">
        <is>
          <t>不一致</t>
        </is>
      </c>
      <c r="AX84" s="2" t="inlineStr">
        <is>
          <t>dd60dcf0-cf67-42d3-b91a-e6ecb93c3e42</t>
        </is>
      </c>
      <c r="AY84" s="2" t="inlineStr">
        <is>
          <t>资产财务部    高英昌</t>
        </is>
      </c>
      <c r="AZ84" s="2" t="inlineStr">
        <is>
          <t>Anonymous</t>
        </is>
      </c>
      <c r="BA84" s="2" t="inlineStr">
        <is>
          <t>Anonymous</t>
        </is>
      </c>
      <c r="BB84" s="2"/>
      <c r="BC84" s="2" t="inlineStr">
        <is>
          <t>2026-05-22 18:00:32</t>
        </is>
      </c>
      <c r="BD84" s="3" t="n">
        <v>1993</v>
      </c>
      <c r="BE84" s="3" t="n">
        <v>33</v>
      </c>
      <c r="BF84" s="2" t="inlineStr">
        <is>
          <t>A.无此需求</t>
        </is>
      </c>
      <c r="BG84" s="2" t="inlineStr">
        <is>
          <t>已生效</t>
        </is>
      </c>
      <c r="BH84" s="2" t="inlineStr">
        <is>
          <t>111a9984-9cc8-4b53-ba85-9e757fecb17b</t>
        </is>
      </c>
      <c r="BI84" s="3" t="n">
        <v>1</v>
      </c>
      <c r="BJ84" s="2"/>
      <c r="BK84" s="2"/>
      <c r="BL84" s="2"/>
      <c r="BM84" s="2"/>
      <c r="BN84" s="2"/>
      <c r="BO84" s="2"/>
      <c r="BP84" s="2"/>
      <c r="BQ84" s="2"/>
      <c r="BR84" s="2"/>
      <c r="BS84" s="2" t="inlineStr">
        <is>
          <t>76bcb238-580f-4983-92d5-381b8492cc15</t>
        </is>
      </c>
      <c r="BT84" s="3" t="n">
        <v>1</v>
      </c>
      <c r="BU84" s="2" t="inlineStr">
        <is>
          <t>流程审批类</t>
        </is>
      </c>
      <c r="BV84" s="2" t="inlineStr">
        <is>
          <t>审批财务收款</t>
        </is>
      </c>
      <c r="BW84" s="2" t="inlineStr">
        <is>
          <t>2-5次</t>
        </is>
      </c>
      <c r="BX84" s="3" t="n">
        <v>2</v>
      </c>
      <c r="BY84" s="3" t="n">
        <v>5</v>
      </c>
      <c r="BZ84" s="2" t="inlineStr">
        <is>
          <t>A.20分钟以内</t>
        </is>
      </c>
      <c r="CA84" s="7" t="n">
        <v>0.33</v>
      </c>
      <c r="CB84" s="7" t="n">
        <v>0.33</v>
      </c>
      <c r="CC84" s="7" t="n">
        <v>0.66</v>
      </c>
      <c r="CD84" s="7" t="n">
        <v>1.65</v>
      </c>
      <c r="CE84" s="2" t="inlineStr">
        <is>
          <t>流程审批类</t>
        </is>
      </c>
      <c r="CF84" s="2"/>
      <c r="CG84" s="2" t="inlineStr">
        <is>
          <t>财务管理流程</t>
        </is>
      </c>
      <c r="CH84" s="2" t="inlineStr">
        <is>
          <t>岗位职责</t>
        </is>
      </c>
      <c r="CI84" s="2" t="inlineStr">
        <is>
          <t>重要不紧急</t>
        </is>
      </c>
      <c r="CJ84" s="2" t="inlineStr">
        <is>
          <t>高度标准化-有成熟SOP，照做即可</t>
        </is>
      </c>
      <c r="CK84" s="2" t="inlineStr">
        <is>
          <t>极少（&lt;5%）</t>
        </is>
      </c>
      <c r="CL84" s="2" t="inlineStr">
        <is>
          <t>沟通/协调负荷</t>
        </is>
      </c>
      <c r="CM84" s="2"/>
      <c r="CN84" s="2" t="inlineStr">
        <is>
          <t>47287bc5-ff05-4791-a79a-fb3e86555785</t>
        </is>
      </c>
      <c r="CO84" s="3" t="n">
        <v>1</v>
      </c>
      <c r="CP84" s="2"/>
      <c r="CQ84" s="2" t="inlineStr">
        <is>
          <t>总结周内财务工作</t>
        </is>
      </c>
      <c r="CR84" s="2"/>
      <c r="CS84" s="3"/>
      <c r="CT84" s="3"/>
      <c r="CU84" s="2"/>
      <c r="CV84" s="3"/>
      <c r="CW84" s="3"/>
      <c r="CX84" s="7" t="n">
        <v>0</v>
      </c>
      <c r="CY84" s="7" t="n">
        <v>0</v>
      </c>
      <c r="CZ84" s="2"/>
      <c r="DA84" s="2"/>
      <c r="DB84" s="2"/>
      <c r="DC84" s="2"/>
      <c r="DD84" s="2"/>
      <c r="DE84" s="2"/>
      <c r="DF84" s="2"/>
      <c r="DG84" s="2"/>
      <c r="DH84" s="2"/>
      <c r="DI84" s="2" t="inlineStr">
        <is>
          <t>3081035a-36ba-41b2-a35e-daef5d71cad1</t>
        </is>
      </c>
      <c r="DJ84" s="3" t="n">
        <v>1</v>
      </c>
      <c r="DK84" s="2"/>
      <c r="DL84" s="2" t="inlineStr">
        <is>
          <t>凭证收集整理</t>
        </is>
      </c>
      <c r="DM84" s="2" t="inlineStr">
        <is>
          <t>8次以上</t>
        </is>
      </c>
      <c r="DN84" s="3" t="n">
        <v>8</v>
      </c>
      <c r="DO84" s="3" t="n">
        <v>8</v>
      </c>
      <c r="DP84" s="2" t="inlineStr">
        <is>
          <t>A.20分钟以内</t>
        </is>
      </c>
      <c r="DQ84" s="7" t="n">
        <v>0.33</v>
      </c>
      <c r="DR84" s="7" t="n">
        <v>0.33</v>
      </c>
      <c r="DS84" s="7" t="n">
        <v>2.64</v>
      </c>
      <c r="DT84" s="7" t="n">
        <v>2.64</v>
      </c>
      <c r="DU84" s="2" t="inlineStr">
        <is>
          <t>其他</t>
        </is>
      </c>
      <c r="DV84" s="2"/>
      <c r="DW84" s="2"/>
      <c r="DX84" s="2" t="inlineStr">
        <is>
          <t>岗位职责</t>
        </is>
      </c>
      <c r="DY84" s="2" t="inlineStr">
        <is>
          <t>重要不紧急</t>
        </is>
      </c>
      <c r="DZ84" s="2" t="inlineStr">
        <is>
          <t>半标准化-有流程框架，需专业经验</t>
        </is>
      </c>
      <c r="EA84" s="2" t="inlineStr">
        <is>
          <t>极少（&lt;5%）</t>
        </is>
      </c>
      <c r="EB84" s="2" t="inlineStr">
        <is>
          <t>时效/强度负荷</t>
        </is>
      </c>
      <c r="EC84" s="2"/>
      <c r="ED84" s="2" t="inlineStr">
        <is>
          <t>29c95a61-94fd-40e4-93e4-3840abe0e9f3</t>
        </is>
      </c>
      <c r="EE84" s="3" t="n">
        <v>1</v>
      </c>
      <c r="EF84" s="2"/>
      <c r="EG84" s="2"/>
      <c r="EH84" s="2"/>
      <c r="EI84" s="3"/>
      <c r="EJ84" s="2"/>
      <c r="EK84" s="3"/>
      <c r="EL84" s="3"/>
      <c r="EM84" s="7" t="n">
        <v>0</v>
      </c>
      <c r="EN84" s="7" t="n">
        <v>0</v>
      </c>
      <c r="EO84" s="2"/>
      <c r="EP84" s="2"/>
      <c r="EQ84" s="2"/>
      <c r="ER84" s="2"/>
      <c r="ES84" s="2"/>
      <c r="ET84" s="2"/>
      <c r="EU84" s="2"/>
      <c r="EV84" s="2"/>
      <c r="EW84" s="2"/>
      <c r="EX84" s="2" t="inlineStr">
        <is>
          <t>e12e6365-6dc2-4d5d-950d-29861c029e83</t>
        </is>
      </c>
      <c r="EY84" s="3" t="n">
        <v>1</v>
      </c>
      <c r="EZ84" s="2"/>
      <c r="FA84" s="2" t="inlineStr">
        <is>
          <t>提出预缴税管理方法</t>
        </is>
      </c>
      <c r="FB84" s="2" t="inlineStr">
        <is>
          <t>每年1-2次</t>
        </is>
      </c>
      <c r="FC84" s="2" t="inlineStr">
        <is>
          <t>年</t>
        </is>
      </c>
      <c r="FD84" s="3" t="n">
        <v>1</v>
      </c>
      <c r="FE84" s="3" t="n">
        <v>2</v>
      </c>
      <c r="FF84" s="2" t="inlineStr">
        <is>
          <t>E.8小时以上</t>
        </is>
      </c>
      <c r="FG84" s="7" t="n">
        <v>8</v>
      </c>
      <c r="FH84" s="7" t="n">
        <v>8</v>
      </c>
      <c r="FI84" s="7" t="n">
        <v>0</v>
      </c>
      <c r="FJ84" s="7" t="n">
        <v>0</v>
      </c>
      <c r="FK84" s="7" t="n">
        <v>0</v>
      </c>
      <c r="FL84" s="7" t="n">
        <v>0</v>
      </c>
      <c r="FM84" s="7" t="n">
        <v>8</v>
      </c>
      <c r="FN84" s="7" t="n">
        <v>16</v>
      </c>
      <c r="FO84" s="2" t="inlineStr">
        <is>
          <t>专业技术类</t>
        </is>
      </c>
      <c r="FP84" s="2"/>
      <c r="FQ84" s="2" t="inlineStr">
        <is>
          <t>标准研究</t>
        </is>
      </c>
      <c r="FR84" s="2" t="inlineStr">
        <is>
          <t>上级指令</t>
        </is>
      </c>
      <c r="FS84" s="2" t="inlineStr">
        <is>
          <t>重要且紧急</t>
        </is>
      </c>
      <c r="FT84" s="2" t="inlineStr">
        <is>
          <t>非标准化-无先例参考，需创新协调</t>
        </is>
      </c>
      <c r="FU84" s="2" t="inlineStr">
        <is>
          <t>极少（&lt;5%）</t>
        </is>
      </c>
      <c r="FV84" s="2" t="inlineStr">
        <is>
          <t>脑力/复杂度负荷</t>
        </is>
      </c>
      <c r="FW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t="inlineStr">
        <is>
          <t>a3657c7e-52ac-45b9-9e75-b171f68ab4b2</t>
        </is>
      </c>
      <c r="BT85" s="3" t="n">
        <v>2</v>
      </c>
      <c r="BU85" s="2" t="inlineStr">
        <is>
          <t>流程审批类</t>
        </is>
      </c>
      <c r="BV85" s="2" t="inlineStr">
        <is>
          <t>审批费用报销并付款</t>
        </is>
      </c>
      <c r="BW85" s="2" t="inlineStr">
        <is>
          <t>2-5次</t>
        </is>
      </c>
      <c r="BX85" s="3" t="n">
        <v>2</v>
      </c>
      <c r="BY85" s="3" t="n">
        <v>5</v>
      </c>
      <c r="BZ85" s="2" t="inlineStr">
        <is>
          <t>A.20分钟以内</t>
        </is>
      </c>
      <c r="CA85" s="7" t="n">
        <v>0.33</v>
      </c>
      <c r="CB85" s="7" t="n">
        <v>0.33</v>
      </c>
      <c r="CC85" s="7" t="n">
        <v>0.66</v>
      </c>
      <c r="CD85" s="7" t="n">
        <v>1.65</v>
      </c>
      <c r="CE85" s="2" t="inlineStr">
        <is>
          <t>流程审批类</t>
        </is>
      </c>
      <c r="CF85" s="2"/>
      <c r="CG85" s="2" t="inlineStr">
        <is>
          <t>费用报销流程</t>
        </is>
      </c>
      <c r="CH85" s="2" t="inlineStr">
        <is>
          <t>岗位职责</t>
        </is>
      </c>
      <c r="CI85" s="2" t="inlineStr">
        <is>
          <t>重要不紧急</t>
        </is>
      </c>
      <c r="CJ85" s="2" t="inlineStr">
        <is>
          <t>高度标准化-有成熟SOP，照做即可</t>
        </is>
      </c>
      <c r="CK85" s="2" t="inlineStr">
        <is>
          <t>极少（&lt;5%）</t>
        </is>
      </c>
      <c r="CL85" s="2" t="inlineStr">
        <is>
          <t>时效/强度负荷</t>
        </is>
      </c>
      <c r="CM85" s="2"/>
      <c r="CN85" s="2"/>
      <c r="CO85" s="2"/>
      <c r="CP85" s="2"/>
      <c r="CQ85" s="2"/>
      <c r="CR85" s="2"/>
      <c r="CS85" s="2"/>
      <c r="CT85" s="2"/>
      <c r="CU85" s="2"/>
      <c r="CV85" s="2"/>
      <c r="CW85" s="2"/>
      <c r="CX85" s="2"/>
      <c r="CY85" s="2"/>
      <c r="CZ85" s="2"/>
      <c r="DA85" s="2"/>
      <c r="DB85" s="2"/>
      <c r="DC85" s="2"/>
      <c r="DD85" s="2"/>
      <c r="DE85" s="2"/>
      <c r="DF85" s="2"/>
      <c r="DG85" s="2"/>
      <c r="DH85" s="2"/>
      <c r="DI85" s="2" t="inlineStr">
        <is>
          <t>a8869db7-af87-4913-ac40-32d2b705d3e1</t>
        </is>
      </c>
      <c r="DJ85" s="3" t="n">
        <v>2</v>
      </c>
      <c r="DK85" s="2"/>
      <c r="DL85" s="2" t="inlineStr">
        <is>
          <t>税金记账统计核对</t>
        </is>
      </c>
      <c r="DM85" s="2" t="inlineStr">
        <is>
          <t>8次以上</t>
        </is>
      </c>
      <c r="DN85" s="3" t="n">
        <v>8</v>
      </c>
      <c r="DO85" s="3" t="n">
        <v>8</v>
      </c>
      <c r="DP85" s="2" t="inlineStr">
        <is>
          <t>B.2小时以内</t>
        </is>
      </c>
      <c r="DQ85" s="7" t="n">
        <v>2</v>
      </c>
      <c r="DR85" s="7" t="n">
        <v>2</v>
      </c>
      <c r="DS85" s="7" t="n">
        <v>16</v>
      </c>
      <c r="DT85" s="7" t="n">
        <v>16</v>
      </c>
      <c r="DU85" s="2" t="inlineStr">
        <is>
          <t>其他</t>
        </is>
      </c>
      <c r="DV85" s="2"/>
      <c r="DW85" s="2"/>
      <c r="DX85" s="2" t="inlineStr">
        <is>
          <t>岗位职责</t>
        </is>
      </c>
      <c r="DY85" s="2" t="inlineStr">
        <is>
          <t>重要且紧急</t>
        </is>
      </c>
      <c r="DZ85" s="2" t="inlineStr">
        <is>
          <t>半标准化-有流程框架，需专业经验</t>
        </is>
      </c>
      <c r="EA85" s="2" t="inlineStr">
        <is>
          <t>低频（5%-10%）</t>
        </is>
      </c>
      <c r="EB85" s="2" t="inlineStr">
        <is>
          <t>时效/强度负荷</t>
        </is>
      </c>
      <c r="EC85" s="2"/>
      <c r="ED85" s="2"/>
      <c r="EE85" s="2"/>
      <c r="EF85" s="2"/>
      <c r="EG85" s="2"/>
      <c r="EH85" s="2"/>
      <c r="EI85" s="2"/>
      <c r="EJ85" s="2"/>
      <c r="EK85" s="2"/>
      <c r="EL85" s="2"/>
      <c r="EM85" s="2"/>
      <c r="EN85" s="2"/>
      <c r="EO85" s="2"/>
      <c r="EP85" s="2"/>
      <c r="EQ85" s="2"/>
      <c r="ER85" s="2"/>
      <c r="ES85" s="2"/>
      <c r="ET85" s="2"/>
      <c r="EU85" s="2"/>
      <c r="EV85" s="2"/>
      <c r="EW85" s="2"/>
      <c r="EX85" s="2" t="inlineStr">
        <is>
          <t>c6867eed-83f6-425f-8527-8e81f75b8677</t>
        </is>
      </c>
      <c r="EY85" s="3" t="n">
        <v>2</v>
      </c>
      <c r="EZ85" s="2"/>
      <c r="FA85" s="2" t="inlineStr">
        <is>
          <t>去税务局处理不合规税务事项</t>
        </is>
      </c>
      <c r="FB85" s="2" t="inlineStr">
        <is>
          <t>每年1-2次</t>
        </is>
      </c>
      <c r="FC85" s="2" t="inlineStr">
        <is>
          <t>年</t>
        </is>
      </c>
      <c r="FD85" s="3" t="n">
        <v>1</v>
      </c>
      <c r="FE85" s="3" t="n">
        <v>2</v>
      </c>
      <c r="FF85" s="2" t="inlineStr">
        <is>
          <t>E.8小时以上</t>
        </is>
      </c>
      <c r="FG85" s="7" t="n">
        <v>8</v>
      </c>
      <c r="FH85" s="7" t="n">
        <v>8</v>
      </c>
      <c r="FI85" s="7" t="n">
        <v>0</v>
      </c>
      <c r="FJ85" s="7" t="n">
        <v>0</v>
      </c>
      <c r="FK85" s="7" t="n">
        <v>0</v>
      </c>
      <c r="FL85" s="7" t="n">
        <v>0</v>
      </c>
      <c r="FM85" s="7" t="n">
        <v>8</v>
      </c>
      <c r="FN85" s="7" t="n">
        <v>16</v>
      </c>
      <c r="FO85" s="2" t="inlineStr">
        <is>
          <t>监督检查类</t>
        </is>
      </c>
      <c r="FP85" s="2"/>
      <c r="FQ85" s="2" t="inlineStr">
        <is>
          <t>整改闭环</t>
        </is>
      </c>
      <c r="FR85" s="2" t="inlineStr">
        <is>
          <t>岗位职责</t>
        </is>
      </c>
      <c r="FS85" s="2" t="inlineStr">
        <is>
          <t>重要且紧急</t>
        </is>
      </c>
      <c r="FT85" s="2" t="inlineStr">
        <is>
          <t>半标准化-有流程框架，需专业经验</t>
        </is>
      </c>
      <c r="FU85" s="2" t="inlineStr">
        <is>
          <t>极少（&lt;5%）</t>
        </is>
      </c>
      <c r="FV85" s="2" t="inlineStr">
        <is>
          <t>责任/风险负荷</t>
        </is>
      </c>
      <c r="FW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t="inlineStr">
        <is>
          <t>158fd5d4-3dca-4b27-bee8-a1cb7b329efa</t>
        </is>
      </c>
      <c r="BT86" s="3" t="n">
        <v>3</v>
      </c>
      <c r="BU86" s="2" t="inlineStr">
        <is>
          <t>其他</t>
        </is>
      </c>
      <c r="BV86" s="2" t="inlineStr">
        <is>
          <t>收付款记账</t>
        </is>
      </c>
      <c r="BW86" s="2" t="inlineStr">
        <is>
          <t>6-10次</t>
        </is>
      </c>
      <c r="BX86" s="3" t="n">
        <v>6</v>
      </c>
      <c r="BY86" s="3" t="n">
        <v>10</v>
      </c>
      <c r="BZ86" s="2" t="inlineStr">
        <is>
          <t>A.20分钟以内</t>
        </is>
      </c>
      <c r="CA86" s="7" t="n">
        <v>0.33</v>
      </c>
      <c r="CB86" s="7" t="n">
        <v>0.33</v>
      </c>
      <c r="CC86" s="7" t="n">
        <v>1.98</v>
      </c>
      <c r="CD86" s="7" t="n">
        <v>3.3</v>
      </c>
      <c r="CE86" s="2" t="inlineStr">
        <is>
          <t>其他</t>
        </is>
      </c>
      <c r="CF86" s="2"/>
      <c r="CG86" s="2"/>
      <c r="CH86" s="2" t="inlineStr">
        <is>
          <t>岗位职责</t>
        </is>
      </c>
      <c r="CI86" s="2" t="inlineStr">
        <is>
          <t>重要且紧急</t>
        </is>
      </c>
      <c r="CJ86" s="2" t="inlineStr">
        <is>
          <t>高度标准化-有成熟SOP，照做即可</t>
        </is>
      </c>
      <c r="CK86" s="2" t="inlineStr">
        <is>
          <t>极少（&lt;5%）</t>
        </is>
      </c>
      <c r="CL86" s="2" t="inlineStr">
        <is>
          <t>责任/风险负荷</t>
        </is>
      </c>
      <c r="CM86" s="2"/>
      <c r="CN86" s="2"/>
      <c r="CO86" s="2"/>
      <c r="CP86" s="2"/>
      <c r="CQ86" s="2"/>
      <c r="CR86" s="2"/>
      <c r="CS86" s="2"/>
      <c r="CT86" s="2"/>
      <c r="CU86" s="2"/>
      <c r="CV86" s="2"/>
      <c r="CW86" s="2"/>
      <c r="CX86" s="2"/>
      <c r="CY86" s="2"/>
      <c r="CZ86" s="2"/>
      <c r="DA86" s="2"/>
      <c r="DB86" s="2"/>
      <c r="DC86" s="2"/>
      <c r="DD86" s="2"/>
      <c r="DE86" s="2"/>
      <c r="DF86" s="2"/>
      <c r="DG86" s="2"/>
      <c r="DH86" s="2"/>
      <c r="DI86" s="2" t="inlineStr">
        <is>
          <t>3bfc9850-1682-447a-8eae-cd2c6f9bd2ec</t>
        </is>
      </c>
      <c r="DJ86" s="3" t="n">
        <v>3</v>
      </c>
      <c r="DK86" s="2"/>
      <c r="DL86" s="2" t="inlineStr">
        <is>
          <t>账面资金与银行存款对账</t>
        </is>
      </c>
      <c r="DM86" s="2" t="inlineStr">
        <is>
          <t>8次以上</t>
        </is>
      </c>
      <c r="DN86" s="3" t="n">
        <v>8</v>
      </c>
      <c r="DO86" s="3" t="n">
        <v>8</v>
      </c>
      <c r="DP86" s="2" t="inlineStr">
        <is>
          <t>B.2小时以内</t>
        </is>
      </c>
      <c r="DQ86" s="7" t="n">
        <v>2</v>
      </c>
      <c r="DR86" s="7" t="n">
        <v>2</v>
      </c>
      <c r="DS86" s="7" t="n">
        <v>16</v>
      </c>
      <c r="DT86" s="7" t="n">
        <v>16</v>
      </c>
      <c r="DU86" s="2" t="inlineStr">
        <is>
          <t>其他</t>
        </is>
      </c>
      <c r="DV86" s="2"/>
      <c r="DW86" s="2"/>
      <c r="DX86" s="2" t="inlineStr">
        <is>
          <t>岗位职责</t>
        </is>
      </c>
      <c r="DY86" s="2" t="inlineStr">
        <is>
          <t>重要且紧急</t>
        </is>
      </c>
      <c r="DZ86" s="2" t="inlineStr">
        <is>
          <t>半标准化-有流程框架，需专业经验</t>
        </is>
      </c>
      <c r="EA86" s="2" t="inlineStr">
        <is>
          <t>极少（&lt;5%）</t>
        </is>
      </c>
      <c r="EB86" s="2" t="inlineStr">
        <is>
          <t>时效/强度负荷</t>
        </is>
      </c>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t="inlineStr">
        <is>
          <t>fad8992d-a949-4cc6-8027-4690e1874951</t>
        </is>
      </c>
      <c r="BT87" s="3" t="n">
        <v>4</v>
      </c>
      <c r="BU87" s="2" t="inlineStr">
        <is>
          <t>协调沟通类</t>
        </is>
      </c>
      <c r="BV87" s="2" t="inlineStr">
        <is>
          <t>沟通收付款情况</t>
        </is>
      </c>
      <c r="BW87" s="2" t="inlineStr">
        <is>
          <t>10次以上</t>
        </is>
      </c>
      <c r="BX87" s="3" t="n">
        <v>10</v>
      </c>
      <c r="BY87" s="3" t="n">
        <v>10</v>
      </c>
      <c r="BZ87" s="2" t="inlineStr">
        <is>
          <t>A.20分钟以内</t>
        </is>
      </c>
      <c r="CA87" s="7" t="n">
        <v>0.33</v>
      </c>
      <c r="CB87" s="7" t="n">
        <v>0.33</v>
      </c>
      <c r="CC87" s="7" t="n">
        <v>3.3</v>
      </c>
      <c r="CD87" s="7" t="n">
        <v>3.3</v>
      </c>
      <c r="CE87" s="2" t="inlineStr">
        <is>
          <t>协调沟通类</t>
        </is>
      </c>
      <c r="CF87" s="2"/>
      <c r="CG87" s="2" t="inlineStr">
        <is>
          <t>催办</t>
        </is>
      </c>
      <c r="CH87" s="2" t="inlineStr">
        <is>
          <t>岗位职责</t>
        </is>
      </c>
      <c r="CI87" s="2" t="inlineStr">
        <is>
          <t>重要且紧急</t>
        </is>
      </c>
      <c r="CJ87" s="2" t="inlineStr">
        <is>
          <t>半标准化-有流程框架，需专业经验</t>
        </is>
      </c>
      <c r="CK87" s="2" t="inlineStr">
        <is>
          <t>极少（&lt;5%）</t>
        </is>
      </c>
      <c r="CL87" s="2" t="inlineStr">
        <is>
          <t>时效/强度负荷</t>
        </is>
      </c>
      <c r="CM87" s="2"/>
      <c r="CN87" s="2"/>
      <c r="CO87" s="2"/>
      <c r="CP87" s="2"/>
      <c r="CQ87" s="2"/>
      <c r="CR87" s="2"/>
      <c r="CS87" s="2"/>
      <c r="CT87" s="2"/>
      <c r="CU87" s="2"/>
      <c r="CV87" s="2"/>
      <c r="CW87" s="2"/>
      <c r="CX87" s="2"/>
      <c r="CY87" s="2"/>
      <c r="CZ87" s="2"/>
      <c r="DA87" s="2"/>
      <c r="DB87" s="2"/>
      <c r="DC87" s="2"/>
      <c r="DD87" s="2"/>
      <c r="DE87" s="2"/>
      <c r="DF87" s="2"/>
      <c r="DG87" s="2"/>
      <c r="DH87" s="2"/>
      <c r="DI87" s="2" t="inlineStr">
        <is>
          <t>6695f20c-d484-4d52-a2dd-723ac2d1ed9a</t>
        </is>
      </c>
      <c r="DJ87" s="3" t="n">
        <v>4</v>
      </c>
      <c r="DK87" s="2"/>
      <c r="DL87" s="2" t="inlineStr">
        <is>
          <t>结账并出具财务报表</t>
        </is>
      </c>
      <c r="DM87" s="2" t="inlineStr">
        <is>
          <t>8次以上</t>
        </is>
      </c>
      <c r="DN87" s="3" t="n">
        <v>8</v>
      </c>
      <c r="DO87" s="3" t="n">
        <v>8</v>
      </c>
      <c r="DP87" s="2" t="inlineStr">
        <is>
          <t>B.2小时以内</t>
        </is>
      </c>
      <c r="DQ87" s="7" t="n">
        <v>2</v>
      </c>
      <c r="DR87" s="7" t="n">
        <v>2</v>
      </c>
      <c r="DS87" s="7" t="n">
        <v>16</v>
      </c>
      <c r="DT87" s="7" t="n">
        <v>16</v>
      </c>
      <c r="DU87" s="2" t="inlineStr">
        <is>
          <t>其他</t>
        </is>
      </c>
      <c r="DV87" s="2"/>
      <c r="DW87" s="2"/>
      <c r="DX87" s="2" t="inlineStr">
        <is>
          <t>岗位职责</t>
        </is>
      </c>
      <c r="DY87" s="2" t="inlineStr">
        <is>
          <t>重要且紧急</t>
        </is>
      </c>
      <c r="DZ87" s="2" t="inlineStr">
        <is>
          <t>半标准化-有流程框架，需专业经验</t>
        </is>
      </c>
      <c r="EA87" s="2" t="inlineStr">
        <is>
          <t>低频（5%-10%）</t>
        </is>
      </c>
      <c r="EB87" s="2" t="inlineStr">
        <is>
          <t>时效/强度负荷</t>
        </is>
      </c>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t="inlineStr">
        <is>
          <t>fe3117df-1b27-4a12-9873-459064e7d528</t>
        </is>
      </c>
      <c r="BT88" s="3" t="n">
        <v>5</v>
      </c>
      <c r="BU88" s="2" t="inlineStr">
        <is>
          <t>数据报表类</t>
        </is>
      </c>
      <c r="BV88" s="2" t="inlineStr">
        <is>
          <t>提供财务支持资料</t>
        </is>
      </c>
      <c r="BW88" s="2" t="inlineStr">
        <is>
          <t>1次</t>
        </is>
      </c>
      <c r="BX88" s="3" t="n">
        <v>1</v>
      </c>
      <c r="BY88" s="3" t="n">
        <v>1</v>
      </c>
      <c r="BZ88" s="2" t="inlineStr">
        <is>
          <t>B.2小时以内</t>
        </is>
      </c>
      <c r="CA88" s="7" t="n">
        <v>2</v>
      </c>
      <c r="CB88" s="7" t="n">
        <v>2</v>
      </c>
      <c r="CC88" s="7" t="n">
        <v>2</v>
      </c>
      <c r="CD88" s="7" t="n">
        <v>2</v>
      </c>
      <c r="CE88" s="2" t="inlineStr">
        <is>
          <t>数据报表类</t>
        </is>
      </c>
      <c r="CF88" s="2"/>
      <c r="CG88" s="2" t="inlineStr">
        <is>
          <t>专项统计</t>
        </is>
      </c>
      <c r="CH88" s="2" t="inlineStr">
        <is>
          <t>跨部门协同</t>
        </is>
      </c>
      <c r="CI88" s="2" t="inlineStr">
        <is>
          <t>重要且紧急</t>
        </is>
      </c>
      <c r="CJ88" s="2" t="inlineStr">
        <is>
          <t>非标准化-无先例参考，需创新协调</t>
        </is>
      </c>
      <c r="CK88" s="2" t="inlineStr">
        <is>
          <t>极少（&lt;5%）</t>
        </is>
      </c>
      <c r="CL88" s="2" t="inlineStr">
        <is>
          <t>沟通/协调负荷</t>
        </is>
      </c>
      <c r="CM88" s="2"/>
      <c r="CN88" s="2"/>
      <c r="CO88" s="2"/>
      <c r="CP88" s="2"/>
      <c r="CQ88" s="2"/>
      <c r="CR88" s="2"/>
      <c r="CS88" s="2"/>
      <c r="CT88" s="2"/>
      <c r="CU88" s="2"/>
      <c r="CV88" s="2"/>
      <c r="CW88" s="2"/>
      <c r="CX88" s="2"/>
      <c r="CY88" s="2"/>
      <c r="CZ88" s="2"/>
      <c r="DA88" s="2"/>
      <c r="DB88" s="2"/>
      <c r="DC88" s="2"/>
      <c r="DD88" s="2"/>
      <c r="DE88" s="2"/>
      <c r="DF88" s="2"/>
      <c r="DG88" s="2"/>
      <c r="DH88" s="2"/>
      <c r="DI88" s="2" t="inlineStr">
        <is>
          <t>26bcd181-987e-4f21-968d-516ebad25639</t>
        </is>
      </c>
      <c r="DJ88" s="3" t="n">
        <v>5</v>
      </c>
      <c r="DK88" s="2"/>
      <c r="DL88" s="2" t="inlineStr">
        <is>
          <t>整理核对资金收支分析表</t>
        </is>
      </c>
      <c r="DM88" s="2" t="inlineStr">
        <is>
          <t>8次以上</t>
        </is>
      </c>
      <c r="DN88" s="3" t="n">
        <v>8</v>
      </c>
      <c r="DO88" s="3" t="n">
        <v>8</v>
      </c>
      <c r="DP88" s="2" t="inlineStr">
        <is>
          <t>B.2小时以内</t>
        </is>
      </c>
      <c r="DQ88" s="7" t="n">
        <v>2</v>
      </c>
      <c r="DR88" s="7" t="n">
        <v>2</v>
      </c>
      <c r="DS88" s="7" t="n">
        <v>16</v>
      </c>
      <c r="DT88" s="7" t="n">
        <v>16</v>
      </c>
      <c r="DU88" s="2" t="inlineStr">
        <is>
          <t>其他</t>
        </is>
      </c>
      <c r="DV88" s="2"/>
      <c r="DW88" s="2"/>
      <c r="DX88" s="2" t="inlineStr">
        <is>
          <t>岗位职责</t>
        </is>
      </c>
      <c r="DY88" s="2" t="inlineStr">
        <is>
          <t>重要且紧急</t>
        </is>
      </c>
      <c r="DZ88" s="2" t="inlineStr">
        <is>
          <t>半标准化-有流程框架，需专业经验</t>
        </is>
      </c>
      <c r="EA88" s="2" t="inlineStr">
        <is>
          <t>极少（&lt;5%）</t>
        </is>
      </c>
      <c r="EB88" s="2" t="inlineStr">
        <is>
          <t>脑力/复杂度负荷</t>
        </is>
      </c>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t="inlineStr">
        <is>
          <t>bc3503a0-0eb4-439b-bda4-58a11e92bae6</t>
        </is>
      </c>
      <c r="BT89" s="3" t="n">
        <v>6</v>
      </c>
      <c r="BU89" s="2" t="inlineStr">
        <is>
          <t>流程审批类</t>
        </is>
      </c>
      <c r="BV89" s="2" t="inlineStr">
        <is>
          <t>审批ERP其他流程</t>
        </is>
      </c>
      <c r="BW89" s="2" t="inlineStr">
        <is>
          <t>10次以上</t>
        </is>
      </c>
      <c r="BX89" s="3" t="n">
        <v>10</v>
      </c>
      <c r="BY89" s="3" t="n">
        <v>10</v>
      </c>
      <c r="BZ89" s="2" t="inlineStr">
        <is>
          <t>A.20分钟以内</t>
        </is>
      </c>
      <c r="CA89" s="7" t="n">
        <v>0.33</v>
      </c>
      <c r="CB89" s="7" t="n">
        <v>0.33</v>
      </c>
      <c r="CC89" s="7" t="n">
        <v>3.3</v>
      </c>
      <c r="CD89" s="7" t="n">
        <v>3.3</v>
      </c>
      <c r="CE89" s="2" t="inlineStr">
        <is>
          <t>流程审批类</t>
        </is>
      </c>
      <c r="CF89" s="2"/>
      <c r="CG89" s="2" t="inlineStr">
        <is>
          <t>财务管理流程</t>
        </is>
      </c>
      <c r="CH89" s="2" t="inlineStr">
        <is>
          <t>岗位职责</t>
        </is>
      </c>
      <c r="CI89" s="2" t="inlineStr">
        <is>
          <t>重要不紧急</t>
        </is>
      </c>
      <c r="CJ89" s="2" t="inlineStr">
        <is>
          <t>半标准化-有流程框架，需专业经验</t>
        </is>
      </c>
      <c r="CK89" s="2" t="inlineStr">
        <is>
          <t>极少（&lt;5%）</t>
        </is>
      </c>
      <c r="CL89" s="2" t="inlineStr">
        <is>
          <t>时效/强度负荷</t>
        </is>
      </c>
      <c r="CM89" s="2"/>
      <c r="CN89" s="2"/>
      <c r="CO89" s="2"/>
      <c r="CP89" s="2"/>
      <c r="CQ89" s="2"/>
      <c r="CR89" s="2"/>
      <c r="CS89" s="2"/>
      <c r="CT89" s="2"/>
      <c r="CU89" s="2"/>
      <c r="CV89" s="2"/>
      <c r="CW89" s="2"/>
      <c r="CX89" s="2"/>
      <c r="CY89" s="2"/>
      <c r="CZ89" s="2"/>
      <c r="DA89" s="2"/>
      <c r="DB89" s="2"/>
      <c r="DC89" s="2"/>
      <c r="DD89" s="2"/>
      <c r="DE89" s="2"/>
      <c r="DF89" s="2"/>
      <c r="DG89" s="2"/>
      <c r="DH89" s="2"/>
      <c r="DI89" s="2" t="inlineStr">
        <is>
          <t>3ca03386-a02b-4372-bbac-31374411bdcd</t>
        </is>
      </c>
      <c r="DJ89" s="3" t="n">
        <v>6</v>
      </c>
      <c r="DK89" s="2"/>
      <c r="DL89" s="2" t="inlineStr">
        <is>
          <t>提供个性化财务咨询服务</t>
        </is>
      </c>
      <c r="DM89" s="2" t="inlineStr">
        <is>
          <t>4-8次</t>
        </is>
      </c>
      <c r="DN89" s="3" t="n">
        <v>4</v>
      </c>
      <c r="DO89" s="3" t="n">
        <v>8</v>
      </c>
      <c r="DP89" s="2" t="inlineStr">
        <is>
          <t>B.2小时以内</t>
        </is>
      </c>
      <c r="DQ89" s="7" t="n">
        <v>2</v>
      </c>
      <c r="DR89" s="7" t="n">
        <v>2</v>
      </c>
      <c r="DS89" s="7" t="n">
        <v>8</v>
      </c>
      <c r="DT89" s="7" t="n">
        <v>16</v>
      </c>
      <c r="DU89" s="2" t="inlineStr">
        <is>
          <t>专业技术类</t>
        </is>
      </c>
      <c r="DV89" s="2"/>
      <c r="DW89" s="2" t="inlineStr">
        <is>
          <t>专业问题协调</t>
        </is>
      </c>
      <c r="DX89" s="2" t="inlineStr">
        <is>
          <t>自主发起</t>
        </is>
      </c>
      <c r="DY89" s="2" t="inlineStr">
        <is>
          <t>重要且紧急</t>
        </is>
      </c>
      <c r="DZ89" s="2" t="inlineStr">
        <is>
          <t>非标准化-无先例参考，需创新协调</t>
        </is>
      </c>
      <c r="EA89" s="2" t="inlineStr">
        <is>
          <t>极少（&lt;5%）</t>
        </is>
      </c>
      <c r="EB89" s="2" t="inlineStr">
        <is>
          <t>脑力/复杂度负荷</t>
        </is>
      </c>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t="inlineStr">
        <is>
          <t>1a0831be-6bf6-48cf-bba8-f9f2ee9368d1</t>
        </is>
      </c>
      <c r="DJ90" s="3" t="n">
        <v>7</v>
      </c>
      <c r="DK90" s="2"/>
      <c r="DL90" s="2" t="inlineStr">
        <is>
          <t>提出ERP优化建议</t>
        </is>
      </c>
      <c r="DM90" s="2" t="inlineStr">
        <is>
          <t>2-3次</t>
        </is>
      </c>
      <c r="DN90" s="3" t="n">
        <v>2</v>
      </c>
      <c r="DO90" s="3" t="n">
        <v>3</v>
      </c>
      <c r="DP90" s="2" t="inlineStr">
        <is>
          <t>A.20分钟以内</t>
        </is>
      </c>
      <c r="DQ90" s="7" t="n">
        <v>0.33</v>
      </c>
      <c r="DR90" s="7" t="n">
        <v>0.33</v>
      </c>
      <c r="DS90" s="7" t="n">
        <v>0.66</v>
      </c>
      <c r="DT90" s="7" t="n">
        <v>0.99</v>
      </c>
      <c r="DU90" s="2" t="inlineStr">
        <is>
          <t>流程审批类</t>
        </is>
      </c>
      <c r="DV90" s="2"/>
      <c r="DW90" s="2" t="inlineStr">
        <is>
          <t>信息化管理流程</t>
        </is>
      </c>
      <c r="DX90" s="2" t="inlineStr">
        <is>
          <t>自主发起</t>
        </is>
      </c>
      <c r="DY90" s="2" t="inlineStr">
        <is>
          <t>重要不紧急</t>
        </is>
      </c>
      <c r="DZ90" s="2" t="inlineStr">
        <is>
          <t>非标准化-无先例参考，需创新协调</t>
        </is>
      </c>
      <c r="EA90" s="2" t="inlineStr">
        <is>
          <t>极少（&lt;5%）</t>
        </is>
      </c>
      <c r="EB90" s="2" t="inlineStr">
        <is>
          <t>沟通/协调负荷</t>
        </is>
      </c>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t="inlineStr">
        <is>
          <t>3e89bb8e-930e-4731-a85e-f5e5881d3072</t>
        </is>
      </c>
      <c r="DJ91" s="3" t="n">
        <v>8</v>
      </c>
      <c r="DK91" s="2"/>
      <c r="DL91" s="2" t="inlineStr">
        <is>
          <t>审核组员记账凭证</t>
        </is>
      </c>
      <c r="DM91" s="2" t="inlineStr">
        <is>
          <t>8次以上</t>
        </is>
      </c>
      <c r="DN91" s="3" t="n">
        <v>8</v>
      </c>
      <c r="DO91" s="3" t="n">
        <v>8</v>
      </c>
      <c r="DP91" s="2" t="inlineStr">
        <is>
          <t>A.20分钟以内</t>
        </is>
      </c>
      <c r="DQ91" s="7" t="n">
        <v>0.33</v>
      </c>
      <c r="DR91" s="7" t="n">
        <v>0.33</v>
      </c>
      <c r="DS91" s="7" t="n">
        <v>2.64</v>
      </c>
      <c r="DT91" s="7" t="n">
        <v>2.64</v>
      </c>
      <c r="DU91" s="2" t="inlineStr">
        <is>
          <t>监督检查类</t>
        </is>
      </c>
      <c r="DV91" s="2"/>
      <c r="DW91" s="2" t="inlineStr">
        <is>
          <t>合规监督</t>
        </is>
      </c>
      <c r="DX91" s="2" t="inlineStr">
        <is>
          <t>岗位职责</t>
        </is>
      </c>
      <c r="DY91" s="2" t="inlineStr">
        <is>
          <t>重要且紧急</t>
        </is>
      </c>
      <c r="DZ91" s="2" t="inlineStr">
        <is>
          <t>半标准化-有流程框架，需专业经验</t>
        </is>
      </c>
      <c r="EA91" s="2" t="inlineStr">
        <is>
          <t>极少（&lt;5%）</t>
        </is>
      </c>
      <c r="EB91" s="2" t="inlineStr">
        <is>
          <t>责任/风险负荷</t>
        </is>
      </c>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row>
    <row r="92">
      <c r="A92" s="2" t="inlineStr">
        <is>
          <t>2026-05-22 17:13:30</t>
        </is>
      </c>
      <c r="B92" s="2" t="inlineStr">
        <is>
          <t>胡锦刚</t>
        </is>
      </c>
      <c r="C92" s="2" t="inlineStr">
        <is>
          <t>资产财务部</t>
        </is>
      </c>
      <c r="D92" s="2" t="inlineStr">
        <is>
          <t>男</t>
        </is>
      </c>
      <c r="E92" s="2" t="inlineStr">
        <is>
          <t>511027197006273038</t>
        </is>
      </c>
      <c r="F92" s="2" t="inlineStr">
        <is>
          <t>主管工程师</t>
        </is>
      </c>
      <c r="G92" s="2" t="inlineStr">
        <is>
          <t>1991-08</t>
        </is>
      </c>
      <c r="H92" s="2" t="inlineStr">
        <is>
          <t>郑州航空工业管理学院</t>
        </is>
      </c>
      <c r="I92" s="2" t="inlineStr">
        <is>
          <t>会计</t>
        </is>
      </c>
      <c r="J92" s="2" t="inlineStr">
        <is>
          <t>大专</t>
        </is>
      </c>
      <c r="K92" s="2"/>
      <c r="L92" s="6">
        <f>HYPERLINK("https://www.h3yun.com/Form/Attachments/?schemacode=D1483577de63ede327d4760b10664bd57671d7e&amp;bizObjectId=d7fb931d-9a96-4886-8230-0ef5e16a9652&amp;name=F0000046","点击查看")</f>
        <v>0</v>
      </c>
      <c r="M92" s="2" t="inlineStr">
        <is>
          <t>资料整理、传递与保管，电子文档代替手工文档，减少手工文档处理时间和频率</t>
        </is>
      </c>
      <c r="N92" s="2" t="inlineStr">
        <is>
          <t>每日工作;每月工作;每季度/阶段性工作;临时/突发工作</t>
        </is>
      </c>
      <c r="O92" s="2" t="inlineStr">
        <is>
          <t>46岁及以上</t>
        </is>
      </c>
      <c r="P92" s="2" t="inlineStr">
        <is>
          <t>C.已婚已育</t>
        </is>
      </c>
      <c r="Q92" s="2" t="inlineStr">
        <is>
          <t>A.否</t>
        </is>
      </c>
      <c r="R92" s="2" t="inlineStr">
        <is>
          <t>A.否</t>
        </is>
      </c>
      <c r="S92" s="2" t="inlineStr">
        <is>
          <t>D.希望承担更有挑战性的工作，并争取更大发展空间</t>
        </is>
      </c>
      <c r="T92" s="2" t="inlineStr">
        <is>
          <t>C.工作较稳定，但发展空间不足</t>
        </is>
      </c>
      <c r="U92" s="2" t="inlineStr">
        <is>
          <t>B.减少无效流转和返工</t>
        </is>
      </c>
      <c r="V92" s="2" t="inlineStr">
        <is>
          <t>D.已形成较稳定优化做法</t>
        </is>
      </c>
      <c r="W92" s="2"/>
      <c r="X92" s="2" t="inlineStr">
        <is>
          <t>B.满负荷 (100%-120%)</t>
        </is>
      </c>
      <c r="Y92" s="2" t="inlineStr">
        <is>
          <t>B.上游资料不全，导致反复沟通/返工;C.会议或日常协调过多，压缩产出时间;J.在指导答疑协助上耗时过多导致的加班</t>
        </is>
      </c>
      <c r="Z92" s="2" t="inlineStr">
        <is>
          <t>专业问题协调</t>
        </is>
      </c>
      <c r="AA92" s="2" t="inlineStr">
        <is>
          <t>会议安排</t>
        </is>
      </c>
      <c r="AB92" s="2" t="inlineStr">
        <is>
          <t>专业问题协调</t>
        </is>
      </c>
      <c r="AC92" s="2" t="inlineStr">
        <is>
          <t>A.高度匹配（得心应手）</t>
        </is>
      </c>
      <c r="AD92" s="2" t="inlineStr">
        <is>
          <t>民工工资户数据和资料erp中文档化管理</t>
        </is>
      </c>
      <c r="AE92" s="2"/>
      <c r="AF92" s="2"/>
      <c r="AG92" s="2" t="inlineStr">
        <is>
          <t>A.配偶为公司家属，常驻南京，不影响</t>
        </is>
      </c>
      <c r="AH92" s="2"/>
      <c r="AI92" s="7" t="n">
        <v>6.6</v>
      </c>
      <c r="AJ92" s="7" t="n">
        <v>6.6</v>
      </c>
      <c r="AK92" s="7" t="n">
        <v>0</v>
      </c>
      <c r="AL92" s="7" t="n">
        <v>0</v>
      </c>
      <c r="AM92" s="7" t="n">
        <v>1.82</v>
      </c>
      <c r="AN92" s="7" t="n">
        <v>5.27</v>
      </c>
      <c r="AO92" s="7" t="n">
        <v>0.01</v>
      </c>
      <c r="AP92" s="7" t="n">
        <v>0.02</v>
      </c>
      <c r="AQ92" s="7" t="n">
        <v>0.67</v>
      </c>
      <c r="AR92" s="7" t="n">
        <v>1.08</v>
      </c>
      <c r="AS92" s="7" t="n">
        <v>9.1</v>
      </c>
      <c r="AT92" s="7" t="n">
        <v>12.97</v>
      </c>
      <c r="AU92" s="7" t="n">
        <v>11.04</v>
      </c>
      <c r="AV92" s="2" t="inlineStr">
        <is>
          <t>超负荷</t>
        </is>
      </c>
      <c r="AW92" s="2" t="inlineStr">
        <is>
          <t>不一致</t>
        </is>
      </c>
      <c r="AX92" s="2" t="inlineStr">
        <is>
          <t>d7fb931d-9a96-4886-8230-0ef5e16a9652</t>
        </is>
      </c>
      <c r="AY92" s="2" t="inlineStr">
        <is>
          <t>资产财务部    胡锦刚</t>
        </is>
      </c>
      <c r="AZ92" s="2" t="inlineStr">
        <is>
          <t>Anonymous</t>
        </is>
      </c>
      <c r="BA92" s="2" t="inlineStr">
        <is>
          <t>Anonymous</t>
        </is>
      </c>
      <c r="BB92" s="2"/>
      <c r="BC92" s="2" t="inlineStr">
        <is>
          <t>2026-05-22 17:13:30</t>
        </is>
      </c>
      <c r="BD92" s="3" t="n">
        <v>1970</v>
      </c>
      <c r="BE92" s="3" t="n">
        <v>56</v>
      </c>
      <c r="BF92" s="2" t="inlineStr">
        <is>
          <t>A.无此需求</t>
        </is>
      </c>
      <c r="BG92" s="2" t="inlineStr">
        <is>
          <t>已生效</t>
        </is>
      </c>
      <c r="BH92" s="2" t="inlineStr">
        <is>
          <t>ea150474-f99a-4946-a71a-b5e39ae6e33e</t>
        </is>
      </c>
      <c r="BI92" s="3" t="n">
        <v>1</v>
      </c>
      <c r="BJ92" s="2"/>
      <c r="BK92" s="2"/>
      <c r="BL92" s="2"/>
      <c r="BM92" s="2"/>
      <c r="BN92" s="2"/>
      <c r="BO92" s="2"/>
      <c r="BP92" s="2"/>
      <c r="BQ92" s="2"/>
      <c r="BR92" s="2"/>
      <c r="BS92" s="2" t="inlineStr">
        <is>
          <t>220bdefc-37f8-4810-be84-f40f97149dbf</t>
        </is>
      </c>
      <c r="BT92" s="3" t="n">
        <v>1</v>
      </c>
      <c r="BU92" s="2" t="inlineStr">
        <is>
          <t>专业技术类</t>
        </is>
      </c>
      <c r="BV92" s="2" t="inlineStr">
        <is>
          <t>erp流程</t>
        </is>
      </c>
      <c r="BW92" s="2" t="inlineStr">
        <is>
          <t>10次以上</t>
        </is>
      </c>
      <c r="BX92" s="3" t="n">
        <v>10</v>
      </c>
      <c r="BY92" s="3" t="n">
        <v>10</v>
      </c>
      <c r="BZ92" s="2" t="inlineStr">
        <is>
          <t>A.20分钟以内</t>
        </is>
      </c>
      <c r="CA92" s="7" t="n">
        <v>0.33</v>
      </c>
      <c r="CB92" s="7" t="n">
        <v>0.33</v>
      </c>
      <c r="CC92" s="7" t="n">
        <v>3.3</v>
      </c>
      <c r="CD92" s="7" t="n">
        <v>3.3</v>
      </c>
      <c r="CE92" s="2" t="inlineStr">
        <is>
          <t>专业技术类</t>
        </is>
      </c>
      <c r="CF92" s="2"/>
      <c r="CG92" s="2" t="inlineStr">
        <is>
          <t>专业问题协调</t>
        </is>
      </c>
      <c r="CH92" s="2" t="inlineStr">
        <is>
          <t>岗位职责</t>
        </is>
      </c>
      <c r="CI92" s="2" t="inlineStr">
        <is>
          <t>重要且紧急</t>
        </is>
      </c>
      <c r="CJ92" s="2" t="inlineStr">
        <is>
          <t>半标准化-有流程框架，需专业经验</t>
        </is>
      </c>
      <c r="CK92" s="2" t="inlineStr">
        <is>
          <t>极少（&lt;5%）</t>
        </is>
      </c>
      <c r="CL92" s="2" t="inlineStr">
        <is>
          <t>脑力/复杂度负荷</t>
        </is>
      </c>
      <c r="CM92" s="2"/>
      <c r="CN92" s="2" t="inlineStr">
        <is>
          <t>d1de5147-577c-417c-93c0-f45dc2c29482</t>
        </is>
      </c>
      <c r="CO92" s="3" t="n">
        <v>1</v>
      </c>
      <c r="CP92" s="2"/>
      <c r="CQ92" s="2"/>
      <c r="CR92" s="2"/>
      <c r="CS92" s="3"/>
      <c r="CT92" s="3"/>
      <c r="CU92" s="2"/>
      <c r="CV92" s="3"/>
      <c r="CW92" s="3"/>
      <c r="CX92" s="7" t="n">
        <v>0</v>
      </c>
      <c r="CY92" s="7" t="n">
        <v>0</v>
      </c>
      <c r="CZ92" s="2"/>
      <c r="DA92" s="2"/>
      <c r="DB92" s="2"/>
      <c r="DC92" s="2"/>
      <c r="DD92" s="2"/>
      <c r="DE92" s="2"/>
      <c r="DF92" s="2"/>
      <c r="DG92" s="2"/>
      <c r="DH92" s="2"/>
      <c r="DI92" s="2" t="inlineStr">
        <is>
          <t>4d0e0ba5-073c-490c-8bad-565ed413cd05</t>
        </is>
      </c>
      <c r="DJ92" s="3" t="n">
        <v>1</v>
      </c>
      <c r="DK92" s="2"/>
      <c r="DL92" s="2" t="inlineStr">
        <is>
          <t>资金流核对</t>
        </is>
      </c>
      <c r="DM92" s="2" t="inlineStr">
        <is>
          <t>2-3次</t>
        </is>
      </c>
      <c r="DN92" s="3" t="n">
        <v>2</v>
      </c>
      <c r="DO92" s="3" t="n">
        <v>3</v>
      </c>
      <c r="DP92" s="2" t="inlineStr">
        <is>
          <t>C.2-4小时</t>
        </is>
      </c>
      <c r="DQ92" s="7" t="n">
        <v>2</v>
      </c>
      <c r="DR92" s="7" t="n">
        <v>4</v>
      </c>
      <c r="DS92" s="7" t="n">
        <v>4</v>
      </c>
      <c r="DT92" s="7" t="n">
        <v>12</v>
      </c>
      <c r="DU92" s="2" t="inlineStr">
        <is>
          <t>数据报表类</t>
        </is>
      </c>
      <c r="DV92" s="2"/>
      <c r="DW92" s="2" t="inlineStr">
        <is>
          <t>经营数据汇总</t>
        </is>
      </c>
      <c r="DX92" s="2" t="inlineStr">
        <is>
          <t>部门计划</t>
        </is>
      </c>
      <c r="DY92" s="2" t="inlineStr">
        <is>
          <t>重要且紧急</t>
        </is>
      </c>
      <c r="DZ92" s="2" t="inlineStr">
        <is>
          <t>非标准化-无先例参考，需创新协调</t>
        </is>
      </c>
      <c r="EA92" s="2" t="inlineStr">
        <is>
          <t>极少（&lt;5%）</t>
        </is>
      </c>
      <c r="EB92" s="2" t="inlineStr">
        <is>
          <t>脑力/复杂度负荷</t>
        </is>
      </c>
      <c r="EC92" s="2"/>
      <c r="ED92" s="2" t="inlineStr">
        <is>
          <t>0add8cb7-2346-4980-9ca3-80728b1cd31b</t>
        </is>
      </c>
      <c r="EE92" s="3" t="n">
        <v>1</v>
      </c>
      <c r="EF92" s="2"/>
      <c r="EG92" s="2" t="inlineStr">
        <is>
          <t>会计审计资料</t>
        </is>
      </c>
      <c r="EH92" s="2" t="inlineStr">
        <is>
          <t>1次</t>
        </is>
      </c>
      <c r="EI92" s="3" t="n">
        <v>1</v>
      </c>
      <c r="EJ92" s="2" t="inlineStr">
        <is>
          <t>C.2-4小时</t>
        </is>
      </c>
      <c r="EK92" s="7" t="n">
        <v>2</v>
      </c>
      <c r="EL92" s="7" t="n">
        <v>4</v>
      </c>
      <c r="EM92" s="7" t="n">
        <v>2</v>
      </c>
      <c r="EN92" s="7" t="n">
        <v>4</v>
      </c>
      <c r="EO92" s="2" t="inlineStr">
        <is>
          <t>专业技术类</t>
        </is>
      </c>
      <c r="EP92" s="2"/>
      <c r="EQ92" s="2" t="inlineStr">
        <is>
          <t>专业问题协调</t>
        </is>
      </c>
      <c r="ER92" s="2" t="inlineStr">
        <is>
          <t>部门计划</t>
        </is>
      </c>
      <c r="ES92" s="2" t="inlineStr">
        <is>
          <t>重要且紧急</t>
        </is>
      </c>
      <c r="ET92" s="2" t="inlineStr">
        <is>
          <t>半标准化-有流程框架，需专业经验</t>
        </is>
      </c>
      <c r="EU92" s="2" t="inlineStr">
        <is>
          <t>极少（&lt;5%）</t>
        </is>
      </c>
      <c r="EV92" s="2" t="inlineStr">
        <is>
          <t>脑力/复杂度负荷</t>
        </is>
      </c>
      <c r="EW92" s="2"/>
      <c r="EX92" s="2" t="inlineStr">
        <is>
          <t>0ea0ca25-fb1a-48d2-b0f2-975576a5c83d</t>
        </is>
      </c>
      <c r="EY92" s="3" t="n">
        <v>1</v>
      </c>
      <c r="EZ92" s="2"/>
      <c r="FA92" s="2" t="inlineStr">
        <is>
          <t>配合其他部门查找资料</t>
        </is>
      </c>
      <c r="FB92" s="2" t="inlineStr">
        <is>
          <t>每月3次以上</t>
        </is>
      </c>
      <c r="FC92" s="2" t="inlineStr">
        <is>
          <t>月</t>
        </is>
      </c>
      <c r="FD92" s="3" t="n">
        <v>3</v>
      </c>
      <c r="FE92" s="3" t="n">
        <v>3</v>
      </c>
      <c r="FF92" s="2" t="inlineStr">
        <is>
          <t>B.2小时以内</t>
        </is>
      </c>
      <c r="FG92" s="7" t="n">
        <v>2</v>
      </c>
      <c r="FH92" s="7" t="n">
        <v>2</v>
      </c>
      <c r="FI92" s="7" t="n">
        <v>6</v>
      </c>
      <c r="FJ92" s="7" t="n">
        <v>6</v>
      </c>
      <c r="FK92" s="7" t="n">
        <v>0</v>
      </c>
      <c r="FL92" s="7" t="n">
        <v>0</v>
      </c>
      <c r="FM92" s="7" t="n">
        <v>0</v>
      </c>
      <c r="FN92" s="7" t="n">
        <v>0</v>
      </c>
      <c r="FO92" s="2" t="inlineStr">
        <is>
          <t>协调沟通类</t>
        </is>
      </c>
      <c r="FP92" s="2"/>
      <c r="FQ92" s="2" t="inlineStr">
        <is>
          <t>跨部门对接</t>
        </is>
      </c>
      <c r="FR92" s="2" t="inlineStr">
        <is>
          <t>跨部门协同</t>
        </is>
      </c>
      <c r="FS92" s="2" t="inlineStr">
        <is>
          <t>重要且紧急</t>
        </is>
      </c>
      <c r="FT92" s="2" t="inlineStr">
        <is>
          <t>非标准化-无先例参考，需创新协调</t>
        </is>
      </c>
      <c r="FU92" s="2" t="inlineStr">
        <is>
          <t>极少（&lt;5%）</t>
        </is>
      </c>
      <c r="FV92" s="2" t="inlineStr">
        <is>
          <t>时效/强度负荷</t>
        </is>
      </c>
      <c r="FW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t="inlineStr">
        <is>
          <t>43e8ec33-5761-423b-b005-94e49abfabc4</t>
        </is>
      </c>
      <c r="BT93" s="3" t="n">
        <v>2</v>
      </c>
      <c r="BU93" s="2" t="inlineStr">
        <is>
          <t>专业技术类</t>
        </is>
      </c>
      <c r="BV93" s="2" t="inlineStr">
        <is>
          <t>会计业务</t>
        </is>
      </c>
      <c r="BW93" s="2" t="inlineStr">
        <is>
          <t>10次以上</t>
        </is>
      </c>
      <c r="BX93" s="3" t="n">
        <v>10</v>
      </c>
      <c r="BY93" s="3" t="n">
        <v>10</v>
      </c>
      <c r="BZ93" s="2" t="inlineStr">
        <is>
          <t>A.20分钟以内</t>
        </is>
      </c>
      <c r="CA93" s="7" t="n">
        <v>0.33</v>
      </c>
      <c r="CB93" s="7" t="n">
        <v>0.33</v>
      </c>
      <c r="CC93" s="7" t="n">
        <v>3.3</v>
      </c>
      <c r="CD93" s="7" t="n">
        <v>3.3</v>
      </c>
      <c r="CE93" s="2" t="inlineStr">
        <is>
          <t>专业技术类</t>
        </is>
      </c>
      <c r="CF93" s="2"/>
      <c r="CG93" s="2" t="inlineStr">
        <is>
          <t>专业问题协调</t>
        </is>
      </c>
      <c r="CH93" s="2" t="inlineStr">
        <is>
          <t>岗位职责</t>
        </is>
      </c>
      <c r="CI93" s="2" t="inlineStr">
        <is>
          <t>重要不紧急</t>
        </is>
      </c>
      <c r="CJ93" s="2" t="inlineStr">
        <is>
          <t>半标准化-有流程框架，需专业经验</t>
        </is>
      </c>
      <c r="CK93" s="2" t="inlineStr">
        <is>
          <t>低频（5%-10%）</t>
        </is>
      </c>
      <c r="CL93" s="2" t="inlineStr">
        <is>
          <t>脑力/复杂度负荷</t>
        </is>
      </c>
      <c r="CM93" s="2"/>
      <c r="CN93" s="2"/>
      <c r="CO93" s="2"/>
      <c r="CP93" s="2"/>
      <c r="CQ93" s="2"/>
      <c r="CR93" s="2"/>
      <c r="CS93" s="2"/>
      <c r="CT93" s="2"/>
      <c r="CU93" s="2"/>
      <c r="CV93" s="2"/>
      <c r="CW93" s="2"/>
      <c r="CX93" s="2"/>
      <c r="CY93" s="2"/>
      <c r="CZ93" s="2"/>
      <c r="DA93" s="2"/>
      <c r="DB93" s="2"/>
      <c r="DC93" s="2"/>
      <c r="DD93" s="2"/>
      <c r="DE93" s="2"/>
      <c r="DF93" s="2"/>
      <c r="DG93" s="2"/>
      <c r="DH93" s="2"/>
      <c r="DI93" s="2" t="inlineStr">
        <is>
          <t>777105e4-beda-42ab-afeb-067c00d86040</t>
        </is>
      </c>
      <c r="DJ93" s="3" t="n">
        <v>2</v>
      </c>
      <c r="DK93" s="2"/>
      <c r="DL93" s="2" t="inlineStr">
        <is>
          <t>税务数据处理</t>
        </is>
      </c>
      <c r="DM93" s="2" t="inlineStr">
        <is>
          <t>4-8次</t>
        </is>
      </c>
      <c r="DN93" s="3" t="n">
        <v>4</v>
      </c>
      <c r="DO93" s="3" t="n">
        <v>8</v>
      </c>
      <c r="DP93" s="2" t="inlineStr">
        <is>
          <t>B.2小时以内</t>
        </is>
      </c>
      <c r="DQ93" s="7" t="n">
        <v>2</v>
      </c>
      <c r="DR93" s="7" t="n">
        <v>2</v>
      </c>
      <c r="DS93" s="7" t="n">
        <v>8</v>
      </c>
      <c r="DT93" s="7" t="n">
        <v>16</v>
      </c>
      <c r="DU93" s="2" t="inlineStr">
        <is>
          <t>专业技术类</t>
        </is>
      </c>
      <c r="DV93" s="2"/>
      <c r="DW93" s="2" t="inlineStr">
        <is>
          <t>专业问题协调</t>
        </is>
      </c>
      <c r="DX93" s="2" t="inlineStr">
        <is>
          <t>岗位职责</t>
        </is>
      </c>
      <c r="DY93" s="2" t="inlineStr">
        <is>
          <t>重要且紧急</t>
        </is>
      </c>
      <c r="DZ93" s="2" t="inlineStr">
        <is>
          <t>半标准化-有流程框架，需专业经验</t>
        </is>
      </c>
      <c r="EA93" s="2" t="inlineStr">
        <is>
          <t>极少（&lt;5%）</t>
        </is>
      </c>
      <c r="EB93" s="2" t="inlineStr">
        <is>
          <t>时效/强度负荷</t>
        </is>
      </c>
      <c r="EC93" s="2"/>
      <c r="ED93" s="2"/>
      <c r="EE93" s="2"/>
      <c r="EF93" s="2"/>
      <c r="EG93" s="2"/>
      <c r="EH93" s="2"/>
      <c r="EI93" s="2"/>
      <c r="EJ93" s="2"/>
      <c r="EK93" s="2"/>
      <c r="EL93" s="2"/>
      <c r="EM93" s="2"/>
      <c r="EN93" s="2"/>
      <c r="EO93" s="2"/>
      <c r="EP93" s="2"/>
      <c r="EQ93" s="2"/>
      <c r="ER93" s="2"/>
      <c r="ES93" s="2"/>
      <c r="ET93" s="2"/>
      <c r="EU93" s="2"/>
      <c r="EV93" s="2"/>
      <c r="EW93" s="2"/>
      <c r="EX93" s="2" t="inlineStr">
        <is>
          <t>f3a76540-0835-4554-8bcc-31905aa536c6</t>
        </is>
      </c>
      <c r="EY93" s="3" t="n">
        <v>2</v>
      </c>
      <c r="EZ93" s="2"/>
      <c r="FA93" s="2" t="inlineStr">
        <is>
          <t>分析统计数据</t>
        </is>
      </c>
      <c r="FB93" s="2" t="inlineStr">
        <is>
          <t>每月3次以上</t>
        </is>
      </c>
      <c r="FC93" s="2" t="inlineStr">
        <is>
          <t>月</t>
        </is>
      </c>
      <c r="FD93" s="3" t="n">
        <v>3</v>
      </c>
      <c r="FE93" s="3" t="n">
        <v>3</v>
      </c>
      <c r="FF93" s="2" t="inlineStr">
        <is>
          <t>C.2-4小时</t>
        </is>
      </c>
      <c r="FG93" s="7" t="n">
        <v>2</v>
      </c>
      <c r="FH93" s="7" t="n">
        <v>4</v>
      </c>
      <c r="FI93" s="7" t="n">
        <v>6</v>
      </c>
      <c r="FJ93" s="7" t="n">
        <v>12</v>
      </c>
      <c r="FK93" s="7" t="n">
        <v>0</v>
      </c>
      <c r="FL93" s="7" t="n">
        <v>0</v>
      </c>
      <c r="FM93" s="7" t="n">
        <v>0</v>
      </c>
      <c r="FN93" s="7" t="n">
        <v>0</v>
      </c>
      <c r="FO93" s="2" t="inlineStr">
        <is>
          <t>数据报表类</t>
        </is>
      </c>
      <c r="FP93" s="2"/>
      <c r="FQ93" s="2" t="inlineStr">
        <is>
          <t>专项统计</t>
        </is>
      </c>
      <c r="FR93" s="2" t="inlineStr">
        <is>
          <t>跨部门协同</t>
        </is>
      </c>
      <c r="FS93" s="2" t="inlineStr">
        <is>
          <t>重要且紧急</t>
        </is>
      </c>
      <c r="FT93" s="2" t="inlineStr">
        <is>
          <t>非标准化-无先例参考，需创新协调</t>
        </is>
      </c>
      <c r="FU93" s="2" t="inlineStr">
        <is>
          <t>低频（5%-10%）</t>
        </is>
      </c>
      <c r="FV93" s="2" t="inlineStr">
        <is>
          <t>责任/风险负荷</t>
        </is>
      </c>
      <c r="FW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t="inlineStr">
        <is>
          <t>7d50b8d2-8470-412e-98f2-fb3e416e0a46</t>
        </is>
      </c>
      <c r="DJ94" s="3" t="n">
        <v>3</v>
      </c>
      <c r="DK94" s="2"/>
      <c r="DL94" s="2" t="inlineStr">
        <is>
          <t>预缴税款</t>
        </is>
      </c>
      <c r="DM94" s="2" t="inlineStr">
        <is>
          <t>4-8次</t>
        </is>
      </c>
      <c r="DN94" s="3" t="n">
        <v>4</v>
      </c>
      <c r="DO94" s="3" t="n">
        <v>8</v>
      </c>
      <c r="DP94" s="2" t="inlineStr">
        <is>
          <t>B.2小时以内</t>
        </is>
      </c>
      <c r="DQ94" s="7" t="n">
        <v>2</v>
      </c>
      <c r="DR94" s="7" t="n">
        <v>2</v>
      </c>
      <c r="DS94" s="7" t="n">
        <v>8</v>
      </c>
      <c r="DT94" s="7" t="n">
        <v>16</v>
      </c>
      <c r="DU94" s="2" t="inlineStr">
        <is>
          <t>专业技术类</t>
        </is>
      </c>
      <c r="DV94" s="2"/>
      <c r="DW94" s="2" t="inlineStr">
        <is>
          <t>专业问题协调</t>
        </is>
      </c>
      <c r="DX94" s="2" t="inlineStr">
        <is>
          <t>岗位职责</t>
        </is>
      </c>
      <c r="DY94" s="2" t="inlineStr">
        <is>
          <t>重要且紧急</t>
        </is>
      </c>
      <c r="DZ94" s="2" t="inlineStr">
        <is>
          <t>半标准化-有流程框架，需专业经验</t>
        </is>
      </c>
      <c r="EA94" s="2" t="inlineStr">
        <is>
          <t>极少（&lt;5%）</t>
        </is>
      </c>
      <c r="EB94" s="2" t="inlineStr">
        <is>
          <t>脑力/复杂度负荷</t>
        </is>
      </c>
      <c r="EC94" s="2"/>
      <c r="ED94" s="2"/>
      <c r="EE94" s="2"/>
      <c r="EF94" s="2"/>
      <c r="EG94" s="2"/>
      <c r="EH94" s="2"/>
      <c r="EI94" s="2"/>
      <c r="EJ94" s="2"/>
      <c r="EK94" s="2"/>
      <c r="EL94" s="2"/>
      <c r="EM94" s="2"/>
      <c r="EN94" s="2"/>
      <c r="EO94" s="2"/>
      <c r="EP94" s="2"/>
      <c r="EQ94" s="2"/>
      <c r="ER94" s="2"/>
      <c r="ES94" s="2"/>
      <c r="ET94" s="2"/>
      <c r="EU94" s="2"/>
      <c r="EV94" s="2"/>
      <c r="EW94" s="2"/>
      <c r="EX94" s="2" t="inlineStr">
        <is>
          <t>ce06b462-c3ac-45a6-b5d8-79b27b5d75ca</t>
        </is>
      </c>
      <c r="EY94" s="3" t="n">
        <v>3</v>
      </c>
      <c r="EZ94" s="2"/>
      <c r="FA94" s="2" t="inlineStr">
        <is>
          <t>保险保函</t>
        </is>
      </c>
      <c r="FB94" s="2" t="inlineStr">
        <is>
          <t>每季1-2次</t>
        </is>
      </c>
      <c r="FC94" s="2" t="inlineStr">
        <is>
          <t>季</t>
        </is>
      </c>
      <c r="FD94" s="3" t="n">
        <v>1</v>
      </c>
      <c r="FE94" s="3" t="n">
        <v>2</v>
      </c>
      <c r="FF94" s="2" t="inlineStr">
        <is>
          <t>E.8小时以上</t>
        </is>
      </c>
      <c r="FG94" s="7" t="n">
        <v>8</v>
      </c>
      <c r="FH94" s="7" t="n">
        <v>8</v>
      </c>
      <c r="FI94" s="7" t="n">
        <v>0</v>
      </c>
      <c r="FJ94" s="7" t="n">
        <v>0</v>
      </c>
      <c r="FK94" s="7" t="n">
        <v>8</v>
      </c>
      <c r="FL94" s="7" t="n">
        <v>16</v>
      </c>
      <c r="FM94" s="7" t="n">
        <v>0</v>
      </c>
      <c r="FN94" s="7" t="n">
        <v>0</v>
      </c>
      <c r="FO94" s="2" t="inlineStr">
        <is>
          <t>专业技术类</t>
        </is>
      </c>
      <c r="FP94" s="2"/>
      <c r="FQ94" s="2" t="inlineStr">
        <is>
          <t>专业问题协调</t>
        </is>
      </c>
      <c r="FR94" s="2" t="inlineStr">
        <is>
          <t>跨部门协同</t>
        </is>
      </c>
      <c r="FS94" s="2" t="inlineStr">
        <is>
          <t>重要且紧急</t>
        </is>
      </c>
      <c r="FT94" s="2" t="inlineStr">
        <is>
          <t>非标准化-无先例参考，需创新协调</t>
        </is>
      </c>
      <c r="FU94" s="2" t="inlineStr">
        <is>
          <t>极少（&lt;5%）</t>
        </is>
      </c>
      <c r="FV94" s="2" t="inlineStr">
        <is>
          <t>沟通/协调负荷</t>
        </is>
      </c>
      <c r="FW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t="inlineStr">
        <is>
          <t>c44c3753-d3bf-4570-81ab-9c88b829f4f5</t>
        </is>
      </c>
      <c r="DJ95" s="3" t="n">
        <v>4</v>
      </c>
      <c r="DK95" s="2"/>
      <c r="DL95" s="2" t="inlineStr">
        <is>
          <t>erp项目资金流</t>
        </is>
      </c>
      <c r="DM95" s="2" t="inlineStr">
        <is>
          <t>1次</t>
        </is>
      </c>
      <c r="DN95" s="3" t="n">
        <v>1</v>
      </c>
      <c r="DO95" s="3" t="n">
        <v>1</v>
      </c>
      <c r="DP95" s="2" t="inlineStr">
        <is>
          <t>D.4-8小时</t>
        </is>
      </c>
      <c r="DQ95" s="7" t="n">
        <v>4</v>
      </c>
      <c r="DR95" s="7" t="n">
        <v>8</v>
      </c>
      <c r="DS95" s="7" t="n">
        <v>4</v>
      </c>
      <c r="DT95" s="7" t="n">
        <v>8</v>
      </c>
      <c r="DU95" s="2" t="inlineStr">
        <is>
          <t>专业技术类</t>
        </is>
      </c>
      <c r="DV95" s="2"/>
      <c r="DW95" s="2" t="inlineStr">
        <is>
          <t>专业问题协调</t>
        </is>
      </c>
      <c r="DX95" s="2" t="inlineStr">
        <is>
          <t>岗位职责</t>
        </is>
      </c>
      <c r="DY95" s="2" t="inlineStr">
        <is>
          <t>重要且紧急</t>
        </is>
      </c>
      <c r="DZ95" s="2" t="inlineStr">
        <is>
          <t>半标准化-有流程框架，需专业经验</t>
        </is>
      </c>
      <c r="EA95" s="2" t="inlineStr">
        <is>
          <t>极少（&lt;5%）</t>
        </is>
      </c>
      <c r="EB95" s="2" t="inlineStr">
        <is>
          <t>脑力/复杂度负荷</t>
        </is>
      </c>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t="inlineStr">
        <is>
          <t>1d3b5a1d-1b27-4dfa-8127-512f8bf84c81</t>
        </is>
      </c>
      <c r="DJ96" s="3" t="n">
        <v>5</v>
      </c>
      <c r="DK96" s="2"/>
      <c r="DL96" s="2" t="inlineStr">
        <is>
          <t>整理凭证</t>
        </is>
      </c>
      <c r="DM96" s="2" t="inlineStr">
        <is>
          <t>4-8次</t>
        </is>
      </c>
      <c r="DN96" s="3" t="n">
        <v>4</v>
      </c>
      <c r="DO96" s="3" t="n">
        <v>8</v>
      </c>
      <c r="DP96" s="2" t="inlineStr">
        <is>
          <t>D.4-8小时</t>
        </is>
      </c>
      <c r="DQ96" s="7" t="n">
        <v>4</v>
      </c>
      <c r="DR96" s="7" t="n">
        <v>8</v>
      </c>
      <c r="DS96" s="7" t="n">
        <v>16</v>
      </c>
      <c r="DT96" s="7" t="n">
        <v>64</v>
      </c>
      <c r="DU96" s="2" t="inlineStr">
        <is>
          <t>专业技术类</t>
        </is>
      </c>
      <c r="DV96" s="2"/>
      <c r="DW96" s="2" t="inlineStr">
        <is>
          <t>专业问题协调</t>
        </is>
      </c>
      <c r="DX96" s="2" t="inlineStr">
        <is>
          <t>岗位职责</t>
        </is>
      </c>
      <c r="DY96" s="2" t="inlineStr">
        <is>
          <t>重要不紧急</t>
        </is>
      </c>
      <c r="DZ96" s="2" t="inlineStr">
        <is>
          <t>半标准化-有流程框架，需专业经验</t>
        </is>
      </c>
      <c r="EA96" s="2" t="inlineStr">
        <is>
          <t>低频（5%-10%）</t>
        </is>
      </c>
      <c r="EB96" s="2" t="inlineStr">
        <is>
          <t>责任/风险负荷</t>
        </is>
      </c>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row>
    <row r="97">
      <c r="A97" s="2" t="inlineStr">
        <is>
          <t>2026-05-22 17:05:44</t>
        </is>
      </c>
      <c r="B97" s="2" t="inlineStr">
        <is>
          <t>吴有鹏</t>
        </is>
      </c>
      <c r="C97" s="2" t="inlineStr">
        <is>
          <t>山东分公司</t>
        </is>
      </c>
      <c r="D97" s="2" t="inlineStr">
        <is>
          <t>男</t>
        </is>
      </c>
      <c r="E97" s="2" t="inlineStr">
        <is>
          <t>320125199410101014</t>
        </is>
      </c>
      <c r="F97" s="2" t="inlineStr">
        <is>
          <t>专业工程师</t>
        </is>
      </c>
      <c r="G97" s="2" t="inlineStr">
        <is>
          <t>2017-08</t>
        </is>
      </c>
      <c r="H97" s="2" t="inlineStr">
        <is>
          <t>淮海工学院</t>
        </is>
      </c>
      <c r="I97" s="2" t="inlineStr">
        <is>
          <t>电气</t>
        </is>
      </c>
      <c r="J97" s="2" t="inlineStr">
        <is>
          <t>本科</t>
        </is>
      </c>
      <c r="K97" s="2"/>
      <c r="L97" s="6">
        <f>HYPERLINK("https://www.h3yun.com/Form/Attachments/?schemacode=D1483577de63ede327d4760b10664bd57671d7e&amp;bizObjectId=3f149d83-4380-4633-91a0-cea62265ce8a&amp;name=F0000046","点击查看")</f>
        <v>0</v>
      </c>
      <c r="M97" s="2" t="inlineStr">
        <is>
          <t>材料代码管理工作应该贯彻专人专管，这样才会条理清晰目标明确（可安排辅助人员完成辅助类工作）。</t>
        </is>
      </c>
      <c r="N97" s="2" t="inlineStr">
        <is>
          <t>每日工作</t>
        </is>
      </c>
      <c r="O97" s="2" t="inlineStr">
        <is>
          <t>31-35岁</t>
        </is>
      </c>
      <c r="P97" s="2" t="inlineStr">
        <is>
          <t>A.未婚</t>
        </is>
      </c>
      <c r="Q97" s="2" t="inlineStr">
        <is>
          <t>A.否</t>
        </is>
      </c>
      <c r="R97" s="2" t="inlineStr">
        <is>
          <t>A.否</t>
        </is>
      </c>
      <c r="S97" s="2" t="inlineStr">
        <is>
          <t>D.希望承担更有挑战性的工作，并争取更大发展空间</t>
        </is>
      </c>
      <c r="T97" s="2" t="inlineStr">
        <is>
          <t>C.工作较稳定，但发展空间不足</t>
        </is>
      </c>
      <c r="U97" s="2" t="inlineStr">
        <is>
          <t>F.提高支持资源或人员配置</t>
        </is>
      </c>
      <c r="V97" s="2" t="inlineStr">
        <is>
          <t>A.没有</t>
        </is>
      </c>
      <c r="W97" s="2"/>
      <c r="X97" s="2" t="inlineStr">
        <is>
          <t>B.满负荷 (100%-120%)</t>
        </is>
      </c>
      <c r="Y97" s="2" t="inlineStr">
        <is>
          <t>A.岗位工作量饱和，已达人效上限;E.临时差旅、突发事件、会议加班;G.接收到任务分配单完成周期内要求的加班</t>
        </is>
      </c>
      <c r="Z97" s="2" t="inlineStr">
        <is>
          <t>专项统计</t>
        </is>
      </c>
      <c r="AA97" s="2" t="inlineStr">
        <is>
          <t>专项统计</t>
        </is>
      </c>
      <c r="AB97" s="2" t="inlineStr">
        <is>
          <t>专项统计</t>
        </is>
      </c>
      <c r="AC97" s="2" t="inlineStr">
        <is>
          <t>B.基本匹配（正常履行）</t>
        </is>
      </c>
      <c r="AD97" s="2" t="inlineStr">
        <is>
          <t>无</t>
        </is>
      </c>
      <c r="AE97" s="2"/>
      <c r="AF97" s="2"/>
      <c r="AG97" s="2"/>
      <c r="AH97" s="2"/>
      <c r="AI97" s="7" t="n">
        <v>14</v>
      </c>
      <c r="AJ97" s="7" t="n">
        <v>50</v>
      </c>
      <c r="AK97" s="7" t="n">
        <v>0</v>
      </c>
      <c r="AL97" s="7" t="n">
        <v>0</v>
      </c>
      <c r="AM97" s="7" t="n">
        <v>0</v>
      </c>
      <c r="AN97" s="7" t="n">
        <v>0</v>
      </c>
      <c r="AO97" s="7" t="n">
        <v>0</v>
      </c>
      <c r="AP97" s="7" t="n">
        <v>0</v>
      </c>
      <c r="AQ97" s="7" t="n">
        <v>0</v>
      </c>
      <c r="AR97" s="7" t="n">
        <v>0</v>
      </c>
      <c r="AS97" s="7" t="n">
        <v>14</v>
      </c>
      <c r="AT97" s="7" t="n">
        <v>50</v>
      </c>
      <c r="AU97" s="7" t="n">
        <v>32</v>
      </c>
      <c r="AV97" s="2" t="inlineStr">
        <is>
          <t>超负荷</t>
        </is>
      </c>
      <c r="AW97" s="2" t="inlineStr">
        <is>
          <t>不一致</t>
        </is>
      </c>
      <c r="AX97" s="2" t="inlineStr">
        <is>
          <t>3f149d83-4380-4633-91a0-cea62265ce8a</t>
        </is>
      </c>
      <c r="AY97" s="2" t="inlineStr">
        <is>
          <t>山东分公司    吴有鹏</t>
        </is>
      </c>
      <c r="AZ97" s="2" t="inlineStr">
        <is>
          <t>Anonymous</t>
        </is>
      </c>
      <c r="BA97" s="2" t="inlineStr">
        <is>
          <t>Anonymous</t>
        </is>
      </c>
      <c r="BB97" s="2"/>
      <c r="BC97" s="2" t="inlineStr">
        <is>
          <t>2026-05-22 17:05:44</t>
        </is>
      </c>
      <c r="BD97" s="3" t="n">
        <v>1994</v>
      </c>
      <c r="BE97" s="3" t="n">
        <v>32</v>
      </c>
      <c r="BF97" s="2" t="inlineStr">
        <is>
          <t>A.无此需求</t>
        </is>
      </c>
      <c r="BG97" s="2" t="inlineStr">
        <is>
          <t>已生效</t>
        </is>
      </c>
      <c r="BH97" s="2" t="inlineStr">
        <is>
          <t>e838930f-0825-444c-9fc7-03441a82fbb4</t>
        </is>
      </c>
      <c r="BI97" s="3" t="n">
        <v>1</v>
      </c>
      <c r="BJ97" s="2"/>
      <c r="BK97" s="2"/>
      <c r="BL97" s="2"/>
      <c r="BM97" s="2"/>
      <c r="BN97" s="2"/>
      <c r="BO97" s="2"/>
      <c r="BP97" s="2"/>
      <c r="BQ97" s="2"/>
      <c r="BR97" s="2"/>
      <c r="BS97" s="2" t="inlineStr">
        <is>
          <t>339503e1-2b86-4fd3-9f86-ccfb6f530ec4</t>
        </is>
      </c>
      <c r="BT97" s="3" t="n">
        <v>1</v>
      </c>
      <c r="BU97" s="2" t="inlineStr">
        <is>
          <t>数据报表类</t>
        </is>
      </c>
      <c r="BV97" s="2" t="inlineStr">
        <is>
          <t>材料代码事宜</t>
        </is>
      </c>
      <c r="BW97" s="2" t="inlineStr">
        <is>
          <t>2-5次</t>
        </is>
      </c>
      <c r="BX97" s="3" t="n">
        <v>2</v>
      </c>
      <c r="BY97" s="3" t="n">
        <v>5</v>
      </c>
      <c r="BZ97" s="2" t="inlineStr">
        <is>
          <t>D.4-8小时</t>
        </is>
      </c>
      <c r="CA97" s="7" t="n">
        <v>4</v>
      </c>
      <c r="CB97" s="7" t="n">
        <v>8</v>
      </c>
      <c r="CC97" s="7" t="n">
        <v>8</v>
      </c>
      <c r="CD97" s="7" t="n">
        <v>40</v>
      </c>
      <c r="CE97" s="2" t="inlineStr">
        <is>
          <t>数据报表类</t>
        </is>
      </c>
      <c r="CF97" s="2"/>
      <c r="CG97" s="2" t="inlineStr">
        <is>
          <t>专项统计</t>
        </is>
      </c>
      <c r="CH97" s="2" t="inlineStr">
        <is>
          <t>上级指令</t>
        </is>
      </c>
      <c r="CI97" s="2" t="inlineStr">
        <is>
          <t>重要且紧急</t>
        </is>
      </c>
      <c r="CJ97" s="2" t="inlineStr">
        <is>
          <t>非标准化-无先例参考，需创新协调</t>
        </is>
      </c>
      <c r="CK97" s="2" t="inlineStr">
        <is>
          <t>极少（&lt;5%）</t>
        </is>
      </c>
      <c r="CL97" s="2" t="inlineStr">
        <is>
          <t>时效/强度负荷</t>
        </is>
      </c>
      <c r="CM97" s="2"/>
      <c r="CN97" s="2" t="inlineStr">
        <is>
          <t>3635231d-e12b-4055-bcde-249b43827d86</t>
        </is>
      </c>
      <c r="CO97" s="3" t="n">
        <v>1</v>
      </c>
      <c r="CP97" s="2"/>
      <c r="CQ97" s="2"/>
      <c r="CR97" s="2"/>
      <c r="CS97" s="3"/>
      <c r="CT97" s="3"/>
      <c r="CU97" s="2"/>
      <c r="CV97" s="3"/>
      <c r="CW97" s="3"/>
      <c r="CX97" s="7" t="n">
        <v>0</v>
      </c>
      <c r="CY97" s="7" t="n">
        <v>0</v>
      </c>
      <c r="CZ97" s="2"/>
      <c r="DA97" s="2"/>
      <c r="DB97" s="2"/>
      <c r="DC97" s="2"/>
      <c r="DD97" s="2"/>
      <c r="DE97" s="2"/>
      <c r="DF97" s="2"/>
      <c r="DG97" s="2"/>
      <c r="DH97" s="2"/>
      <c r="DI97" s="2" t="inlineStr">
        <is>
          <t>06b8e430-bf2e-4666-93ff-a8df69592c4e</t>
        </is>
      </c>
      <c r="DJ97" s="3" t="n">
        <v>1</v>
      </c>
      <c r="DK97" s="2"/>
      <c r="DL97" s="2"/>
      <c r="DM97" s="2"/>
      <c r="DN97" s="3"/>
      <c r="DO97" s="3"/>
      <c r="DP97" s="2"/>
      <c r="DQ97" s="3"/>
      <c r="DR97" s="3"/>
      <c r="DS97" s="7" t="n">
        <v>0</v>
      </c>
      <c r="DT97" s="7" t="n">
        <v>0</v>
      </c>
      <c r="DU97" s="2"/>
      <c r="DV97" s="2"/>
      <c r="DW97" s="2"/>
      <c r="DX97" s="2"/>
      <c r="DY97" s="2"/>
      <c r="DZ97" s="2"/>
      <c r="EA97" s="2"/>
      <c r="EB97" s="2"/>
      <c r="EC97" s="2"/>
      <c r="ED97" s="2" t="inlineStr">
        <is>
          <t>35827f59-97b4-44c2-b040-3b4d06996101</t>
        </is>
      </c>
      <c r="EE97" s="3" t="n">
        <v>1</v>
      </c>
      <c r="EF97" s="2"/>
      <c r="EG97" s="2"/>
      <c r="EH97" s="2"/>
      <c r="EI97" s="3"/>
      <c r="EJ97" s="2"/>
      <c r="EK97" s="3"/>
      <c r="EL97" s="3"/>
      <c r="EM97" s="7" t="n">
        <v>0</v>
      </c>
      <c r="EN97" s="7" t="n">
        <v>0</v>
      </c>
      <c r="EO97" s="2"/>
      <c r="EP97" s="2"/>
      <c r="EQ97" s="2"/>
      <c r="ER97" s="2"/>
      <c r="ES97" s="2"/>
      <c r="ET97" s="2"/>
      <c r="EU97" s="2"/>
      <c r="EV97" s="2"/>
      <c r="EW97" s="2"/>
      <c r="EX97" s="2" t="inlineStr">
        <is>
          <t>5f303de1-1081-4e2d-a3f5-9e192974fe3d</t>
        </is>
      </c>
      <c r="EY97" s="3" t="n">
        <v>1</v>
      </c>
      <c r="EZ97" s="2"/>
      <c r="FA97" s="2"/>
      <c r="FB97" s="2"/>
      <c r="FC97" s="2"/>
      <c r="FD97" s="3"/>
      <c r="FE97" s="3"/>
      <c r="FF97" s="2"/>
      <c r="FG97" s="3"/>
      <c r="FH97" s="3"/>
      <c r="FI97" s="7" t="n">
        <v>0</v>
      </c>
      <c r="FJ97" s="7" t="n">
        <v>0</v>
      </c>
      <c r="FK97" s="7" t="n">
        <v>0</v>
      </c>
      <c r="FL97" s="7" t="n">
        <v>0</v>
      </c>
      <c r="FM97" s="7" t="n">
        <v>0</v>
      </c>
      <c r="FN97" s="7" t="n">
        <v>0</v>
      </c>
      <c r="FO97" s="2"/>
      <c r="FP97" s="2"/>
      <c r="FQ97" s="2"/>
      <c r="FR97" s="2"/>
      <c r="FS97" s="2"/>
      <c r="FT97" s="2"/>
      <c r="FU97" s="2"/>
      <c r="FV97" s="2"/>
      <c r="FW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t="inlineStr">
        <is>
          <t>25d26c8d-b2a9-4e95-a0cf-922aee5619ac</t>
        </is>
      </c>
      <c r="BT98" s="3" t="n">
        <v>2</v>
      </c>
      <c r="BU98" s="2" t="inlineStr">
        <is>
          <t>数据报表类</t>
        </is>
      </c>
      <c r="BV98" s="2" t="inlineStr">
        <is>
          <t>IDF/PCF材料表数据整理</t>
        </is>
      </c>
      <c r="BW98" s="2" t="inlineStr">
        <is>
          <t>1次</t>
        </is>
      </c>
      <c r="BX98" s="3" t="n">
        <v>1</v>
      </c>
      <c r="BY98" s="3" t="n">
        <v>1</v>
      </c>
      <c r="BZ98" s="2" t="inlineStr">
        <is>
          <t>C.2-4小时</t>
        </is>
      </c>
      <c r="CA98" s="7" t="n">
        <v>2</v>
      </c>
      <c r="CB98" s="7" t="n">
        <v>4</v>
      </c>
      <c r="CC98" s="7" t="n">
        <v>2</v>
      </c>
      <c r="CD98" s="7" t="n">
        <v>4</v>
      </c>
      <c r="CE98" s="2" t="inlineStr">
        <is>
          <t>数据报表类</t>
        </is>
      </c>
      <c r="CF98" s="2"/>
      <c r="CG98" s="2" t="inlineStr">
        <is>
          <t>专项统计</t>
        </is>
      </c>
      <c r="CH98" s="2" t="inlineStr">
        <is>
          <t>上级指令</t>
        </is>
      </c>
      <c r="CI98" s="2" t="inlineStr">
        <is>
          <t>重要且紧急</t>
        </is>
      </c>
      <c r="CJ98" s="2" t="inlineStr">
        <is>
          <t>非标准化-无先例参考，需创新协调</t>
        </is>
      </c>
      <c r="CK98" s="2" t="inlineStr">
        <is>
          <t>极少（&lt;5%）</t>
        </is>
      </c>
      <c r="CL98" s="2" t="inlineStr">
        <is>
          <t>时效/强度负荷</t>
        </is>
      </c>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t="inlineStr">
        <is>
          <t>975473d8-5dcc-463f-88a5-7655641fb09f</t>
        </is>
      </c>
      <c r="BT99" s="3" t="n">
        <v>3</v>
      </c>
      <c r="BU99" s="2" t="inlineStr">
        <is>
          <t>数据报表类</t>
        </is>
      </c>
      <c r="BV99" s="2" t="inlineStr">
        <is>
          <t>IDF/PCF材料表与合同清单价格比对</t>
        </is>
      </c>
      <c r="BW99" s="2" t="inlineStr">
        <is>
          <t>1次</t>
        </is>
      </c>
      <c r="BX99" s="3" t="n">
        <v>1</v>
      </c>
      <c r="BY99" s="3" t="n">
        <v>1</v>
      </c>
      <c r="BZ99" s="2" t="inlineStr">
        <is>
          <t>C.2-4小时</t>
        </is>
      </c>
      <c r="CA99" s="7" t="n">
        <v>2</v>
      </c>
      <c r="CB99" s="7" t="n">
        <v>4</v>
      </c>
      <c r="CC99" s="7" t="n">
        <v>2</v>
      </c>
      <c r="CD99" s="7" t="n">
        <v>4</v>
      </c>
      <c r="CE99" s="2" t="inlineStr">
        <is>
          <t>数据报表类</t>
        </is>
      </c>
      <c r="CF99" s="2"/>
      <c r="CG99" s="2" t="inlineStr">
        <is>
          <t>专项统计</t>
        </is>
      </c>
      <c r="CH99" s="2" t="inlineStr">
        <is>
          <t>上级指令</t>
        </is>
      </c>
      <c r="CI99" s="2" t="inlineStr">
        <is>
          <t>重要且紧急</t>
        </is>
      </c>
      <c r="CJ99" s="2" t="inlineStr">
        <is>
          <t>非标准化-无先例参考，需创新协调</t>
        </is>
      </c>
      <c r="CK99" s="2" t="inlineStr">
        <is>
          <t>极少（&lt;5%）</t>
        </is>
      </c>
      <c r="CL99" s="2" t="inlineStr">
        <is>
          <t>时效/强度负荷</t>
        </is>
      </c>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t="inlineStr">
        <is>
          <t>a5e454a9-929c-4378-a494-29b5bdc500a6</t>
        </is>
      </c>
      <c r="BT100" s="3" t="n">
        <v>4</v>
      </c>
      <c r="BU100" s="2" t="inlineStr">
        <is>
          <t>专业技术类</t>
        </is>
      </c>
      <c r="BV100" s="2" t="inlineStr">
        <is>
          <t>分包结算</t>
        </is>
      </c>
      <c r="BW100" s="2" t="inlineStr">
        <is>
          <t>1次</t>
        </is>
      </c>
      <c r="BX100" s="3" t="n">
        <v>1</v>
      </c>
      <c r="BY100" s="3" t="n">
        <v>1</v>
      </c>
      <c r="BZ100" s="2" t="inlineStr">
        <is>
          <t>B.2小时以内</t>
        </is>
      </c>
      <c r="CA100" s="7" t="n">
        <v>2</v>
      </c>
      <c r="CB100" s="7" t="n">
        <v>2</v>
      </c>
      <c r="CC100" s="7" t="n">
        <v>2</v>
      </c>
      <c r="CD100" s="7" t="n">
        <v>2</v>
      </c>
      <c r="CE100" s="2" t="inlineStr">
        <is>
          <t>专业技术类</t>
        </is>
      </c>
      <c r="CF100" s="2"/>
      <c r="CG100" s="2" t="inlineStr">
        <is>
          <t>专业问题协调</t>
        </is>
      </c>
      <c r="CH100" s="2" t="inlineStr">
        <is>
          <t>上级指令</t>
        </is>
      </c>
      <c r="CI100" s="2" t="inlineStr">
        <is>
          <t>重要且紧急</t>
        </is>
      </c>
      <c r="CJ100" s="2" t="inlineStr">
        <is>
          <t>半标准化-有流程框架，需专业经验</t>
        </is>
      </c>
      <c r="CK100" s="2" t="inlineStr">
        <is>
          <t>极少（&lt;5%）</t>
        </is>
      </c>
      <c r="CL100" s="2" t="inlineStr">
        <is>
          <t>沟通/协调负荷</t>
        </is>
      </c>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row>
    <row r="101">
      <c r="A101" s="2" t="inlineStr">
        <is>
          <t>2026-05-22 16:30:56</t>
        </is>
      </c>
      <c r="B101" s="2" t="inlineStr">
        <is>
          <t>周冲</t>
        </is>
      </c>
      <c r="C101" s="2" t="inlineStr">
        <is>
          <t>资产财务部</t>
        </is>
      </c>
      <c r="D101" s="2" t="inlineStr">
        <is>
          <t>男</t>
        </is>
      </c>
      <c r="E101" s="2" t="inlineStr">
        <is>
          <t>320621199212226336</t>
        </is>
      </c>
      <c r="F101" s="2" t="inlineStr">
        <is>
          <t>业务主办A</t>
        </is>
      </c>
      <c r="G101" s="2" t="inlineStr">
        <is>
          <t>2014-08</t>
        </is>
      </c>
      <c r="H101" s="2" t="inlineStr">
        <is>
          <t>淮阴工学院</t>
        </is>
      </c>
      <c r="I101" s="2"/>
      <c r="J101" s="2" t="inlineStr">
        <is>
          <t>本科</t>
        </is>
      </c>
      <c r="K101" s="2"/>
      <c r="L101" s="6">
        <f>HYPERLINK("https://www.h3yun.com/Form/Attachments/?schemacode=D1483577de63ede327d4760b10664bd57671d7e&amp;bizObjectId=3faedc2e-bcb3-40cc-a66e-eb29e6df8b26&amp;name=F0000046","点击查看")</f>
        <v>0</v>
      </c>
      <c r="M101" s="2" t="inlineStr">
        <is>
          <t>简化ERP流程，发起流程接口太多了，能不能都合并到通用报销里。</t>
        </is>
      </c>
      <c r="N101" s="2" t="inlineStr">
        <is>
          <t>每日工作</t>
        </is>
      </c>
      <c r="O101" s="2" t="inlineStr">
        <is>
          <t>31-35岁</t>
        </is>
      </c>
      <c r="P101" s="2" t="inlineStr">
        <is>
          <t>A.未婚</t>
        </is>
      </c>
      <c r="Q101" s="2" t="inlineStr">
        <is>
          <t>A.否</t>
        </is>
      </c>
      <c r="R101" s="2" t="inlineStr">
        <is>
          <t>A.否</t>
        </is>
      </c>
      <c r="S101" s="2" t="inlineStr">
        <is>
          <t>A.保持当前工作内容和节奏，收入相对稳定即可</t>
        </is>
      </c>
      <c r="T101" s="2" t="inlineStr">
        <is>
          <t>B.工作内容可接受，但负荷偏重</t>
        </is>
      </c>
      <c r="U101" s="2" t="inlineStr">
        <is>
          <t>A.减少重复性事务</t>
        </is>
      </c>
      <c r="V101" s="2" t="inlineStr">
        <is>
          <t>A.没有</t>
        </is>
      </c>
      <c r="W101" s="2"/>
      <c r="X101" s="2" t="inlineStr">
        <is>
          <t>C.均衡 (80%-100%)</t>
        </is>
      </c>
      <c r="Y101" s="2" t="inlineStr">
        <is>
          <t>I.因正常工作任务截止日遇上节假日所需加班</t>
        </is>
      </c>
      <c r="Z101" s="2" t="inlineStr">
        <is>
          <t>日常台账</t>
        </is>
      </c>
      <c r="AA101" s="2" t="inlineStr">
        <is>
          <t>专项统计</t>
        </is>
      </c>
      <c r="AB101" s="2" t="inlineStr">
        <is>
          <t>无</t>
        </is>
      </c>
      <c r="AC101" s="2" t="inlineStr">
        <is>
          <t>B.基本匹配（正常履行）</t>
        </is>
      </c>
      <c r="AD101" s="2" t="inlineStr">
        <is>
          <t>各司其职，减少兼任多种工作内容。</t>
        </is>
      </c>
      <c r="AE101" s="2" t="inlineStr">
        <is>
          <t>无</t>
        </is>
      </c>
      <c r="AF101" s="2" t="inlineStr">
        <is>
          <t>无</t>
        </is>
      </c>
      <c r="AG101" s="2"/>
      <c r="AH101" s="2"/>
      <c r="AI101" s="7" t="n">
        <v>13.2</v>
      </c>
      <c r="AJ101" s="7" t="n">
        <v>13.2</v>
      </c>
      <c r="AK101" s="7" t="n">
        <v>0</v>
      </c>
      <c r="AL101" s="7" t="n">
        <v>0</v>
      </c>
      <c r="AM101" s="7" t="n">
        <v>0</v>
      </c>
      <c r="AN101" s="7" t="n">
        <v>0</v>
      </c>
      <c r="AO101" s="7" t="n">
        <v>0</v>
      </c>
      <c r="AP101" s="7" t="n">
        <v>0</v>
      </c>
      <c r="AQ101" s="7" t="n">
        <v>0</v>
      </c>
      <c r="AR101" s="7" t="n">
        <v>0</v>
      </c>
      <c r="AS101" s="7" t="n">
        <v>13.2</v>
      </c>
      <c r="AT101" s="7" t="n">
        <v>13.2</v>
      </c>
      <c r="AU101" s="7" t="n">
        <v>13.2</v>
      </c>
      <c r="AV101" s="2" t="inlineStr">
        <is>
          <t>超负荷</t>
        </is>
      </c>
      <c r="AW101" s="2" t="inlineStr">
        <is>
          <t>不一致</t>
        </is>
      </c>
      <c r="AX101" s="2" t="inlineStr">
        <is>
          <t>3faedc2e-bcb3-40cc-a66e-eb29e6df8b26</t>
        </is>
      </c>
      <c r="AY101" s="2" t="inlineStr">
        <is>
          <t>资产财务部    周冲</t>
        </is>
      </c>
      <c r="AZ101" s="2" t="inlineStr">
        <is>
          <t>Anonymous</t>
        </is>
      </c>
      <c r="BA101" s="2" t="inlineStr">
        <is>
          <t>Anonymous</t>
        </is>
      </c>
      <c r="BB101" s="2"/>
      <c r="BC101" s="2" t="inlineStr">
        <is>
          <t>2026-05-22 16:30:56</t>
        </is>
      </c>
      <c r="BD101" s="3" t="n">
        <v>1992</v>
      </c>
      <c r="BE101" s="3" t="n">
        <v>34</v>
      </c>
      <c r="BF101" s="2" t="inlineStr">
        <is>
          <t>A.无此需求</t>
        </is>
      </c>
      <c r="BG101" s="2" t="inlineStr">
        <is>
          <t>已生效</t>
        </is>
      </c>
      <c r="BH101" s="2" t="inlineStr">
        <is>
          <t>468846c6-e0b9-4336-90cd-abd86f95a86f</t>
        </is>
      </c>
      <c r="BI101" s="3" t="n">
        <v>1</v>
      </c>
      <c r="BJ101" s="2"/>
      <c r="BK101" s="2"/>
      <c r="BL101" s="2"/>
      <c r="BM101" s="2"/>
      <c r="BN101" s="2"/>
      <c r="BO101" s="2"/>
      <c r="BP101" s="2"/>
      <c r="BQ101" s="2"/>
      <c r="BR101" s="2"/>
      <c r="BS101" s="2" t="inlineStr">
        <is>
          <t>d11dd6b9-7478-4f4b-98a1-1c25dafa85a1</t>
        </is>
      </c>
      <c r="BT101" s="3" t="n">
        <v>1</v>
      </c>
      <c r="BU101" s="2" t="inlineStr">
        <is>
          <t>流程审批类</t>
        </is>
      </c>
      <c r="BV101" s="2" t="inlineStr">
        <is>
          <t>流程审核通过</t>
        </is>
      </c>
      <c r="BW101" s="2" t="inlineStr">
        <is>
          <t>10次以上</t>
        </is>
      </c>
      <c r="BX101" s="3" t="n">
        <v>10</v>
      </c>
      <c r="BY101" s="3" t="n">
        <v>10</v>
      </c>
      <c r="BZ101" s="2" t="inlineStr">
        <is>
          <t>A.20分钟以内</t>
        </is>
      </c>
      <c r="CA101" s="7" t="n">
        <v>0.33</v>
      </c>
      <c r="CB101" s="7" t="n">
        <v>0.33</v>
      </c>
      <c r="CC101" s="7" t="n">
        <v>3.3</v>
      </c>
      <c r="CD101" s="7" t="n">
        <v>3.3</v>
      </c>
      <c r="CE101" s="2" t="inlineStr">
        <is>
          <t>流程审批类</t>
        </is>
      </c>
      <c r="CF101" s="2"/>
      <c r="CG101" s="2" t="inlineStr">
        <is>
          <t>费用报销流程</t>
        </is>
      </c>
      <c r="CH101" s="2" t="inlineStr">
        <is>
          <t>岗位职责</t>
        </is>
      </c>
      <c r="CI101" s="2" t="inlineStr">
        <is>
          <t>重要且紧急</t>
        </is>
      </c>
      <c r="CJ101" s="2" t="inlineStr">
        <is>
          <t>半标准化-有流程框架，需专业经验</t>
        </is>
      </c>
      <c r="CK101" s="2" t="inlineStr">
        <is>
          <t>极少（&lt;5%）</t>
        </is>
      </c>
      <c r="CL101" s="2" t="inlineStr">
        <is>
          <t>时效/强度负荷</t>
        </is>
      </c>
      <c r="CM101" s="2"/>
      <c r="CN101" s="2" t="inlineStr">
        <is>
          <t>f01ed169-96ea-40ed-8986-14f458d62582</t>
        </is>
      </c>
      <c r="CO101" s="3" t="n">
        <v>1</v>
      </c>
      <c r="CP101" s="2"/>
      <c r="CQ101" s="2"/>
      <c r="CR101" s="2"/>
      <c r="CS101" s="3"/>
      <c r="CT101" s="3"/>
      <c r="CU101" s="2"/>
      <c r="CV101" s="3"/>
      <c r="CW101" s="3"/>
      <c r="CX101" s="7" t="n">
        <v>0</v>
      </c>
      <c r="CY101" s="7" t="n">
        <v>0</v>
      </c>
      <c r="CZ101" s="2"/>
      <c r="DA101" s="2"/>
      <c r="DB101" s="2"/>
      <c r="DC101" s="2"/>
      <c r="DD101" s="2"/>
      <c r="DE101" s="2"/>
      <c r="DF101" s="2"/>
      <c r="DG101" s="2"/>
      <c r="DH101" s="2"/>
      <c r="DI101" s="2" t="inlineStr">
        <is>
          <t>24f6d41c-4925-44ae-8c09-b33ba59c69d5</t>
        </is>
      </c>
      <c r="DJ101" s="3" t="n">
        <v>1</v>
      </c>
      <c r="DK101" s="2"/>
      <c r="DL101" s="2"/>
      <c r="DM101" s="2"/>
      <c r="DN101" s="3"/>
      <c r="DO101" s="3"/>
      <c r="DP101" s="2"/>
      <c r="DQ101" s="3"/>
      <c r="DR101" s="3"/>
      <c r="DS101" s="7" t="n">
        <v>0</v>
      </c>
      <c r="DT101" s="7" t="n">
        <v>0</v>
      </c>
      <c r="DU101" s="2"/>
      <c r="DV101" s="2"/>
      <c r="DW101" s="2"/>
      <c r="DX101" s="2"/>
      <c r="DY101" s="2"/>
      <c r="DZ101" s="2"/>
      <c r="EA101" s="2"/>
      <c r="EB101" s="2"/>
      <c r="EC101" s="2"/>
      <c r="ED101" s="2" t="inlineStr">
        <is>
          <t>c2b29f54-2c23-4ad2-9754-87f43c42a905</t>
        </is>
      </c>
      <c r="EE101" s="3" t="n">
        <v>1</v>
      </c>
      <c r="EF101" s="2"/>
      <c r="EG101" s="2"/>
      <c r="EH101" s="2"/>
      <c r="EI101" s="3"/>
      <c r="EJ101" s="2"/>
      <c r="EK101" s="3"/>
      <c r="EL101" s="3"/>
      <c r="EM101" s="7" t="n">
        <v>0</v>
      </c>
      <c r="EN101" s="7" t="n">
        <v>0</v>
      </c>
      <c r="EO101" s="2"/>
      <c r="EP101" s="2"/>
      <c r="EQ101" s="2"/>
      <c r="ER101" s="2"/>
      <c r="ES101" s="2"/>
      <c r="ET101" s="2"/>
      <c r="EU101" s="2"/>
      <c r="EV101" s="2"/>
      <c r="EW101" s="2"/>
      <c r="EX101" s="2" t="inlineStr">
        <is>
          <t>320e52fc-9b35-4113-b9aa-23027c23d0bc</t>
        </is>
      </c>
      <c r="EY101" s="3" t="n">
        <v>1</v>
      </c>
      <c r="EZ101" s="2"/>
      <c r="FA101" s="2"/>
      <c r="FB101" s="2"/>
      <c r="FC101" s="2"/>
      <c r="FD101" s="3"/>
      <c r="FE101" s="3"/>
      <c r="FF101" s="2"/>
      <c r="FG101" s="3"/>
      <c r="FH101" s="3"/>
      <c r="FI101" s="7" t="n">
        <v>0</v>
      </c>
      <c r="FJ101" s="7" t="n">
        <v>0</v>
      </c>
      <c r="FK101" s="7" t="n">
        <v>0</v>
      </c>
      <c r="FL101" s="7" t="n">
        <v>0</v>
      </c>
      <c r="FM101" s="7" t="n">
        <v>0</v>
      </c>
      <c r="FN101" s="7" t="n">
        <v>0</v>
      </c>
      <c r="FO101" s="2"/>
      <c r="FP101" s="2"/>
      <c r="FQ101" s="2"/>
      <c r="FR101" s="2"/>
      <c r="FS101" s="2"/>
      <c r="FT101" s="2"/>
      <c r="FU101" s="2"/>
      <c r="FV101" s="2"/>
      <c r="F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t="inlineStr">
        <is>
          <t>eac3b14c-d4f2-4a4a-9cd1-4d0e5e6cc075</t>
        </is>
      </c>
      <c r="BT102" s="3" t="n">
        <v>2</v>
      </c>
      <c r="BU102" s="2" t="inlineStr">
        <is>
          <t>流程审批类</t>
        </is>
      </c>
      <c r="BV102" s="2" t="inlineStr">
        <is>
          <t>财务系统提交付款申请</t>
        </is>
      </c>
      <c r="BW102" s="2" t="inlineStr">
        <is>
          <t>10次以上</t>
        </is>
      </c>
      <c r="BX102" s="3" t="n">
        <v>10</v>
      </c>
      <c r="BY102" s="3" t="n">
        <v>10</v>
      </c>
      <c r="BZ102" s="2" t="inlineStr">
        <is>
          <t>A.20分钟以内</t>
        </is>
      </c>
      <c r="CA102" s="7" t="n">
        <v>0.33</v>
      </c>
      <c r="CB102" s="7" t="n">
        <v>0.33</v>
      </c>
      <c r="CC102" s="7" t="n">
        <v>3.3</v>
      </c>
      <c r="CD102" s="7" t="n">
        <v>3.3</v>
      </c>
      <c r="CE102" s="2" t="inlineStr">
        <is>
          <t>流程审批类</t>
        </is>
      </c>
      <c r="CF102" s="2"/>
      <c r="CG102" s="2" t="inlineStr">
        <is>
          <t>费用报销流程</t>
        </is>
      </c>
      <c r="CH102" s="2" t="inlineStr">
        <is>
          <t>岗位职责</t>
        </is>
      </c>
      <c r="CI102" s="2" t="inlineStr">
        <is>
          <t>重要且紧急</t>
        </is>
      </c>
      <c r="CJ102" s="2" t="inlineStr">
        <is>
          <t>半标准化-有流程框架，需专业经验</t>
        </is>
      </c>
      <c r="CK102" s="2" t="inlineStr">
        <is>
          <t>极少（&lt;5%）</t>
        </is>
      </c>
      <c r="CL102" s="2" t="inlineStr">
        <is>
          <t>时效/强度负荷</t>
        </is>
      </c>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t="inlineStr">
        <is>
          <t>78ffbb35-7162-4920-9d84-475f2b60e681</t>
        </is>
      </c>
      <c r="BT103" s="3" t="n">
        <v>3</v>
      </c>
      <c r="BU103" s="2" t="inlineStr">
        <is>
          <t>流程审批类</t>
        </is>
      </c>
      <c r="BV103" s="2" t="inlineStr">
        <is>
          <t>打印凭证并记账</t>
        </is>
      </c>
      <c r="BW103" s="2" t="inlineStr">
        <is>
          <t>10次以上</t>
        </is>
      </c>
      <c r="BX103" s="3" t="n">
        <v>10</v>
      </c>
      <c r="BY103" s="3" t="n">
        <v>10</v>
      </c>
      <c r="BZ103" s="2" t="inlineStr">
        <is>
          <t>A.20分钟以内</t>
        </is>
      </c>
      <c r="CA103" s="7" t="n">
        <v>0.33</v>
      </c>
      <c r="CB103" s="7" t="n">
        <v>0.33</v>
      </c>
      <c r="CC103" s="7" t="n">
        <v>3.3</v>
      </c>
      <c r="CD103" s="7" t="n">
        <v>3.3</v>
      </c>
      <c r="CE103" s="2" t="inlineStr">
        <is>
          <t>流程审批类</t>
        </is>
      </c>
      <c r="CF103" s="2"/>
      <c r="CG103" s="2" t="inlineStr">
        <is>
          <t>费用报销流程</t>
        </is>
      </c>
      <c r="CH103" s="2" t="inlineStr">
        <is>
          <t>岗位职责</t>
        </is>
      </c>
      <c r="CI103" s="2" t="inlineStr">
        <is>
          <t>重要不紧急</t>
        </is>
      </c>
      <c r="CJ103" s="2" t="inlineStr">
        <is>
          <t>半标准化-有流程框架，需专业经验</t>
        </is>
      </c>
      <c r="CK103" s="2" t="inlineStr">
        <is>
          <t>极少（&lt;5%）</t>
        </is>
      </c>
      <c r="CL103" s="2" t="inlineStr">
        <is>
          <t>时效/强度负荷</t>
        </is>
      </c>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t="inlineStr">
        <is>
          <t>f67c27ba-af45-425e-b6c6-3b6b3d61ca7b</t>
        </is>
      </c>
      <c r="BT104" s="3" t="n">
        <v>4</v>
      </c>
      <c r="BU104" s="2" t="inlineStr">
        <is>
          <t>流程审批类</t>
        </is>
      </c>
      <c r="BV104" s="2" t="inlineStr">
        <is>
          <t>核对已付并记录</t>
        </is>
      </c>
      <c r="BW104" s="2" t="inlineStr">
        <is>
          <t>10次以上</t>
        </is>
      </c>
      <c r="BX104" s="3" t="n">
        <v>10</v>
      </c>
      <c r="BY104" s="3" t="n">
        <v>10</v>
      </c>
      <c r="BZ104" s="2" t="inlineStr">
        <is>
          <t>A.20分钟以内</t>
        </is>
      </c>
      <c r="CA104" s="7" t="n">
        <v>0.33</v>
      </c>
      <c r="CB104" s="7" t="n">
        <v>0.33</v>
      </c>
      <c r="CC104" s="7" t="n">
        <v>3.3</v>
      </c>
      <c r="CD104" s="7" t="n">
        <v>3.3</v>
      </c>
      <c r="CE104" s="2" t="inlineStr">
        <is>
          <t>流程审批类</t>
        </is>
      </c>
      <c r="CF104" s="2"/>
      <c r="CG104" s="2" t="inlineStr">
        <is>
          <t>财务管理流程</t>
        </is>
      </c>
      <c r="CH104" s="2" t="inlineStr">
        <is>
          <t>岗位职责</t>
        </is>
      </c>
      <c r="CI104" s="2" t="inlineStr">
        <is>
          <t>重要不紧急</t>
        </is>
      </c>
      <c r="CJ104" s="2" t="inlineStr">
        <is>
          <t>半标准化-有流程框架，需专业经验</t>
        </is>
      </c>
      <c r="CK104" s="2" t="inlineStr">
        <is>
          <t>极少（&lt;5%）</t>
        </is>
      </c>
      <c r="CL104" s="2" t="inlineStr">
        <is>
          <t>沟通/协调负荷</t>
        </is>
      </c>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row>
    <row r="105">
      <c r="A105" s="2" t="inlineStr">
        <is>
          <t>2026-05-22 15:00:27</t>
        </is>
      </c>
      <c r="B105" s="2" t="inlineStr">
        <is>
          <t>孔方婷</t>
        </is>
      </c>
      <c r="C105" s="2" t="inlineStr">
        <is>
          <t>综合办公室</t>
        </is>
      </c>
      <c r="D105" s="2" t="inlineStr">
        <is>
          <t>女</t>
        </is>
      </c>
      <c r="E105" s="2" t="inlineStr">
        <is>
          <t>410225199710126229</t>
        </is>
      </c>
      <c r="F105" s="2" t="inlineStr">
        <is>
          <t>业务主管</t>
        </is>
      </c>
      <c r="G105" s="2" t="inlineStr">
        <is>
          <t>2019-08</t>
        </is>
      </c>
      <c r="H105" s="2" t="inlineStr">
        <is>
          <t>商丘师范学院</t>
        </is>
      </c>
      <c r="I105" s="2" t="inlineStr">
        <is>
          <t>其他</t>
        </is>
      </c>
      <c r="J105" s="2" t="inlineStr">
        <is>
          <t>本科</t>
        </is>
      </c>
      <c r="K105" s="2"/>
      <c r="L105" s="6">
        <f>HYPERLINK("https://www.h3yun.com/Form/Attachments/?schemacode=D1483577de63ede327d4760b10664bd57671d7e&amp;bizObjectId=e040c2c8-6c52-4410-97ed-9b7917732c8d&amp;name=F0000046","点击查看")</f>
        <v>0</v>
      </c>
      <c r="M105" s="2" t="inlineStr">
        <is>
          <t>无</t>
        </is>
      </c>
      <c r="N105" s="2" t="inlineStr">
        <is>
          <t>每日工作</t>
        </is>
      </c>
      <c r="O105" s="2" t="inlineStr">
        <is>
          <t>26-30岁</t>
        </is>
      </c>
      <c r="P105" s="2" t="inlineStr">
        <is>
          <t>A.未婚</t>
        </is>
      </c>
      <c r="Q105" s="2" t="inlineStr">
        <is>
          <t>A.否</t>
        </is>
      </c>
      <c r="R105" s="2" t="inlineStr">
        <is>
          <t>A.否</t>
        </is>
      </c>
      <c r="S105" s="2" t="inlineStr">
        <is>
          <t>C.希望工作压力适中，但职责边界更清晰</t>
        </is>
      </c>
      <c r="T105" s="2" t="inlineStr">
        <is>
          <t>A.基本满意，希望保持</t>
        </is>
      </c>
      <c r="U105" s="2" t="inlineStr">
        <is>
          <t>F.提高支持资源或人员配置</t>
        </is>
      </c>
      <c r="V105" s="2" t="inlineStr">
        <is>
          <t>A.没有</t>
        </is>
      </c>
      <c r="W105" s="2"/>
      <c r="X105" s="2" t="inlineStr">
        <is>
          <t>B.满负荷 (100%-120%)</t>
        </is>
      </c>
      <c r="Y105" s="2" t="inlineStr">
        <is>
          <t>E.临时差旅、突发事件、会议加班</t>
        </is>
      </c>
      <c r="Z105" s="2" t="inlineStr">
        <is>
          <t>无</t>
        </is>
      </c>
      <c r="AA105" s="2" t="inlineStr">
        <is>
          <t>无</t>
        </is>
      </c>
      <c r="AB105" s="2" t="inlineStr">
        <is>
          <t>无</t>
        </is>
      </c>
      <c r="AC105" s="2" t="inlineStr">
        <is>
          <t>B.基本匹配（正常履行）</t>
        </is>
      </c>
      <c r="AD105" s="2" t="inlineStr">
        <is>
          <t>无</t>
        </is>
      </c>
      <c r="AE105" s="2" t="inlineStr">
        <is>
          <t>无</t>
        </is>
      </c>
      <c r="AF105" s="2" t="inlineStr">
        <is>
          <t>无</t>
        </is>
      </c>
      <c r="AG105" s="2"/>
      <c r="AH105" s="2"/>
      <c r="AI105" s="7" t="n">
        <v>80</v>
      </c>
      <c r="AJ105" s="7" t="n">
        <v>80</v>
      </c>
      <c r="AK105" s="7" t="n">
        <v>0</v>
      </c>
      <c r="AL105" s="7" t="n">
        <v>0</v>
      </c>
      <c r="AM105" s="7" t="n">
        <v>0</v>
      </c>
      <c r="AN105" s="7" t="n">
        <v>0</v>
      </c>
      <c r="AO105" s="7" t="n">
        <v>0</v>
      </c>
      <c r="AP105" s="7" t="n">
        <v>0</v>
      </c>
      <c r="AQ105" s="7" t="n">
        <v>0</v>
      </c>
      <c r="AR105" s="7" t="n">
        <v>0</v>
      </c>
      <c r="AS105" s="7" t="n">
        <v>80</v>
      </c>
      <c r="AT105" s="7" t="n">
        <v>80</v>
      </c>
      <c r="AU105" s="7" t="n">
        <v>80</v>
      </c>
      <c r="AV105" s="2" t="inlineStr">
        <is>
          <t>超负荷</t>
        </is>
      </c>
      <c r="AW105" s="2" t="inlineStr">
        <is>
          <t>不一致</t>
        </is>
      </c>
      <c r="AX105" s="2" t="inlineStr">
        <is>
          <t>e040c2c8-6c52-4410-97ed-9b7917732c8d</t>
        </is>
      </c>
      <c r="AY105" s="2" t="inlineStr">
        <is>
          <t>综合办公室    孔方婷</t>
        </is>
      </c>
      <c r="AZ105" s="2" t="inlineStr">
        <is>
          <t>Anonymous</t>
        </is>
      </c>
      <c r="BA105" s="2" t="inlineStr">
        <is>
          <t>Anonymous</t>
        </is>
      </c>
      <c r="BB105" s="2"/>
      <c r="BC105" s="2" t="inlineStr">
        <is>
          <t>2026-05-22 15:00:27</t>
        </is>
      </c>
      <c r="BD105" s="3" t="n">
        <v>1997</v>
      </c>
      <c r="BE105" s="3" t="n">
        <v>29</v>
      </c>
      <c r="BF105" s="2" t="inlineStr">
        <is>
          <t>A.无此需求</t>
        </is>
      </c>
      <c r="BG105" s="2" t="inlineStr">
        <is>
          <t>已生效</t>
        </is>
      </c>
      <c r="BH105" s="2" t="inlineStr">
        <is>
          <t>e74eba7e-5896-4c24-a316-2116407a95af</t>
        </is>
      </c>
      <c r="BI105" s="3" t="n">
        <v>1</v>
      </c>
      <c r="BJ105" s="2"/>
      <c r="BK105" s="2"/>
      <c r="BL105" s="2"/>
      <c r="BM105" s="2"/>
      <c r="BN105" s="2"/>
      <c r="BO105" s="2"/>
      <c r="BP105" s="2"/>
      <c r="BQ105" s="2"/>
      <c r="BR105" s="2"/>
      <c r="BS105" s="2" t="inlineStr">
        <is>
          <t>99b99dfd-6f50-482f-b550-9dab70ee3a9a</t>
        </is>
      </c>
      <c r="BT105" s="3" t="n">
        <v>1</v>
      </c>
      <c r="BU105" s="2" t="inlineStr">
        <is>
          <t>行政事务类</t>
        </is>
      </c>
      <c r="BV105" s="2" t="inlineStr">
        <is>
          <t>内外部文件，会务，日常盖章，新闻，办公用品采买等</t>
        </is>
      </c>
      <c r="BW105" s="2" t="inlineStr">
        <is>
          <t>10次以上</t>
        </is>
      </c>
      <c r="BX105" s="3" t="n">
        <v>10</v>
      </c>
      <c r="BY105" s="3" t="n">
        <v>10</v>
      </c>
      <c r="BZ105" s="2" t="inlineStr">
        <is>
          <t>E.8小时以上</t>
        </is>
      </c>
      <c r="CA105" s="7" t="n">
        <v>8</v>
      </c>
      <c r="CB105" s="7" t="n">
        <v>8</v>
      </c>
      <c r="CC105" s="7" t="n">
        <v>80</v>
      </c>
      <c r="CD105" s="7" t="n">
        <v>80</v>
      </c>
      <c r="CE105" s="2" t="inlineStr">
        <is>
          <t>行政事务类</t>
        </is>
      </c>
      <c r="CF105" s="2"/>
      <c r="CG105" s="2" t="inlineStr">
        <is>
          <t>接待保障</t>
        </is>
      </c>
      <c r="CH105" s="2" t="inlineStr">
        <is>
          <t>上级指令</t>
        </is>
      </c>
      <c r="CI105" s="2" t="inlineStr">
        <is>
          <t>重要且紧急</t>
        </is>
      </c>
      <c r="CJ105" s="2" t="inlineStr">
        <is>
          <t>半标准化-有流程框架，需专业经验</t>
        </is>
      </c>
      <c r="CK105" s="2" t="inlineStr">
        <is>
          <t>极少（&lt;5%）</t>
        </is>
      </c>
      <c r="CL105" s="2" t="inlineStr">
        <is>
          <t>沟通/协调负荷</t>
        </is>
      </c>
      <c r="CM105" s="2"/>
      <c r="CN105" s="2" t="inlineStr">
        <is>
          <t>365d3645-36f5-423f-9f6b-9aba8357869c</t>
        </is>
      </c>
      <c r="CO105" s="3" t="n">
        <v>1</v>
      </c>
      <c r="CP105" s="2"/>
      <c r="CQ105" s="2"/>
      <c r="CR105" s="2"/>
      <c r="CS105" s="3"/>
      <c r="CT105" s="3"/>
      <c r="CU105" s="2"/>
      <c r="CV105" s="3"/>
      <c r="CW105" s="3"/>
      <c r="CX105" s="7" t="n">
        <v>0</v>
      </c>
      <c r="CY105" s="7" t="n">
        <v>0</v>
      </c>
      <c r="CZ105" s="2"/>
      <c r="DA105" s="2"/>
      <c r="DB105" s="2"/>
      <c r="DC105" s="2"/>
      <c r="DD105" s="2"/>
      <c r="DE105" s="2"/>
      <c r="DF105" s="2"/>
      <c r="DG105" s="2"/>
      <c r="DH105" s="2"/>
      <c r="DI105" s="2" t="inlineStr">
        <is>
          <t>3a0821a8-1bd4-4ce6-b6c4-4e53dff8adf4</t>
        </is>
      </c>
      <c r="DJ105" s="3" t="n">
        <v>1</v>
      </c>
      <c r="DK105" s="2"/>
      <c r="DL105" s="2"/>
      <c r="DM105" s="2"/>
      <c r="DN105" s="3"/>
      <c r="DO105" s="3"/>
      <c r="DP105" s="2"/>
      <c r="DQ105" s="3"/>
      <c r="DR105" s="3"/>
      <c r="DS105" s="7" t="n">
        <v>0</v>
      </c>
      <c r="DT105" s="7" t="n">
        <v>0</v>
      </c>
      <c r="DU105" s="2"/>
      <c r="DV105" s="2"/>
      <c r="DW105" s="2"/>
      <c r="DX105" s="2"/>
      <c r="DY105" s="2"/>
      <c r="DZ105" s="2"/>
      <c r="EA105" s="2"/>
      <c r="EB105" s="2"/>
      <c r="EC105" s="2"/>
      <c r="ED105" s="2" t="inlineStr">
        <is>
          <t>781ff73c-726f-4f6f-900b-b265849dc5d8</t>
        </is>
      </c>
      <c r="EE105" s="3" t="n">
        <v>1</v>
      </c>
      <c r="EF105" s="2"/>
      <c r="EG105" s="2"/>
      <c r="EH105" s="2"/>
      <c r="EI105" s="3"/>
      <c r="EJ105" s="2"/>
      <c r="EK105" s="3"/>
      <c r="EL105" s="3"/>
      <c r="EM105" s="7" t="n">
        <v>0</v>
      </c>
      <c r="EN105" s="7" t="n">
        <v>0</v>
      </c>
      <c r="EO105" s="2"/>
      <c r="EP105" s="2"/>
      <c r="EQ105" s="2"/>
      <c r="ER105" s="2"/>
      <c r="ES105" s="2"/>
      <c r="ET105" s="2"/>
      <c r="EU105" s="2"/>
      <c r="EV105" s="2"/>
      <c r="EW105" s="2"/>
      <c r="EX105" s="2" t="inlineStr">
        <is>
          <t>889bcb33-a63e-4013-881f-a94035df2021</t>
        </is>
      </c>
      <c r="EY105" s="3" t="n">
        <v>1</v>
      </c>
      <c r="EZ105" s="2"/>
      <c r="FA105" s="2"/>
      <c r="FB105" s="2"/>
      <c r="FC105" s="2"/>
      <c r="FD105" s="3"/>
      <c r="FE105" s="3"/>
      <c r="FF105" s="2"/>
      <c r="FG105" s="3"/>
      <c r="FH105" s="3"/>
      <c r="FI105" s="7" t="n">
        <v>0</v>
      </c>
      <c r="FJ105" s="7" t="n">
        <v>0</v>
      </c>
      <c r="FK105" s="7" t="n">
        <v>0</v>
      </c>
      <c r="FL105" s="7" t="n">
        <v>0</v>
      </c>
      <c r="FM105" s="7" t="n">
        <v>0</v>
      </c>
      <c r="FN105" s="7" t="n">
        <v>0</v>
      </c>
      <c r="FO105" s="2"/>
      <c r="FP105" s="2"/>
      <c r="FQ105" s="2"/>
      <c r="FR105" s="2"/>
      <c r="FS105" s="2"/>
      <c r="FT105" s="2"/>
      <c r="FU105" s="2"/>
      <c r="FV105" s="2"/>
      <c r="FW105" s="2"/>
    </row>
    <row r="106">
      <c r="A106" s="2" t="inlineStr">
        <is>
          <t>2026-05-22 09:48:09</t>
        </is>
      </c>
      <c r="B106" s="2" t="inlineStr">
        <is>
          <t>郑兴文</t>
        </is>
      </c>
      <c r="C106" s="2" t="inlineStr">
        <is>
          <t>资产财务部</t>
        </is>
      </c>
      <c r="D106" s="2" t="inlineStr">
        <is>
          <t>男</t>
        </is>
      </c>
      <c r="E106" s="2" t="inlineStr">
        <is>
          <t>320826198611270834</t>
        </is>
      </c>
      <c r="F106" s="2" t="inlineStr">
        <is>
          <t>业务主管</t>
        </is>
      </c>
      <c r="G106" s="2" t="inlineStr">
        <is>
          <t>2009-08</t>
        </is>
      </c>
      <c r="H106" s="2" t="inlineStr">
        <is>
          <t>南京工业大学</t>
        </is>
      </c>
      <c r="I106" s="2" t="inlineStr">
        <is>
          <t>会计</t>
        </is>
      </c>
      <c r="J106" s="2" t="inlineStr">
        <is>
          <t>本科</t>
        </is>
      </c>
      <c r="K106" s="2"/>
      <c r="L106" s="6">
        <f>HYPERLINK("https://www.h3yun.com/Form/Attachments/?schemacode=D1483577de63ede327d4760b10664bd57671d7e&amp;bizObjectId=bdb5a2b8-9d86-4254-a4a8-0e90f34231dd&amp;name=F0000046","点击查看")</f>
        <v>0</v>
      </c>
      <c r="M106" s="2" t="inlineStr">
        <is>
          <t>都加强对一线人员的培训，这样才能减少不必要的沟通</t>
        </is>
      </c>
      <c r="N106" s="2" t="inlineStr">
        <is>
          <t>每日工作</t>
        </is>
      </c>
      <c r="O106" s="2" t="inlineStr">
        <is>
          <t>30-40岁</t>
        </is>
      </c>
      <c r="P106" s="2" t="inlineStr">
        <is>
          <t>C.已婚已育</t>
        </is>
      </c>
      <c r="Q106" s="2" t="inlineStr">
        <is>
          <t>D.是，同时照护子女和老人</t>
        </is>
      </c>
      <c r="R106" s="2" t="inlineStr">
        <is>
          <t>A.否</t>
        </is>
      </c>
      <c r="S106" s="2" t="inlineStr">
        <is>
          <t>E.愿意承担更高挑战和更大压力，以换取更高回报或晋升机会</t>
        </is>
      </c>
      <c r="T106" s="2" t="inlineStr">
        <is>
          <t>B.工作内容可接受，但负荷偏重</t>
        </is>
      </c>
      <c r="U106" s="2" t="inlineStr">
        <is>
          <t>B.减少无效流转和返工</t>
        </is>
      </c>
      <c r="V106" s="2" t="inlineStr">
        <is>
          <t>C.推动过局部优化</t>
        </is>
      </c>
      <c r="W106" s="2" t="inlineStr">
        <is>
          <t>B.涉及多部门，协调难度大</t>
        </is>
      </c>
      <c r="X106" s="2" t="inlineStr">
        <is>
          <t>B.满负荷 (100%-120%)</t>
        </is>
      </c>
      <c r="Y106" s="2" t="inlineStr">
        <is>
          <t>B.上游资料不全，导致反复沟通/返工;C.会议或日常协调过多，压缩产出时间;E.临时差旅、突发事件、会议加班;I.因正常工作任务截止日遇上节假日所需加班;J.在指导答疑协助上耗时过多导致的加班</t>
        </is>
      </c>
      <c r="Z106" s="2" t="inlineStr">
        <is>
          <t>协同办公流程</t>
        </is>
      </c>
      <c r="AA106" s="2" t="inlineStr">
        <is>
          <t>专业问题协调</t>
        </is>
      </c>
      <c r="AB106" s="2" t="inlineStr">
        <is>
          <t>无</t>
        </is>
      </c>
      <c r="AC106" s="2" t="inlineStr">
        <is>
          <t>B.基本匹配（正常履行）</t>
        </is>
      </c>
      <c r="AD106" s="2" t="inlineStr">
        <is>
          <t>暂时没想到</t>
        </is>
      </c>
      <c r="AE106" s="2" t="inlineStr">
        <is>
          <t>无</t>
        </is>
      </c>
      <c r="AF106" s="2" t="inlineStr">
        <is>
          <t>无</t>
        </is>
      </c>
      <c r="AG106" s="2" t="inlineStr">
        <is>
          <t>D.配偶不是公司家属</t>
        </is>
      </c>
      <c r="AH106" s="2"/>
      <c r="AI106" s="7" t="n">
        <v>3.3</v>
      </c>
      <c r="AJ106" s="7" t="n">
        <v>3.3</v>
      </c>
      <c r="AK106" s="7" t="n">
        <v>0</v>
      </c>
      <c r="AL106" s="7" t="n">
        <v>0</v>
      </c>
      <c r="AM106" s="7" t="n">
        <v>0</v>
      </c>
      <c r="AN106" s="7" t="n">
        <v>0</v>
      </c>
      <c r="AO106" s="7" t="n">
        <v>0</v>
      </c>
      <c r="AP106" s="7" t="n">
        <v>0</v>
      </c>
      <c r="AQ106" s="7" t="n">
        <v>0</v>
      </c>
      <c r="AR106" s="7" t="n">
        <v>0</v>
      </c>
      <c r="AS106" s="7" t="n">
        <v>3.3</v>
      </c>
      <c r="AT106" s="7" t="n">
        <v>3.3</v>
      </c>
      <c r="AU106" s="7" t="n">
        <v>3.3</v>
      </c>
      <c r="AV106" s="2" t="inlineStr">
        <is>
          <t>非饱和</t>
        </is>
      </c>
      <c r="AW106" s="2" t="inlineStr">
        <is>
          <t>不一致</t>
        </is>
      </c>
      <c r="AX106" s="2" t="inlineStr">
        <is>
          <t>bdb5a2b8-9d86-4254-a4a8-0e90f34231dd</t>
        </is>
      </c>
      <c r="AY106" s="2" t="inlineStr">
        <is>
          <t>资产财务部    郑兴文</t>
        </is>
      </c>
      <c r="AZ106" s="2" t="inlineStr">
        <is>
          <t>Anonymous</t>
        </is>
      </c>
      <c r="BA106" s="2" t="inlineStr">
        <is>
          <t>Anonymous</t>
        </is>
      </c>
      <c r="BB106" s="2"/>
      <c r="BC106" s="2" t="inlineStr">
        <is>
          <t>2026-05-22 09:48:09</t>
        </is>
      </c>
      <c r="BD106" s="3" t="n">
        <v>1986</v>
      </c>
      <c r="BE106" s="3" t="n">
        <v>40</v>
      </c>
      <c r="BF106" s="2" t="inlineStr">
        <is>
          <t>A.无此需求</t>
        </is>
      </c>
      <c r="BG106" s="2" t="inlineStr">
        <is>
          <t>已生效</t>
        </is>
      </c>
      <c r="BH106" s="2" t="inlineStr">
        <is>
          <t>fff530c5-8abc-4434-bd00-5c12f6efa093</t>
        </is>
      </c>
      <c r="BI106" s="3" t="n">
        <v>1</v>
      </c>
      <c r="BJ106" s="2"/>
      <c r="BK106" s="2"/>
      <c r="BL106" s="2"/>
      <c r="BM106" s="2"/>
      <c r="BN106" s="2"/>
      <c r="BO106" s="2"/>
      <c r="BP106" s="2"/>
      <c r="BQ106" s="2"/>
      <c r="BR106" s="2"/>
      <c r="BS106" s="2" t="inlineStr">
        <is>
          <t>67a2ea1e-74a3-4b03-8aee-2ae87e76ef8d</t>
        </is>
      </c>
      <c r="BT106" s="3" t="n">
        <v>1</v>
      </c>
      <c r="BU106" s="2" t="inlineStr">
        <is>
          <t>数据报表类</t>
        </is>
      </c>
      <c r="BV106" s="2" t="inlineStr">
        <is>
          <t>财务</t>
        </is>
      </c>
      <c r="BW106" s="2" t="inlineStr">
        <is>
          <t>10次以上</t>
        </is>
      </c>
      <c r="BX106" s="3" t="n">
        <v>10</v>
      </c>
      <c r="BY106" s="3" t="n">
        <v>10</v>
      </c>
      <c r="BZ106" s="2" t="inlineStr">
        <is>
          <t>A.20分钟以内</t>
        </is>
      </c>
      <c r="CA106" s="7" t="n">
        <v>0.33</v>
      </c>
      <c r="CB106" s="7" t="n">
        <v>0.33</v>
      </c>
      <c r="CC106" s="7" t="n">
        <v>3.3</v>
      </c>
      <c r="CD106" s="7" t="n">
        <v>3.3</v>
      </c>
      <c r="CE106" s="2" t="inlineStr">
        <is>
          <t>数据报表类</t>
        </is>
      </c>
      <c r="CF106" s="2"/>
      <c r="CG106" s="2" t="inlineStr">
        <is>
          <t>经营数据汇总</t>
        </is>
      </c>
      <c r="CH106" s="2" t="inlineStr">
        <is>
          <t>岗位职责</t>
        </is>
      </c>
      <c r="CI106" s="2" t="inlineStr">
        <is>
          <t>重要且紧急</t>
        </is>
      </c>
      <c r="CJ106" s="2" t="inlineStr">
        <is>
          <t>半标准化-有流程框架，需专业经验</t>
        </is>
      </c>
      <c r="CK106" s="2" t="inlineStr">
        <is>
          <t>低频（5%-10%）</t>
        </is>
      </c>
      <c r="CL106" s="2" t="inlineStr">
        <is>
          <t>脑力/复杂度负荷</t>
        </is>
      </c>
      <c r="CM106" s="2" t="inlineStr">
        <is>
          <t>工作大很大</t>
        </is>
      </c>
      <c r="CN106" s="2" t="inlineStr">
        <is>
          <t>d04e8dad-fc59-4f08-8d1b-39ecb4c94c6b</t>
        </is>
      </c>
      <c r="CO106" s="3" t="n">
        <v>1</v>
      </c>
      <c r="CP106" s="2"/>
      <c r="CQ106" s="2"/>
      <c r="CR106" s="2"/>
      <c r="CS106" s="3"/>
      <c r="CT106" s="3"/>
      <c r="CU106" s="2"/>
      <c r="CV106" s="3"/>
      <c r="CW106" s="3"/>
      <c r="CX106" s="7" t="n">
        <v>0</v>
      </c>
      <c r="CY106" s="7" t="n">
        <v>0</v>
      </c>
      <c r="CZ106" s="2"/>
      <c r="DA106" s="2"/>
      <c r="DB106" s="2"/>
      <c r="DC106" s="2"/>
      <c r="DD106" s="2"/>
      <c r="DE106" s="2"/>
      <c r="DF106" s="2"/>
      <c r="DG106" s="2"/>
      <c r="DH106" s="2"/>
      <c r="DI106" s="2" t="inlineStr">
        <is>
          <t>bc739098-ec91-4ffa-ab4c-d77bfdeab995</t>
        </is>
      </c>
      <c r="DJ106" s="3" t="n">
        <v>1</v>
      </c>
      <c r="DK106" s="2"/>
      <c r="DL106" s="2"/>
      <c r="DM106" s="2"/>
      <c r="DN106" s="3"/>
      <c r="DO106" s="3"/>
      <c r="DP106" s="2"/>
      <c r="DQ106" s="3"/>
      <c r="DR106" s="3"/>
      <c r="DS106" s="7" t="n">
        <v>0</v>
      </c>
      <c r="DT106" s="7" t="n">
        <v>0</v>
      </c>
      <c r="DU106" s="2"/>
      <c r="DV106" s="2"/>
      <c r="DW106" s="2"/>
      <c r="DX106" s="2"/>
      <c r="DY106" s="2"/>
      <c r="DZ106" s="2"/>
      <c r="EA106" s="2"/>
      <c r="EB106" s="2"/>
      <c r="EC106" s="2"/>
      <c r="ED106" s="2" t="inlineStr">
        <is>
          <t>4de50d3f-f31b-471b-95f3-f42e3a3a50a0</t>
        </is>
      </c>
      <c r="EE106" s="3" t="n">
        <v>1</v>
      </c>
      <c r="EF106" s="2"/>
      <c r="EG106" s="2"/>
      <c r="EH106" s="2"/>
      <c r="EI106" s="3"/>
      <c r="EJ106" s="2"/>
      <c r="EK106" s="3"/>
      <c r="EL106" s="3"/>
      <c r="EM106" s="7" t="n">
        <v>0</v>
      </c>
      <c r="EN106" s="7" t="n">
        <v>0</v>
      </c>
      <c r="EO106" s="2"/>
      <c r="EP106" s="2"/>
      <c r="EQ106" s="2"/>
      <c r="ER106" s="2"/>
      <c r="ES106" s="2"/>
      <c r="ET106" s="2"/>
      <c r="EU106" s="2"/>
      <c r="EV106" s="2"/>
      <c r="EW106" s="2"/>
      <c r="EX106" s="2" t="inlineStr">
        <is>
          <t>585a0bca-bee5-4b47-9d6f-234d3fffc072</t>
        </is>
      </c>
      <c r="EY106" s="3" t="n">
        <v>1</v>
      </c>
      <c r="EZ106" s="2"/>
      <c r="FA106" s="2"/>
      <c r="FB106" s="2"/>
      <c r="FC106" s="2"/>
      <c r="FD106" s="3"/>
      <c r="FE106" s="3"/>
      <c r="FF106" s="2"/>
      <c r="FG106" s="3"/>
      <c r="FH106" s="3"/>
      <c r="FI106" s="7" t="n">
        <v>0</v>
      </c>
      <c r="FJ106" s="7" t="n">
        <v>0</v>
      </c>
      <c r="FK106" s="7" t="n">
        <v>0</v>
      </c>
      <c r="FL106" s="7" t="n">
        <v>0</v>
      </c>
      <c r="FM106" s="7" t="n">
        <v>0</v>
      </c>
      <c r="FN106" s="7" t="n">
        <v>0</v>
      </c>
      <c r="FO106" s="2"/>
      <c r="FP106" s="2"/>
      <c r="FQ106" s="2"/>
      <c r="FR106" s="2"/>
      <c r="FS106" s="2"/>
      <c r="FT106" s="2"/>
      <c r="FU106" s="2"/>
      <c r="FV106" s="2"/>
      <c r="FW106" s="2"/>
    </row>
    <row r="107">
      <c r="A107" s="2" t="inlineStr">
        <is>
          <t>2026-05-21 17:33:41</t>
        </is>
      </c>
      <c r="B107" s="2" t="inlineStr">
        <is>
          <t>郭凤霞</t>
        </is>
      </c>
      <c r="C107" s="2" t="inlineStr">
        <is>
          <t>综合办公室</t>
        </is>
      </c>
      <c r="D107" s="2" t="inlineStr">
        <is>
          <t>女</t>
        </is>
      </c>
      <c r="E107" s="2" t="inlineStr">
        <is>
          <t>32011119750103442X</t>
        </is>
      </c>
      <c r="F107" s="2" t="inlineStr">
        <is>
          <t>业务主管</t>
        </is>
      </c>
      <c r="G107" s="2" t="inlineStr">
        <is>
          <t>1994-08</t>
        </is>
      </c>
      <c r="H107" s="2" t="inlineStr">
        <is>
          <t>苏州大学</t>
        </is>
      </c>
      <c r="I107" s="2" t="inlineStr">
        <is>
          <t>其他</t>
        </is>
      </c>
      <c r="J107" s="2" t="inlineStr">
        <is>
          <t>本科</t>
        </is>
      </c>
      <c r="K107" s="2"/>
      <c r="L107" s="6">
        <f>HYPERLINK("https://www.h3yun.com/Form/Attachments/?schemacode=D1483577de63ede327d4760b10664bd57671d7e&amp;bizObjectId=ef845976-8fec-4526-aaa1-417d889a89ee&amp;name=F0000046","点击查看")</f>
        <v>0</v>
      </c>
      <c r="M107" s="2" t="inlineStr">
        <is>
          <t>暂无</t>
        </is>
      </c>
      <c r="N107" s="2" t="inlineStr">
        <is>
          <t>每日工作;每月工作;每季度/阶段性工作;临时/突发工作</t>
        </is>
      </c>
      <c r="O107" s="2" t="inlineStr">
        <is>
          <t>50岁及以上</t>
        </is>
      </c>
      <c r="P107" s="2" t="inlineStr">
        <is>
          <t>B.已婚未育</t>
        </is>
      </c>
      <c r="Q107" s="2" t="inlineStr">
        <is>
          <t>A.否</t>
        </is>
      </c>
      <c r="R107" s="2" t="inlineStr">
        <is>
          <t>A.否</t>
        </is>
      </c>
      <c r="S107" s="2" t="inlineStr">
        <is>
          <t>C.希望工作压力适中，但职责边界更清晰</t>
        </is>
      </c>
      <c r="T107" s="2" t="inlineStr">
        <is>
          <t>C.工作较稳定，但发展空间不足</t>
        </is>
      </c>
      <c r="U107" s="2" t="inlineStr">
        <is>
          <t>C.增加弹性和稳定性</t>
        </is>
      </c>
      <c r="V107" s="2" t="inlineStr">
        <is>
          <t>B.提出过建议，但未推动</t>
        </is>
      </c>
      <c r="W107" s="2" t="inlineStr">
        <is>
          <t>A.缺少上级支持</t>
        </is>
      </c>
      <c r="X107" s="2" t="inlineStr">
        <is>
          <t>C.均衡 (80%-100%)</t>
        </is>
      </c>
      <c r="Y107" s="2" t="inlineStr">
        <is>
          <t>E.临时差旅、突发事件、会议加班</t>
        </is>
      </c>
      <c r="Z107" s="2" t="inlineStr">
        <is>
          <t>整改闭环</t>
        </is>
      </c>
      <c r="AA107" s="2" t="inlineStr">
        <is>
          <t>年度计划编制</t>
        </is>
      </c>
      <c r="AB107" s="2" t="inlineStr">
        <is>
          <t>合规监督</t>
        </is>
      </c>
      <c r="AC107" s="2" t="inlineStr">
        <is>
          <t>B.基本匹配（正常履行）</t>
        </is>
      </c>
      <c r="AD107" s="2" t="inlineStr">
        <is>
          <t>暂无</t>
        </is>
      </c>
      <c r="AE107" s="2" t="inlineStr">
        <is>
          <t>涉及员工个人信息，可否选填。</t>
        </is>
      </c>
      <c r="AF107" s="2"/>
      <c r="AG107" s="2" t="inlineStr">
        <is>
          <t>D.配偶不是公司家属</t>
        </is>
      </c>
      <c r="AH107" s="2"/>
      <c r="AI107" s="7" t="n">
        <v>4</v>
      </c>
      <c r="AJ107" s="7" t="n">
        <v>10</v>
      </c>
      <c r="AK107" s="7" t="n">
        <v>0</v>
      </c>
      <c r="AL107" s="7" t="n">
        <v>0</v>
      </c>
      <c r="AM107" s="7" t="n">
        <v>0.03</v>
      </c>
      <c r="AN107" s="7" t="n">
        <v>0.03</v>
      </c>
      <c r="AO107" s="7" t="n">
        <v>0.06</v>
      </c>
      <c r="AP107" s="7" t="n">
        <v>0.06</v>
      </c>
      <c r="AQ107" s="7" t="n">
        <v>0.36</v>
      </c>
      <c r="AR107" s="7" t="n">
        <v>0.64</v>
      </c>
      <c r="AS107" s="7" t="n">
        <v>4.45</v>
      </c>
      <c r="AT107" s="7" t="n">
        <v>10.73</v>
      </c>
      <c r="AU107" s="7" t="n">
        <v>7.59</v>
      </c>
      <c r="AV107" s="2" t="inlineStr">
        <is>
          <t>均衡</t>
        </is>
      </c>
      <c r="AW107" s="2" t="inlineStr">
        <is>
          <t>一致</t>
        </is>
      </c>
      <c r="AX107" s="2" t="inlineStr">
        <is>
          <t>ef845976-8fec-4526-aaa1-417d889a89ee</t>
        </is>
      </c>
      <c r="AY107" s="2" t="inlineStr">
        <is>
          <t>综合办公室    郭凤霞</t>
        </is>
      </c>
      <c r="AZ107" s="2" t="inlineStr">
        <is>
          <t>Anonymous</t>
        </is>
      </c>
      <c r="BA107" s="2" t="inlineStr">
        <is>
          <t>Anonymous</t>
        </is>
      </c>
      <c r="BB107" s="2"/>
      <c r="BC107" s="2" t="inlineStr">
        <is>
          <t>2026-05-25 08:45:38</t>
        </is>
      </c>
      <c r="BD107" s="3" t="n">
        <v>1975</v>
      </c>
      <c r="BE107" s="3" t="n">
        <v>51</v>
      </c>
      <c r="BF107" s="2" t="inlineStr">
        <is>
          <t>A.无此需求</t>
        </is>
      </c>
      <c r="BG107" s="2" t="inlineStr">
        <is>
          <t>已生效</t>
        </is>
      </c>
      <c r="BH107" s="2" t="inlineStr">
        <is>
          <t>08ac6923-60d1-4b87-bbd7-c204dd0fb799</t>
        </is>
      </c>
      <c r="BI107" s="3" t="n">
        <v>1</v>
      </c>
      <c r="BJ107" s="2"/>
      <c r="BK107" s="2"/>
      <c r="BL107" s="2"/>
      <c r="BM107" s="2"/>
      <c r="BN107" s="2"/>
      <c r="BO107" s="2"/>
      <c r="BP107" s="2"/>
      <c r="BQ107" s="2"/>
      <c r="BR107" s="2"/>
      <c r="BS107" s="2" t="inlineStr">
        <is>
          <t>afd09318-6bfc-4263-b814-ed36ff479b60</t>
        </is>
      </c>
      <c r="BT107" s="3" t="n">
        <v>1</v>
      </c>
      <c r="BU107" s="2" t="inlineStr">
        <is>
          <t>综合管理类</t>
        </is>
      </c>
      <c r="BV107" s="2" t="inlineStr">
        <is>
          <t>档案数字化，库房八防落实。</t>
        </is>
      </c>
      <c r="BW107" s="2" t="inlineStr">
        <is>
          <t>2-5次</t>
        </is>
      </c>
      <c r="BX107" s="3" t="n">
        <v>2</v>
      </c>
      <c r="BY107" s="3" t="n">
        <v>5</v>
      </c>
      <c r="BZ107" s="2" t="inlineStr">
        <is>
          <t>B.2小时以内</t>
        </is>
      </c>
      <c r="CA107" s="7" t="n">
        <v>2</v>
      </c>
      <c r="CB107" s="7" t="n">
        <v>2</v>
      </c>
      <c r="CC107" s="7" t="n">
        <v>4</v>
      </c>
      <c r="CD107" s="7" t="n">
        <v>10</v>
      </c>
      <c r="CE107" s="2" t="inlineStr">
        <is>
          <t>综合管理类</t>
        </is>
      </c>
      <c r="CF107" s="2"/>
      <c r="CG107" s="2" t="inlineStr">
        <is>
          <t>重点任务督办</t>
        </is>
      </c>
      <c r="CH107" s="2" t="inlineStr">
        <is>
          <t>岗位职责</t>
        </is>
      </c>
      <c r="CI107" s="2" t="inlineStr">
        <is>
          <t>重要不紧急</t>
        </is>
      </c>
      <c r="CJ107" s="2" t="inlineStr">
        <is>
          <t>半标准化-有流程框架，需专业经验</t>
        </is>
      </c>
      <c r="CK107" s="2" t="inlineStr">
        <is>
          <t>极少（&lt;5%）</t>
        </is>
      </c>
      <c r="CL107" s="2" t="inlineStr">
        <is>
          <t>时效/强度负荷</t>
        </is>
      </c>
      <c r="CM107" s="2"/>
      <c r="CN107" s="2" t="inlineStr">
        <is>
          <t>89b981f1-4a4f-4724-9767-af8c7c1601d2</t>
        </is>
      </c>
      <c r="CO107" s="3" t="n">
        <v>1</v>
      </c>
      <c r="CP107" s="2"/>
      <c r="CQ107" s="2"/>
      <c r="CR107" s="2"/>
      <c r="CS107" s="3"/>
      <c r="CT107" s="3"/>
      <c r="CU107" s="2"/>
      <c r="CV107" s="3"/>
      <c r="CW107" s="3"/>
      <c r="CX107" s="7" t="n">
        <v>0</v>
      </c>
      <c r="CY107" s="7" t="n">
        <v>0</v>
      </c>
      <c r="CZ107" s="2"/>
      <c r="DA107" s="2"/>
      <c r="DB107" s="2"/>
      <c r="DC107" s="2"/>
      <c r="DD107" s="2"/>
      <c r="DE107" s="2"/>
      <c r="DF107" s="2"/>
      <c r="DG107" s="2"/>
      <c r="DH107" s="2"/>
      <c r="DI107" s="2" t="inlineStr">
        <is>
          <t>a8c242a8-1b2f-45f4-8ab2-0fd3b0787819</t>
        </is>
      </c>
      <c r="DJ107" s="3" t="n">
        <v>1</v>
      </c>
      <c r="DK107" s="2"/>
      <c r="DL107" s="2" t="inlineStr">
        <is>
          <t>数字化汇总统计</t>
        </is>
      </c>
      <c r="DM107" s="2" t="inlineStr">
        <is>
          <t>1次</t>
        </is>
      </c>
      <c r="DN107" s="3" t="n">
        <v>1</v>
      </c>
      <c r="DO107" s="3" t="n">
        <v>1</v>
      </c>
      <c r="DP107" s="2" t="inlineStr">
        <is>
          <t>A.20分钟以内</t>
        </is>
      </c>
      <c r="DQ107" s="7" t="n">
        <v>0.33</v>
      </c>
      <c r="DR107" s="7" t="n">
        <v>0.33</v>
      </c>
      <c r="DS107" s="7" t="n">
        <v>0.33</v>
      </c>
      <c r="DT107" s="7" t="n">
        <v>0.33</v>
      </c>
      <c r="DU107" s="2" t="inlineStr">
        <is>
          <t>数据报表类</t>
        </is>
      </c>
      <c r="DV107" s="2"/>
      <c r="DW107" s="2" t="inlineStr">
        <is>
          <t>月报</t>
        </is>
      </c>
      <c r="DX107" s="2" t="inlineStr">
        <is>
          <t>部门计划</t>
        </is>
      </c>
      <c r="DY107" s="2" t="inlineStr">
        <is>
          <t>重要不紧急</t>
        </is>
      </c>
      <c r="DZ107" s="2" t="inlineStr">
        <is>
          <t>半标准化-有流程框架，需专业经验</t>
        </is>
      </c>
      <c r="EA107" s="2" t="inlineStr">
        <is>
          <t>极少（&lt;5%）</t>
        </is>
      </c>
      <c r="EB107" s="2" t="inlineStr">
        <is>
          <t>时效/强度负荷</t>
        </is>
      </c>
      <c r="EC107" s="2"/>
      <c r="ED107" s="2" t="inlineStr">
        <is>
          <t>a047e67c-c159-4fe9-b101-2fbac9a4f2d0</t>
        </is>
      </c>
      <c r="EE107" s="3" t="n">
        <v>1</v>
      </c>
      <c r="EF107" s="2"/>
      <c r="EG107" s="2" t="inlineStr">
        <is>
          <t>会计，设备，工程类档案，收集整理归档</t>
        </is>
      </c>
      <c r="EH107" s="2" t="inlineStr">
        <is>
          <t>2次</t>
        </is>
      </c>
      <c r="EI107" s="3" t="n">
        <v>2</v>
      </c>
      <c r="EJ107" s="2" t="inlineStr">
        <is>
          <t>E.8小时以上</t>
        </is>
      </c>
      <c r="EK107" s="7" t="n">
        <v>8</v>
      </c>
      <c r="EL107" s="7" t="n">
        <v>8</v>
      </c>
      <c r="EM107" s="7" t="n">
        <v>16</v>
      </c>
      <c r="EN107" s="7" t="n">
        <v>16</v>
      </c>
      <c r="EO107" s="2" t="inlineStr">
        <is>
          <t>其他</t>
        </is>
      </c>
      <c r="EP107" s="2" t="inlineStr">
        <is>
          <t>收集整理归档</t>
        </is>
      </c>
      <c r="EQ107" s="2"/>
      <c r="ER107" s="2" t="inlineStr">
        <is>
          <t>岗位职责</t>
        </is>
      </c>
      <c r="ES107" s="2" t="inlineStr">
        <is>
          <t>重要不紧急</t>
        </is>
      </c>
      <c r="ET107" s="2" t="inlineStr">
        <is>
          <t>半标准化-有流程框架，需专业经验</t>
        </is>
      </c>
      <c r="EU107" s="2" t="inlineStr">
        <is>
          <t>极少（&lt;5%）</t>
        </is>
      </c>
      <c r="EV107" s="2" t="inlineStr">
        <is>
          <t>时效/强度负荷</t>
        </is>
      </c>
      <c r="EW107" s="2"/>
      <c r="EX107" s="2" t="inlineStr">
        <is>
          <t>5003f2e2-b263-4d71-aefe-e8384c2dc884</t>
        </is>
      </c>
      <c r="EY107" s="3" t="n">
        <v>1</v>
      </c>
      <c r="EZ107" s="2"/>
      <c r="FA107" s="2" t="inlineStr">
        <is>
          <t>外出采买，</t>
        </is>
      </c>
      <c r="FB107" s="2" t="inlineStr">
        <is>
          <t>每月1-2次</t>
        </is>
      </c>
      <c r="FC107" s="2" t="inlineStr">
        <is>
          <t>月</t>
        </is>
      </c>
      <c r="FD107" s="3" t="n">
        <v>1</v>
      </c>
      <c r="FE107" s="3" t="n">
        <v>2</v>
      </c>
      <c r="FF107" s="2" t="inlineStr">
        <is>
          <t>C.2-4小时</t>
        </is>
      </c>
      <c r="FG107" s="7" t="n">
        <v>2</v>
      </c>
      <c r="FH107" s="7" t="n">
        <v>4</v>
      </c>
      <c r="FI107" s="7" t="n">
        <v>2</v>
      </c>
      <c r="FJ107" s="7" t="n">
        <v>8</v>
      </c>
      <c r="FK107" s="7" t="n">
        <v>0</v>
      </c>
      <c r="FL107" s="7" t="n">
        <v>0</v>
      </c>
      <c r="FM107" s="7" t="n">
        <v>0</v>
      </c>
      <c r="FN107" s="7" t="n">
        <v>0</v>
      </c>
      <c r="FO107" s="2" t="inlineStr">
        <is>
          <t>行政事务类</t>
        </is>
      </c>
      <c r="FP107" s="2"/>
      <c r="FQ107" s="2" t="inlineStr">
        <is>
          <t>接待保障</t>
        </is>
      </c>
      <c r="FR107" s="2" t="inlineStr">
        <is>
          <t>部门计划</t>
        </is>
      </c>
      <c r="FS107" s="2" t="inlineStr">
        <is>
          <t>重要不紧急</t>
        </is>
      </c>
      <c r="FT107" s="2" t="inlineStr">
        <is>
          <t>半标准化-有流程框架，需专业经验</t>
        </is>
      </c>
      <c r="FU107" s="2" t="inlineStr">
        <is>
          <t>极少（&lt;5%）</t>
        </is>
      </c>
      <c r="FV107" s="2" t="inlineStr">
        <is>
          <t>沟通/协调负荷</t>
        </is>
      </c>
      <c r="FW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t="inlineStr">
        <is>
          <t>5866e5ec-3e33-4f9f-90f3-3de3cfdceee9</t>
        </is>
      </c>
      <c r="DJ108" s="3" t="n">
        <v>2</v>
      </c>
      <c r="DK108" s="2"/>
      <c r="DL108" s="2" t="inlineStr">
        <is>
          <t>档案收集，借阅利用统计</t>
        </is>
      </c>
      <c r="DM108" s="2" t="inlineStr">
        <is>
          <t>1次</t>
        </is>
      </c>
      <c r="DN108" s="3" t="n">
        <v>1</v>
      </c>
      <c r="DO108" s="3" t="n">
        <v>1</v>
      </c>
      <c r="DP108" s="2" t="inlineStr">
        <is>
          <t>A.20分钟以内</t>
        </is>
      </c>
      <c r="DQ108" s="7" t="n">
        <v>0.33</v>
      </c>
      <c r="DR108" s="7" t="n">
        <v>0.33</v>
      </c>
      <c r="DS108" s="7" t="n">
        <v>0.33</v>
      </c>
      <c r="DT108" s="7" t="n">
        <v>0.33</v>
      </c>
      <c r="DU108" s="2" t="inlineStr">
        <is>
          <t>数据报表类</t>
        </is>
      </c>
      <c r="DV108" s="2"/>
      <c r="DW108" s="2" t="inlineStr">
        <is>
          <t>专项统计</t>
        </is>
      </c>
      <c r="DX108" s="2" t="inlineStr">
        <is>
          <t>岗位职责</t>
        </is>
      </c>
      <c r="DY108" s="2" t="inlineStr">
        <is>
          <t>重要不紧急</t>
        </is>
      </c>
      <c r="DZ108" s="2" t="inlineStr">
        <is>
          <t>半标准化-有流程框架，需专业经验</t>
        </is>
      </c>
      <c r="EA108" s="2" t="inlineStr">
        <is>
          <t>极少（&lt;5%）</t>
        </is>
      </c>
      <c r="EB108" s="2" t="inlineStr">
        <is>
          <t>脑力/复杂度负荷</t>
        </is>
      </c>
      <c r="EC108" s="2"/>
      <c r="ED108" s="2"/>
      <c r="EE108" s="2"/>
      <c r="EF108" s="2"/>
      <c r="EG108" s="2"/>
      <c r="EH108" s="2"/>
      <c r="EI108" s="2"/>
      <c r="EJ108" s="2"/>
      <c r="EK108" s="2"/>
      <c r="EL108" s="2"/>
      <c r="EM108" s="2"/>
      <c r="EN108" s="2"/>
      <c r="EO108" s="2"/>
      <c r="EP108" s="2"/>
      <c r="EQ108" s="2"/>
      <c r="ER108" s="2"/>
      <c r="ES108" s="2"/>
      <c r="ET108" s="2"/>
      <c r="EU108" s="2"/>
      <c r="EV108" s="2"/>
      <c r="EW108" s="2"/>
      <c r="EX108" s="2" t="inlineStr">
        <is>
          <t>bcf490f2-77a4-4c9d-9d58-9c82fa3c3d12</t>
        </is>
      </c>
      <c r="EY108" s="3" t="n">
        <v>2</v>
      </c>
      <c r="EZ108" s="2"/>
      <c r="FA108" s="2" t="inlineStr">
        <is>
          <t>档案借阅</t>
        </is>
      </c>
      <c r="FB108" s="2" t="inlineStr">
        <is>
          <t>每月3次以上</t>
        </is>
      </c>
      <c r="FC108" s="2" t="inlineStr">
        <is>
          <t>月</t>
        </is>
      </c>
      <c r="FD108" s="3" t="n">
        <v>3</v>
      </c>
      <c r="FE108" s="3" t="n">
        <v>3</v>
      </c>
      <c r="FF108" s="2" t="inlineStr">
        <is>
          <t>B.2小时以内</t>
        </is>
      </c>
      <c r="FG108" s="7" t="n">
        <v>2</v>
      </c>
      <c r="FH108" s="7" t="n">
        <v>2</v>
      </c>
      <c r="FI108" s="7" t="n">
        <v>6</v>
      </c>
      <c r="FJ108" s="7" t="n">
        <v>6</v>
      </c>
      <c r="FK108" s="7" t="n">
        <v>0</v>
      </c>
      <c r="FL108" s="7" t="n">
        <v>0</v>
      </c>
      <c r="FM108" s="7" t="n">
        <v>0</v>
      </c>
      <c r="FN108" s="7" t="n">
        <v>0</v>
      </c>
      <c r="FO108" s="2" t="inlineStr">
        <is>
          <t>流程审批类</t>
        </is>
      </c>
      <c r="FP108" s="2"/>
      <c r="FQ108" s="2" t="inlineStr">
        <is>
          <t>协同办公流程</t>
        </is>
      </c>
      <c r="FR108" s="2" t="inlineStr">
        <is>
          <t>岗位职责</t>
        </is>
      </c>
      <c r="FS108" s="2" t="inlineStr">
        <is>
          <t>重要且紧急</t>
        </is>
      </c>
      <c r="FT108" s="2" t="inlineStr">
        <is>
          <t>半标准化-有流程框架，需专业经验</t>
        </is>
      </c>
      <c r="FU108" s="2" t="inlineStr">
        <is>
          <t>极少（&lt;5%）</t>
        </is>
      </c>
      <c r="FV108" s="2" t="inlineStr">
        <is>
          <t>时效/强度负荷</t>
        </is>
      </c>
      <c r="FW108" s="2"/>
    </row>
    <row r="109">
      <c r="A109" s="2" t="inlineStr">
        <is>
          <t>2026-05-21 16:56:11</t>
        </is>
      </c>
      <c r="B109" s="2" t="inlineStr">
        <is>
          <t>吴利云</t>
        </is>
      </c>
      <c r="C109" s="2" t="inlineStr">
        <is>
          <t>综合办公室</t>
        </is>
      </c>
      <c r="D109" s="2" t="inlineStr">
        <is>
          <t>女</t>
        </is>
      </c>
      <c r="E109" s="2" t="inlineStr">
        <is>
          <t>341225198103031920</t>
        </is>
      </c>
      <c r="F109" s="2" t="inlineStr">
        <is>
          <t>副高级业务主管</t>
        </is>
      </c>
      <c r="G109" s="2" t="inlineStr">
        <is>
          <t>2005-08</t>
        </is>
      </c>
      <c r="H109" s="2" t="inlineStr">
        <is>
          <t>安徽省铜陵职业技术学院</t>
        </is>
      </c>
      <c r="I109" s="2" t="inlineStr">
        <is>
          <t>其他</t>
        </is>
      </c>
      <c r="J109" s="2" t="inlineStr">
        <is>
          <t>大专</t>
        </is>
      </c>
      <c r="K109" s="2"/>
      <c r="L109" s="6">
        <f>HYPERLINK("https://www.h3yun.com/Form/Attachments/?schemacode=D1483577de63ede327d4760b10664bd57671d7e&amp;bizObjectId=a2a4e281-0be6-48dd-832b-fa6c0dd6ad26&amp;name=F0000046","点击查看")</f>
        <v>0</v>
      </c>
      <c r="M109" s="2" t="inlineStr">
        <is>
          <t>无</t>
        </is>
      </c>
      <c r="N109" s="2" t="inlineStr">
        <is>
          <t>每日工作;每月工作;临时/突发工作</t>
        </is>
      </c>
      <c r="O109" s="2" t="inlineStr">
        <is>
          <t>41-45岁</t>
        </is>
      </c>
      <c r="P109" s="2" t="inlineStr">
        <is>
          <t>C.已婚已育</t>
        </is>
      </c>
      <c r="Q109" s="2" t="inlineStr">
        <is>
          <t>B.是，主要照护子女</t>
        </is>
      </c>
      <c r="R109" s="2" t="inlineStr">
        <is>
          <t>A.否</t>
        </is>
      </c>
      <c r="S109" s="2" t="inlineStr">
        <is>
          <t>A.保持当前工作内容和节奏，收入相对稳定即可</t>
        </is>
      </c>
      <c r="T109" s="2" t="inlineStr">
        <is>
          <t>A.基本满意，希望保持</t>
        </is>
      </c>
      <c r="U109" s="2" t="inlineStr">
        <is>
          <t>F.提高支持资源或人员配置</t>
        </is>
      </c>
      <c r="V109" s="2" t="inlineStr">
        <is>
          <t>D.已形成较稳定优化做法</t>
        </is>
      </c>
      <c r="W109" s="2"/>
      <c r="X109" s="2" t="inlineStr">
        <is>
          <t>C.均衡 (80%-100%)</t>
        </is>
      </c>
      <c r="Y109" s="2" t="inlineStr">
        <is>
          <t>G.接收到任务分配单完成周期内要求的加班</t>
        </is>
      </c>
      <c r="Z109" s="2" t="inlineStr">
        <is>
          <t>无</t>
        </is>
      </c>
      <c r="AA109" s="2" t="inlineStr">
        <is>
          <t>无</t>
        </is>
      </c>
      <c r="AB109" s="2" t="inlineStr">
        <is>
          <t>专项检查</t>
        </is>
      </c>
      <c r="AC109" s="2" t="inlineStr">
        <is>
          <t>B.基本匹配（正常履行）</t>
        </is>
      </c>
      <c r="AD109" s="2" t="inlineStr">
        <is>
          <t>无</t>
        </is>
      </c>
      <c r="AE109" s="2"/>
      <c r="AF109" s="2"/>
      <c r="AG109" s="2" t="inlineStr">
        <is>
          <t>A.配偶为公司家属，常驻南京，不影响</t>
        </is>
      </c>
      <c r="AH109" s="2" t="inlineStr">
        <is>
          <t>C.无意向</t>
        </is>
      </c>
      <c r="AI109" s="7" t="n">
        <v>4</v>
      </c>
      <c r="AJ109" s="7" t="n">
        <v>8</v>
      </c>
      <c r="AK109" s="7" t="n">
        <v>0</v>
      </c>
      <c r="AL109" s="7" t="n">
        <v>0</v>
      </c>
      <c r="AM109" s="7" t="n">
        <v>0.18</v>
      </c>
      <c r="AN109" s="7" t="n">
        <v>0.55</v>
      </c>
      <c r="AO109" s="7" t="n">
        <v>0</v>
      </c>
      <c r="AP109" s="7" t="n">
        <v>0</v>
      </c>
      <c r="AQ109" s="7" t="n">
        <v>0.02</v>
      </c>
      <c r="AR109" s="7" t="n">
        <v>0.06</v>
      </c>
      <c r="AS109" s="7" t="n">
        <v>4.2</v>
      </c>
      <c r="AT109" s="7" t="n">
        <v>8.61</v>
      </c>
      <c r="AU109" s="7" t="n">
        <v>6.41</v>
      </c>
      <c r="AV109" s="2" t="inlineStr">
        <is>
          <t>均衡</t>
        </is>
      </c>
      <c r="AW109" s="2" t="inlineStr">
        <is>
          <t>一致</t>
        </is>
      </c>
      <c r="AX109" s="2" t="inlineStr">
        <is>
          <t>a2a4e281-0be6-48dd-832b-fa6c0dd6ad26</t>
        </is>
      </c>
      <c r="AY109" s="2" t="inlineStr">
        <is>
          <t>综合办公室    吴利云</t>
        </is>
      </c>
      <c r="AZ109" s="2" t="inlineStr">
        <is>
          <t>Anonymous</t>
        </is>
      </c>
      <c r="BA109" s="2" t="inlineStr">
        <is>
          <t>Anonymous</t>
        </is>
      </c>
      <c r="BB109" s="2"/>
      <c r="BC109" s="2" t="inlineStr">
        <is>
          <t>2026-05-21 16:56:11</t>
        </is>
      </c>
      <c r="BD109" s="3" t="n">
        <v>1981</v>
      </c>
      <c r="BE109" s="3" t="n">
        <v>45</v>
      </c>
      <c r="BF109" s="2" t="inlineStr">
        <is>
          <t>A.无此需求</t>
        </is>
      </c>
      <c r="BG109" s="2" t="inlineStr">
        <is>
          <t>已生效</t>
        </is>
      </c>
      <c r="BH109" s="2" t="inlineStr">
        <is>
          <t>6ef25bed-535e-459e-a909-c2045fe31c7b</t>
        </is>
      </c>
      <c r="BI109" s="3" t="n">
        <v>1</v>
      </c>
      <c r="BJ109" s="2"/>
      <c r="BK109" s="2"/>
      <c r="BL109" s="2"/>
      <c r="BM109" s="2"/>
      <c r="BN109" s="2"/>
      <c r="BO109" s="2"/>
      <c r="BP109" s="2"/>
      <c r="BQ109" s="2"/>
      <c r="BR109" s="2"/>
      <c r="BS109" s="2" t="inlineStr">
        <is>
          <t>b353b2e4-bcc3-4b3a-ba50-fe355665d6f7</t>
        </is>
      </c>
      <c r="BT109" s="3" t="n">
        <v>1</v>
      </c>
      <c r="BU109" s="2" t="inlineStr">
        <is>
          <t>其他</t>
        </is>
      </c>
      <c r="BV109" s="2" t="inlineStr">
        <is>
          <t>每日食材数量，品质检查，人员健康晨检，卫生检查，流水日清，每日留样</t>
        </is>
      </c>
      <c r="BW109" s="2" t="inlineStr">
        <is>
          <t>1次</t>
        </is>
      </c>
      <c r="BX109" s="3" t="n">
        <v>1</v>
      </c>
      <c r="BY109" s="3" t="n">
        <v>1</v>
      </c>
      <c r="BZ109" s="2" t="inlineStr">
        <is>
          <t>D.4-8小时</t>
        </is>
      </c>
      <c r="CA109" s="7" t="n">
        <v>4</v>
      </c>
      <c r="CB109" s="7" t="n">
        <v>8</v>
      </c>
      <c r="CC109" s="7" t="n">
        <v>4</v>
      </c>
      <c r="CD109" s="7" t="n">
        <v>8</v>
      </c>
      <c r="CE109" s="2" t="inlineStr">
        <is>
          <t>其他</t>
        </is>
      </c>
      <c r="CF109" s="2"/>
      <c r="CG109" s="2"/>
      <c r="CH109" s="2" t="inlineStr">
        <is>
          <t>岗位职责</t>
        </is>
      </c>
      <c r="CI109" s="2" t="inlineStr">
        <is>
          <t>重要且紧急</t>
        </is>
      </c>
      <c r="CJ109" s="2" t="inlineStr">
        <is>
          <t>高度标准化-有成熟SOP，照做即可</t>
        </is>
      </c>
      <c r="CK109" s="2" t="inlineStr">
        <is>
          <t>极少（&lt;5%）</t>
        </is>
      </c>
      <c r="CL109" s="2" t="inlineStr">
        <is>
          <t>时效/强度负荷</t>
        </is>
      </c>
      <c r="CM109" s="2"/>
      <c r="CN109" s="2" t="inlineStr">
        <is>
          <t>1a2b3040-261c-4e85-a3a5-65c9150fd05e</t>
        </is>
      </c>
      <c r="CO109" s="3" t="n">
        <v>1</v>
      </c>
      <c r="CP109" s="2"/>
      <c r="CQ109" s="2"/>
      <c r="CR109" s="2"/>
      <c r="CS109" s="3"/>
      <c r="CT109" s="3"/>
      <c r="CU109" s="2"/>
      <c r="CV109" s="3"/>
      <c r="CW109" s="3"/>
      <c r="CX109" s="7" t="n">
        <v>0</v>
      </c>
      <c r="CY109" s="7" t="n">
        <v>0</v>
      </c>
      <c r="CZ109" s="2"/>
      <c r="DA109" s="2"/>
      <c r="DB109" s="2"/>
      <c r="DC109" s="2"/>
      <c r="DD109" s="2"/>
      <c r="DE109" s="2"/>
      <c r="DF109" s="2"/>
      <c r="DG109" s="2"/>
      <c r="DH109" s="2"/>
      <c r="DI109" s="2" t="inlineStr">
        <is>
          <t>99a36ea4-67a6-44bd-a24c-a3688056a0e4</t>
        </is>
      </c>
      <c r="DJ109" s="3" t="n">
        <v>1</v>
      </c>
      <c r="DK109" s="2"/>
      <c r="DL109" s="2" t="inlineStr">
        <is>
          <t>月底核算每月盈亏 ，采购食材</t>
        </is>
      </c>
      <c r="DM109" s="2" t="inlineStr">
        <is>
          <t>2-3次</t>
        </is>
      </c>
      <c r="DN109" s="3" t="n">
        <v>2</v>
      </c>
      <c r="DO109" s="3" t="n">
        <v>3</v>
      </c>
      <c r="DP109" s="2" t="inlineStr">
        <is>
          <t>C.2-4小时</t>
        </is>
      </c>
      <c r="DQ109" s="7" t="n">
        <v>2</v>
      </c>
      <c r="DR109" s="7" t="n">
        <v>4</v>
      </c>
      <c r="DS109" s="7" t="n">
        <v>4</v>
      </c>
      <c r="DT109" s="7" t="n">
        <v>12</v>
      </c>
      <c r="DU109" s="2" t="inlineStr">
        <is>
          <t>其他</t>
        </is>
      </c>
      <c r="DV109" s="2"/>
      <c r="DW109" s="2"/>
      <c r="DX109" s="2" t="inlineStr">
        <is>
          <t>岗位职责</t>
        </is>
      </c>
      <c r="DY109" s="2" t="inlineStr">
        <is>
          <t>重要不紧急</t>
        </is>
      </c>
      <c r="DZ109" s="2" t="inlineStr">
        <is>
          <t>非标准化-无先例参考，需创新协调</t>
        </is>
      </c>
      <c r="EA109" s="2" t="inlineStr">
        <is>
          <t>极少（&lt;5%）</t>
        </is>
      </c>
      <c r="EB109" s="2" t="inlineStr">
        <is>
          <t>脑力/复杂度负荷</t>
        </is>
      </c>
      <c r="EC109" s="2"/>
      <c r="ED109" s="2" t="inlineStr">
        <is>
          <t>c50e9a16-1819-4904-975e-14da5a2ef66b</t>
        </is>
      </c>
      <c r="EE109" s="3" t="n">
        <v>1</v>
      </c>
      <c r="EF109" s="2"/>
      <c r="EG109" s="2"/>
      <c r="EH109" s="2"/>
      <c r="EI109" s="3"/>
      <c r="EJ109" s="2"/>
      <c r="EK109" s="3"/>
      <c r="EL109" s="3"/>
      <c r="EM109" s="7" t="n">
        <v>0</v>
      </c>
      <c r="EN109" s="7" t="n">
        <v>0</v>
      </c>
      <c r="EO109" s="2"/>
      <c r="EP109" s="2"/>
      <c r="EQ109" s="2"/>
      <c r="ER109" s="2"/>
      <c r="ES109" s="2"/>
      <c r="ET109" s="2"/>
      <c r="EU109" s="2"/>
      <c r="EV109" s="2"/>
      <c r="EW109" s="2"/>
      <c r="EX109" s="2" t="inlineStr">
        <is>
          <t>c415d10a-76a7-4de5-a488-b9b62b5a9e78</t>
        </is>
      </c>
      <c r="EY109" s="3" t="n">
        <v>1</v>
      </c>
      <c r="EZ109" s="2"/>
      <c r="FA109" s="2" t="inlineStr">
        <is>
          <t>接待工作</t>
        </is>
      </c>
      <c r="FB109" s="2" t="inlineStr">
        <is>
          <t>每年1-2次</t>
        </is>
      </c>
      <c r="FC109" s="2" t="inlineStr">
        <is>
          <t>年</t>
        </is>
      </c>
      <c r="FD109" s="3" t="n">
        <v>1</v>
      </c>
      <c r="FE109" s="3" t="n">
        <v>2</v>
      </c>
      <c r="FF109" s="2" t="inlineStr">
        <is>
          <t>D.4-8小时</t>
        </is>
      </c>
      <c r="FG109" s="7" t="n">
        <v>4</v>
      </c>
      <c r="FH109" s="7" t="n">
        <v>8</v>
      </c>
      <c r="FI109" s="7" t="n">
        <v>0</v>
      </c>
      <c r="FJ109" s="7" t="n">
        <v>0</v>
      </c>
      <c r="FK109" s="7" t="n">
        <v>0</v>
      </c>
      <c r="FL109" s="7" t="n">
        <v>0</v>
      </c>
      <c r="FM109" s="7" t="n">
        <v>4</v>
      </c>
      <c r="FN109" s="7" t="n">
        <v>16</v>
      </c>
      <c r="FO109" s="2" t="inlineStr">
        <is>
          <t>其他</t>
        </is>
      </c>
      <c r="FP109" s="2"/>
      <c r="FQ109" s="2"/>
      <c r="FR109" s="2" t="inlineStr">
        <is>
          <t>上级指令</t>
        </is>
      </c>
      <c r="FS109" s="2" t="inlineStr">
        <is>
          <t>重要且紧急</t>
        </is>
      </c>
      <c r="FT109" s="2" t="inlineStr">
        <is>
          <t>非标准化-无先例参考，需创新协调</t>
        </is>
      </c>
      <c r="FU109" s="2" t="inlineStr">
        <is>
          <t>极少（&lt;5%）</t>
        </is>
      </c>
      <c r="FV109" s="2" t="inlineStr">
        <is>
          <t>时效/强度负荷</t>
        </is>
      </c>
      <c r="FW109" s="2"/>
    </row>
    <row r="110">
      <c r="A110" s="2" t="inlineStr">
        <is>
          <t>2026-05-21 16:42:16</t>
        </is>
      </c>
      <c r="B110" s="2" t="inlineStr">
        <is>
          <t>王璐璐</t>
        </is>
      </c>
      <c r="C110" s="2" t="inlineStr">
        <is>
          <t>资产财务部</t>
        </is>
      </c>
      <c r="D110" s="2" t="inlineStr">
        <is>
          <t>女</t>
        </is>
      </c>
      <c r="E110" s="2" t="inlineStr">
        <is>
          <t>320882199111171229</t>
        </is>
      </c>
      <c r="F110" s="2" t="inlineStr">
        <is>
          <t>业务主办A</t>
        </is>
      </c>
      <c r="G110" s="2" t="inlineStr">
        <is>
          <t>2019-04</t>
        </is>
      </c>
      <c r="H110" s="2" t="inlineStr">
        <is>
          <t>江苏财经职业技术学院</t>
        </is>
      </c>
      <c r="I110" s="2" t="inlineStr">
        <is>
          <t>会计</t>
        </is>
      </c>
      <c r="J110" s="2" t="inlineStr">
        <is>
          <t>大专</t>
        </is>
      </c>
      <c r="K110" s="2"/>
      <c r="L110" s="6">
        <f>HYPERLINK("https://www.h3yun.com/Form/Attachments/?schemacode=D1483577de63ede327d4760b10664bd57671d7e&amp;bizObjectId=c949c4ac-e6ba-478e-bdc3-a2d6068e7d76&amp;name=F0000046","点击查看")</f>
        <v>0</v>
      </c>
      <c r="M110" s="2" t="inlineStr">
        <is>
          <t>无</t>
        </is>
      </c>
      <c r="N110" s="2" t="inlineStr">
        <is>
          <t>每月工作;临时/突发工作</t>
        </is>
      </c>
      <c r="O110" s="2" t="inlineStr">
        <is>
          <t>31-35岁</t>
        </is>
      </c>
      <c r="P110" s="2" t="inlineStr">
        <is>
          <t>C.已婚已育</t>
        </is>
      </c>
      <c r="Q110" s="2" t="inlineStr">
        <is>
          <t>B.是，主要照护子女</t>
        </is>
      </c>
      <c r="R110" s="2" t="inlineStr">
        <is>
          <t>B.有1名</t>
        </is>
      </c>
      <c r="S110" s="2" t="inlineStr">
        <is>
          <t>A.保持当前工作内容和节奏，收入相对稳定即可</t>
        </is>
      </c>
      <c r="T110" s="2" t="inlineStr">
        <is>
          <t>A.基本满意，希望保持</t>
        </is>
      </c>
      <c r="U110" s="2" t="inlineStr">
        <is>
          <t>D.明确职责边界</t>
        </is>
      </c>
      <c r="V110" s="2" t="inlineStr">
        <is>
          <t>D.已形成较稳定优化做法</t>
        </is>
      </c>
      <c r="W110" s="2"/>
      <c r="X110" s="2" t="inlineStr">
        <is>
          <t>B.满负荷 (100%-120%)</t>
        </is>
      </c>
      <c r="Y110" s="2" t="inlineStr">
        <is>
          <t>G.接收到任务分配单完成周期内要求的加班</t>
        </is>
      </c>
      <c r="Z110" s="2" t="inlineStr">
        <is>
          <t>专业问题协调</t>
        </is>
      </c>
      <c r="AA110" s="2" t="inlineStr">
        <is>
          <t>信息化管理流程</t>
        </is>
      </c>
      <c r="AB110" s="2" t="inlineStr">
        <is>
          <t>费用报销流程</t>
        </is>
      </c>
      <c r="AC110" s="2" t="inlineStr">
        <is>
          <t>B.基本匹配（正常履行）</t>
        </is>
      </c>
      <c r="AD110" s="2" t="inlineStr">
        <is>
          <t>无</t>
        </is>
      </c>
      <c r="AE110" s="2" t="inlineStr">
        <is>
          <t>无</t>
        </is>
      </c>
      <c r="AF110" s="2" t="inlineStr">
        <is>
          <t>无</t>
        </is>
      </c>
      <c r="AG110" s="2" t="inlineStr">
        <is>
          <t>D.配偶不是公司家属</t>
        </is>
      </c>
      <c r="AH110" s="2" t="inlineStr">
        <is>
          <t>C.无意向</t>
        </is>
      </c>
      <c r="AI110" s="7" t="n">
        <v>0</v>
      </c>
      <c r="AJ110" s="7" t="n">
        <v>0</v>
      </c>
      <c r="AK110" s="7" t="n">
        <v>0</v>
      </c>
      <c r="AL110" s="7" t="n">
        <v>0</v>
      </c>
      <c r="AM110" s="7" t="n">
        <v>2.39</v>
      </c>
      <c r="AN110" s="7" t="n">
        <v>4.67</v>
      </c>
      <c r="AO110" s="7" t="n">
        <v>0</v>
      </c>
      <c r="AP110" s="7" t="n">
        <v>0</v>
      </c>
      <c r="AQ110" s="7" t="n">
        <v>0.19</v>
      </c>
      <c r="AR110" s="7" t="n">
        <v>0.74</v>
      </c>
      <c r="AS110" s="7" t="n">
        <v>2.58</v>
      </c>
      <c r="AT110" s="7" t="n">
        <v>5.41</v>
      </c>
      <c r="AU110" s="7" t="n">
        <v>4</v>
      </c>
      <c r="AV110" s="2" t="inlineStr">
        <is>
          <t>非饱和</t>
        </is>
      </c>
      <c r="AW110" s="2" t="inlineStr">
        <is>
          <t>不一致</t>
        </is>
      </c>
      <c r="AX110" s="2" t="inlineStr">
        <is>
          <t>c949c4ac-e6ba-478e-bdc3-a2d6068e7d76</t>
        </is>
      </c>
      <c r="AY110" s="2" t="inlineStr">
        <is>
          <t>资产财务部    王璐璐</t>
        </is>
      </c>
      <c r="AZ110" s="2" t="inlineStr">
        <is>
          <t>Anonymous</t>
        </is>
      </c>
      <c r="BA110" s="2" t="inlineStr">
        <is>
          <t>Anonymous</t>
        </is>
      </c>
      <c r="BB110" s="2"/>
      <c r="BC110" s="2" t="inlineStr">
        <is>
          <t>2026-05-21 16:42:16</t>
        </is>
      </c>
      <c r="BD110" s="3" t="n">
        <v>1991</v>
      </c>
      <c r="BE110" s="3" t="n">
        <v>35</v>
      </c>
      <c r="BF110" s="2" t="inlineStr">
        <is>
          <t>A.无此需求</t>
        </is>
      </c>
      <c r="BG110" s="2" t="inlineStr">
        <is>
          <t>已生效</t>
        </is>
      </c>
      <c r="BH110" s="2" t="inlineStr">
        <is>
          <t>5f7cabe7-5b7b-48d2-851e-30eb4ff586d5</t>
        </is>
      </c>
      <c r="BI110" s="3" t="n">
        <v>1</v>
      </c>
      <c r="BJ110" s="2"/>
      <c r="BK110" s="2"/>
      <c r="BL110" s="2"/>
      <c r="BM110" s="2"/>
      <c r="BN110" s="2"/>
      <c r="BO110" s="2"/>
      <c r="BP110" s="2"/>
      <c r="BQ110" s="2"/>
      <c r="BR110" s="2"/>
      <c r="BS110" s="2" t="inlineStr">
        <is>
          <t>66d70f17-b992-42ac-84d4-3ecf015d142c</t>
        </is>
      </c>
      <c r="BT110" s="3" t="n">
        <v>1</v>
      </c>
      <c r="BU110" s="2"/>
      <c r="BV110" s="2"/>
      <c r="BW110" s="2"/>
      <c r="BX110" s="3"/>
      <c r="BY110" s="3"/>
      <c r="BZ110" s="2"/>
      <c r="CA110" s="3"/>
      <c r="CB110" s="3"/>
      <c r="CC110" s="7" t="n">
        <v>0</v>
      </c>
      <c r="CD110" s="7" t="n">
        <v>0</v>
      </c>
      <c r="CE110" s="2"/>
      <c r="CF110" s="2"/>
      <c r="CG110" s="2"/>
      <c r="CH110" s="2"/>
      <c r="CI110" s="2"/>
      <c r="CJ110" s="2"/>
      <c r="CK110" s="2"/>
      <c r="CL110" s="2"/>
      <c r="CM110" s="2"/>
      <c r="CN110" s="2" t="inlineStr">
        <is>
          <t>82091fc4-48a6-4d40-b9cd-3a191a2c69dc</t>
        </is>
      </c>
      <c r="CO110" s="3" t="n">
        <v>1</v>
      </c>
      <c r="CP110" s="2"/>
      <c r="CQ110" s="2"/>
      <c r="CR110" s="2"/>
      <c r="CS110" s="3"/>
      <c r="CT110" s="3"/>
      <c r="CU110" s="2"/>
      <c r="CV110" s="3"/>
      <c r="CW110" s="3"/>
      <c r="CX110" s="7" t="n">
        <v>0</v>
      </c>
      <c r="CY110" s="7" t="n">
        <v>0</v>
      </c>
      <c r="CZ110" s="2"/>
      <c r="DA110" s="2"/>
      <c r="DB110" s="2"/>
      <c r="DC110" s="2"/>
      <c r="DD110" s="2"/>
      <c r="DE110" s="2"/>
      <c r="DF110" s="2"/>
      <c r="DG110" s="2"/>
      <c r="DH110" s="2"/>
      <c r="DI110" s="2" t="inlineStr">
        <is>
          <t>1ef437ec-47e9-4e24-a38c-93f8d8b4d45f</t>
        </is>
      </c>
      <c r="DJ110" s="3" t="n">
        <v>1</v>
      </c>
      <c r="DK110" s="2"/>
      <c r="DL110" s="2" t="inlineStr">
        <is>
          <t>pms及浪潮付款流程</t>
        </is>
      </c>
      <c r="DM110" s="2" t="inlineStr">
        <is>
          <t>8次以上</t>
        </is>
      </c>
      <c r="DN110" s="3" t="n">
        <v>8</v>
      </c>
      <c r="DO110" s="3" t="n">
        <v>8</v>
      </c>
      <c r="DP110" s="2" t="inlineStr">
        <is>
          <t>A.20分钟以内</t>
        </is>
      </c>
      <c r="DQ110" s="7" t="n">
        <v>0.33</v>
      </c>
      <c r="DR110" s="7" t="n">
        <v>0.33</v>
      </c>
      <c r="DS110" s="7" t="n">
        <v>2.64</v>
      </c>
      <c r="DT110" s="7" t="n">
        <v>2.64</v>
      </c>
      <c r="DU110" s="2" t="inlineStr">
        <is>
          <t>流程审批类</t>
        </is>
      </c>
      <c r="DV110" s="2"/>
      <c r="DW110" s="2" t="inlineStr">
        <is>
          <t>财务管理流程</t>
        </is>
      </c>
      <c r="DX110" s="2" t="inlineStr">
        <is>
          <t>岗位职责</t>
        </is>
      </c>
      <c r="DY110" s="2" t="inlineStr">
        <is>
          <t>重要且紧急</t>
        </is>
      </c>
      <c r="DZ110" s="2" t="inlineStr">
        <is>
          <t>半标准化-有流程框架，需专业经验</t>
        </is>
      </c>
      <c r="EA110" s="2" t="inlineStr">
        <is>
          <t>极少（&lt;5%）</t>
        </is>
      </c>
      <c r="EB110" s="2" t="inlineStr">
        <is>
          <t>责任/风险负荷</t>
        </is>
      </c>
      <c r="EC110" s="2"/>
      <c r="ED110" s="2" t="inlineStr">
        <is>
          <t>db0ec89a-8b31-4959-9caa-c4f999c725d6</t>
        </is>
      </c>
      <c r="EE110" s="3" t="n">
        <v>1</v>
      </c>
      <c r="EF110" s="2"/>
      <c r="EG110" s="2"/>
      <c r="EH110" s="2"/>
      <c r="EI110" s="3"/>
      <c r="EJ110" s="2"/>
      <c r="EK110" s="3"/>
      <c r="EL110" s="3"/>
      <c r="EM110" s="7" t="n">
        <v>0</v>
      </c>
      <c r="EN110" s="7" t="n">
        <v>0</v>
      </c>
      <c r="EO110" s="2"/>
      <c r="EP110" s="2"/>
      <c r="EQ110" s="2"/>
      <c r="ER110" s="2"/>
      <c r="ES110" s="2"/>
      <c r="ET110" s="2"/>
      <c r="EU110" s="2"/>
      <c r="EV110" s="2"/>
      <c r="EW110" s="2"/>
      <c r="EX110" s="2" t="inlineStr">
        <is>
          <t>46ff7f83-ab23-4b17-ac88-bf6461b59da7</t>
        </is>
      </c>
      <c r="EY110" s="3" t="n">
        <v>1</v>
      </c>
      <c r="EZ110" s="2"/>
      <c r="FA110" s="2" t="inlineStr">
        <is>
          <t>信息事务申请</t>
        </is>
      </c>
      <c r="FB110" s="2" t="inlineStr">
        <is>
          <t>每季1-2次</t>
        </is>
      </c>
      <c r="FC110" s="2" t="inlineStr">
        <is>
          <t>季</t>
        </is>
      </c>
      <c r="FD110" s="3" t="n">
        <v>1</v>
      </c>
      <c r="FE110" s="3" t="n">
        <v>2</v>
      </c>
      <c r="FF110" s="2" t="inlineStr">
        <is>
          <t>A.20分钟以内</t>
        </is>
      </c>
      <c r="FG110" s="7" t="n">
        <v>0.33</v>
      </c>
      <c r="FH110" s="7" t="n">
        <v>0.33</v>
      </c>
      <c r="FI110" s="7" t="n">
        <v>0</v>
      </c>
      <c r="FJ110" s="7" t="n">
        <v>0</v>
      </c>
      <c r="FK110" s="7" t="n">
        <v>0.33</v>
      </c>
      <c r="FL110" s="7" t="n">
        <v>0.66</v>
      </c>
      <c r="FM110" s="7" t="n">
        <v>0</v>
      </c>
      <c r="FN110" s="7" t="n">
        <v>0</v>
      </c>
      <c r="FO110" s="2" t="inlineStr">
        <is>
          <t>协调沟通类</t>
        </is>
      </c>
      <c r="FP110" s="2"/>
      <c r="FQ110" s="2" t="inlineStr">
        <is>
          <t>跨部门对接</t>
        </is>
      </c>
      <c r="FR110" s="2" t="inlineStr">
        <is>
          <t>岗位职责</t>
        </is>
      </c>
      <c r="FS110" s="2" t="inlineStr">
        <is>
          <t>重要且紧急</t>
        </is>
      </c>
      <c r="FT110" s="2" t="inlineStr">
        <is>
          <t>半标准化-有流程框架，需专业经验</t>
        </is>
      </c>
      <c r="FU110" s="2" t="inlineStr">
        <is>
          <t>极少（&lt;5%）</t>
        </is>
      </c>
      <c r="FV110" s="2" t="inlineStr">
        <is>
          <t>沟通/协调负荷</t>
        </is>
      </c>
      <c r="FW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t="inlineStr">
        <is>
          <t>8638ccf4-6a93-4984-a857-f155d7bd125e</t>
        </is>
      </c>
      <c r="DJ111" s="3" t="n">
        <v>2</v>
      </c>
      <c r="DK111" s="2"/>
      <c r="DL111" s="2" t="inlineStr">
        <is>
          <t>浪潮记账出报表</t>
        </is>
      </c>
      <c r="DM111" s="2" t="inlineStr">
        <is>
          <t>4-8次</t>
        </is>
      </c>
      <c r="DN111" s="3" t="n">
        <v>4</v>
      </c>
      <c r="DO111" s="3" t="n">
        <v>8</v>
      </c>
      <c r="DP111" s="2" t="inlineStr">
        <is>
          <t>E.8小时以上</t>
        </is>
      </c>
      <c r="DQ111" s="7" t="n">
        <v>8</v>
      </c>
      <c r="DR111" s="7" t="n">
        <v>8</v>
      </c>
      <c r="DS111" s="7" t="n">
        <v>32</v>
      </c>
      <c r="DT111" s="7" t="n">
        <v>64</v>
      </c>
      <c r="DU111" s="2" t="inlineStr">
        <is>
          <t>数据报表类</t>
        </is>
      </c>
      <c r="DV111" s="2"/>
      <c r="DW111" s="2" t="inlineStr">
        <is>
          <t>月报</t>
        </is>
      </c>
      <c r="DX111" s="2" t="inlineStr">
        <is>
          <t>岗位职责</t>
        </is>
      </c>
      <c r="DY111" s="2" t="inlineStr">
        <is>
          <t>重要不紧急</t>
        </is>
      </c>
      <c r="DZ111" s="2" t="inlineStr">
        <is>
          <t>半标准化-有流程框架，需专业经验</t>
        </is>
      </c>
      <c r="EA111" s="2" t="inlineStr">
        <is>
          <t>极少（&lt;5%）</t>
        </is>
      </c>
      <c r="EB111" s="2" t="inlineStr">
        <is>
          <t>脑力/复杂度负荷</t>
        </is>
      </c>
      <c r="EC111" s="2"/>
      <c r="ED111" s="2"/>
      <c r="EE111" s="2"/>
      <c r="EF111" s="2"/>
      <c r="EG111" s="2"/>
      <c r="EH111" s="2"/>
      <c r="EI111" s="2"/>
      <c r="EJ111" s="2"/>
      <c r="EK111" s="2"/>
      <c r="EL111" s="2"/>
      <c r="EM111" s="2"/>
      <c r="EN111" s="2"/>
      <c r="EO111" s="2"/>
      <c r="EP111" s="2"/>
      <c r="EQ111" s="2"/>
      <c r="ER111" s="2"/>
      <c r="ES111" s="2"/>
      <c r="ET111" s="2"/>
      <c r="EU111" s="2"/>
      <c r="EV111" s="2"/>
      <c r="EW111" s="2"/>
      <c r="EX111" s="2" t="inlineStr">
        <is>
          <t>2f943860-2f2e-4b48-a98a-fbe52c3d0f41</t>
        </is>
      </c>
      <c r="EY111" s="3" t="n">
        <v>2</v>
      </c>
      <c r="EZ111" s="2"/>
      <c r="FA111" s="2" t="inlineStr">
        <is>
          <t>机关人员年终奖个税申报计算申报</t>
        </is>
      </c>
      <c r="FB111" s="2" t="inlineStr">
        <is>
          <t>每月1-2次</t>
        </is>
      </c>
      <c r="FC111" s="2" t="inlineStr">
        <is>
          <t>月</t>
        </is>
      </c>
      <c r="FD111" s="3" t="n">
        <v>1</v>
      </c>
      <c r="FE111" s="3" t="n">
        <v>2</v>
      </c>
      <c r="FF111" s="2" t="inlineStr">
        <is>
          <t>D.4-8小时</t>
        </is>
      </c>
      <c r="FG111" s="7" t="n">
        <v>4</v>
      </c>
      <c r="FH111" s="7" t="n">
        <v>8</v>
      </c>
      <c r="FI111" s="7" t="n">
        <v>4</v>
      </c>
      <c r="FJ111" s="7" t="n">
        <v>16</v>
      </c>
      <c r="FK111" s="7" t="n">
        <v>0</v>
      </c>
      <c r="FL111" s="7" t="n">
        <v>0</v>
      </c>
      <c r="FM111" s="7" t="n">
        <v>0</v>
      </c>
      <c r="FN111" s="7" t="n">
        <v>0</v>
      </c>
      <c r="FO111" s="2" t="inlineStr">
        <is>
          <t>数据报表类</t>
        </is>
      </c>
      <c r="FP111" s="2"/>
      <c r="FQ111" s="2" t="inlineStr">
        <is>
          <t>专项统计</t>
        </is>
      </c>
      <c r="FR111" s="2" t="inlineStr">
        <is>
          <t>部门计划</t>
        </is>
      </c>
      <c r="FS111" s="2" t="inlineStr">
        <is>
          <t>重要不紧急</t>
        </is>
      </c>
      <c r="FT111" s="2" t="inlineStr">
        <is>
          <t>半标准化-有流程框架，需专业经验</t>
        </is>
      </c>
      <c r="FU111" s="2" t="inlineStr">
        <is>
          <t>极少（&lt;5%）</t>
        </is>
      </c>
      <c r="FV111" s="2" t="inlineStr">
        <is>
          <t>责任/风险负荷</t>
        </is>
      </c>
      <c r="FW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t="inlineStr">
        <is>
          <t>d8ffdd58-8649-45f6-ac7e-f0d19a2524d5</t>
        </is>
      </c>
      <c r="DJ112" s="3" t="n">
        <v>3</v>
      </c>
      <c r="DK112" s="2"/>
      <c r="DL112" s="2" t="inlineStr">
        <is>
          <t>机关及外聘人员工资个税计算导回pms</t>
        </is>
      </c>
      <c r="DM112" s="2" t="inlineStr">
        <is>
          <t>1次</t>
        </is>
      </c>
      <c r="DN112" s="3" t="n">
        <v>1</v>
      </c>
      <c r="DO112" s="3" t="n">
        <v>1</v>
      </c>
      <c r="DP112" s="2" t="inlineStr">
        <is>
          <t>D.4-8小时</t>
        </is>
      </c>
      <c r="DQ112" s="7" t="n">
        <v>4</v>
      </c>
      <c r="DR112" s="7" t="n">
        <v>8</v>
      </c>
      <c r="DS112" s="7" t="n">
        <v>4</v>
      </c>
      <c r="DT112" s="7" t="n">
        <v>8</v>
      </c>
      <c r="DU112" s="2" t="inlineStr">
        <is>
          <t>数据报表类</t>
        </is>
      </c>
      <c r="DV112" s="2"/>
      <c r="DW112" s="2" t="inlineStr">
        <is>
          <t>专项统计</t>
        </is>
      </c>
      <c r="DX112" s="2" t="inlineStr">
        <is>
          <t>部门计划</t>
        </is>
      </c>
      <c r="DY112" s="2" t="inlineStr">
        <is>
          <t>重要且紧急</t>
        </is>
      </c>
      <c r="DZ112" s="2" t="inlineStr">
        <is>
          <t>半标准化-有流程框架，需专业经验</t>
        </is>
      </c>
      <c r="EA112" s="2" t="inlineStr">
        <is>
          <t>极少（&lt;5%）</t>
        </is>
      </c>
      <c r="EB112" s="2" t="inlineStr">
        <is>
          <t>责任/风险负荷</t>
        </is>
      </c>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t="inlineStr">
        <is>
          <t>04ea1026-a0df-472f-a7d7-53c9ce8049dd</t>
        </is>
      </c>
      <c r="DJ113" s="3" t="n">
        <v>4</v>
      </c>
      <c r="DK113" s="2"/>
      <c r="DL113" s="2" t="inlineStr">
        <is>
          <t>南化建及分公司个税每月申报</t>
        </is>
      </c>
      <c r="DM113" s="2" t="inlineStr">
        <is>
          <t>1次</t>
        </is>
      </c>
      <c r="DN113" s="3" t="n">
        <v>1</v>
      </c>
      <c r="DO113" s="3" t="n">
        <v>1</v>
      </c>
      <c r="DP113" s="2" t="inlineStr">
        <is>
          <t>C.2-4小时</t>
        </is>
      </c>
      <c r="DQ113" s="7" t="n">
        <v>2</v>
      </c>
      <c r="DR113" s="7" t="n">
        <v>4</v>
      </c>
      <c r="DS113" s="7" t="n">
        <v>2</v>
      </c>
      <c r="DT113" s="7" t="n">
        <v>4</v>
      </c>
      <c r="DU113" s="2" t="inlineStr">
        <is>
          <t>数据报表类</t>
        </is>
      </c>
      <c r="DV113" s="2"/>
      <c r="DW113" s="2" t="inlineStr">
        <is>
          <t>专项统计</t>
        </is>
      </c>
      <c r="DX113" s="2" t="inlineStr">
        <is>
          <t>部门计划</t>
        </is>
      </c>
      <c r="DY113" s="2" t="inlineStr">
        <is>
          <t>重要不紧急</t>
        </is>
      </c>
      <c r="DZ113" s="2" t="inlineStr">
        <is>
          <t>高度标准化-有成熟SOP，照做即可</t>
        </is>
      </c>
      <c r="EA113" s="2" t="inlineStr">
        <is>
          <t>极少（&lt;5%）</t>
        </is>
      </c>
      <c r="EB113" s="2" t="inlineStr">
        <is>
          <t>责任/风险负荷</t>
        </is>
      </c>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t="inlineStr">
        <is>
          <t>eec546ac-897c-4c87-ade0-07dd8ea44642</t>
        </is>
      </c>
      <c r="DJ114" s="3" t="n">
        <v>5</v>
      </c>
      <c r="DK114" s="2"/>
      <c r="DL114" s="2" t="inlineStr">
        <is>
          <t>创元工资表汇总计算及银行代发对账</t>
        </is>
      </c>
      <c r="DM114" s="2" t="inlineStr">
        <is>
          <t>1次</t>
        </is>
      </c>
      <c r="DN114" s="3" t="n">
        <v>1</v>
      </c>
      <c r="DO114" s="3" t="n">
        <v>1</v>
      </c>
      <c r="DP114" s="2" t="inlineStr">
        <is>
          <t>D.4-8小时</t>
        </is>
      </c>
      <c r="DQ114" s="7" t="n">
        <v>4</v>
      </c>
      <c r="DR114" s="7" t="n">
        <v>8</v>
      </c>
      <c r="DS114" s="7" t="n">
        <v>4</v>
      </c>
      <c r="DT114" s="7" t="n">
        <v>8</v>
      </c>
      <c r="DU114" s="2" t="inlineStr">
        <is>
          <t>数据报表类</t>
        </is>
      </c>
      <c r="DV114" s="2"/>
      <c r="DW114" s="2" t="inlineStr">
        <is>
          <t>专项统计</t>
        </is>
      </c>
      <c r="DX114" s="2" t="inlineStr">
        <is>
          <t>岗位职责</t>
        </is>
      </c>
      <c r="DY114" s="2" t="inlineStr">
        <is>
          <t>重要不紧急</t>
        </is>
      </c>
      <c r="DZ114" s="2" t="inlineStr">
        <is>
          <t>半标准化-有流程框架，需专业经验</t>
        </is>
      </c>
      <c r="EA114" s="2" t="inlineStr">
        <is>
          <t>极少（&lt;5%）</t>
        </is>
      </c>
      <c r="EB114" s="2" t="inlineStr">
        <is>
          <t>责任/风险负荷</t>
        </is>
      </c>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t="inlineStr">
        <is>
          <t>a487613b-d660-456c-833e-03d1569bfcbb</t>
        </is>
      </c>
      <c r="DJ115" s="3" t="n">
        <v>6</v>
      </c>
      <c r="DK115" s="2"/>
      <c r="DL115" s="2" t="inlineStr">
        <is>
          <t>记账凭证纸质打印整理</t>
        </is>
      </c>
      <c r="DM115" s="2" t="inlineStr">
        <is>
          <t>1次</t>
        </is>
      </c>
      <c r="DN115" s="3" t="n">
        <v>1</v>
      </c>
      <c r="DO115" s="3" t="n">
        <v>1</v>
      </c>
      <c r="DP115" s="2" t="inlineStr">
        <is>
          <t>D.4-8小时</t>
        </is>
      </c>
      <c r="DQ115" s="7" t="n">
        <v>4</v>
      </c>
      <c r="DR115" s="7" t="n">
        <v>8</v>
      </c>
      <c r="DS115" s="7" t="n">
        <v>4</v>
      </c>
      <c r="DT115" s="7" t="n">
        <v>8</v>
      </c>
      <c r="DU115" s="2" t="inlineStr">
        <is>
          <t>数据报表类</t>
        </is>
      </c>
      <c r="DV115" s="2"/>
      <c r="DW115" s="2" t="inlineStr">
        <is>
          <t>月报</t>
        </is>
      </c>
      <c r="DX115" s="2" t="inlineStr">
        <is>
          <t>岗位职责</t>
        </is>
      </c>
      <c r="DY115" s="2" t="inlineStr">
        <is>
          <t>不重要不紧急</t>
        </is>
      </c>
      <c r="DZ115" s="2" t="inlineStr">
        <is>
          <t>半标准化-有流程框架，需专业经验</t>
        </is>
      </c>
      <c r="EA115" s="2" t="inlineStr">
        <is>
          <t>极少（&lt;5%）</t>
        </is>
      </c>
      <c r="EB115" s="2" t="inlineStr">
        <is>
          <t>责任/风险负荷</t>
        </is>
      </c>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t="inlineStr">
        <is>
          <t>7b904fb4-9029-4179-9da3-1b793286b7cd</t>
        </is>
      </c>
      <c r="DJ116" s="3" t="n">
        <v>7</v>
      </c>
      <c r="DK116" s="2"/>
      <c r="DL116" s="2" t="inlineStr">
        <is>
          <t>创元税务申报</t>
        </is>
      </c>
      <c r="DM116" s="2" t="inlineStr">
        <is>
          <t>1次</t>
        </is>
      </c>
      <c r="DN116" s="3" t="n">
        <v>1</v>
      </c>
      <c r="DO116" s="3" t="n">
        <v>1</v>
      </c>
      <c r="DP116" s="2" t="inlineStr">
        <is>
          <t>D.4-8小时</t>
        </is>
      </c>
      <c r="DQ116" s="7" t="n">
        <v>4</v>
      </c>
      <c r="DR116" s="7" t="n">
        <v>8</v>
      </c>
      <c r="DS116" s="7" t="n">
        <v>4</v>
      </c>
      <c r="DT116" s="7" t="n">
        <v>8</v>
      </c>
      <c r="DU116" s="2" t="inlineStr">
        <is>
          <t>数据报表类</t>
        </is>
      </c>
      <c r="DV116" s="2"/>
      <c r="DW116" s="2" t="inlineStr">
        <is>
          <t>月报</t>
        </is>
      </c>
      <c r="DX116" s="2" t="inlineStr">
        <is>
          <t>岗位职责</t>
        </is>
      </c>
      <c r="DY116" s="2" t="inlineStr">
        <is>
          <t>重要不紧急</t>
        </is>
      </c>
      <c r="DZ116" s="2" t="inlineStr">
        <is>
          <t>半标准化-有流程框架，需专业经验</t>
        </is>
      </c>
      <c r="EA116" s="2" t="inlineStr">
        <is>
          <t>极少（&lt;5%）</t>
        </is>
      </c>
      <c r="EB116" s="2" t="inlineStr">
        <is>
          <t>责任/风险负荷</t>
        </is>
      </c>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row>
    <row r="117">
      <c r="A117" s="2" t="inlineStr">
        <is>
          <t>2026-05-21 16:40:08</t>
        </is>
      </c>
      <c r="B117" s="2" t="inlineStr">
        <is>
          <t>赵文强</t>
        </is>
      </c>
      <c r="C117" s="2" t="inlineStr">
        <is>
          <t>资产财务部</t>
        </is>
      </c>
      <c r="D117" s="2" t="inlineStr">
        <is>
          <t>男</t>
        </is>
      </c>
      <c r="E117" s="2" t="inlineStr">
        <is>
          <t>342201200004012417</t>
        </is>
      </c>
      <c r="F117" s="2" t="inlineStr">
        <is>
          <t>技术助理(二)</t>
        </is>
      </c>
      <c r="G117" s="2" t="inlineStr">
        <is>
          <t>2022-08</t>
        </is>
      </c>
      <c r="H117" s="2" t="inlineStr">
        <is>
          <t>阜阳师范大学信息工程学院</t>
        </is>
      </c>
      <c r="I117" s="2" t="inlineStr">
        <is>
          <t>会计</t>
        </is>
      </c>
      <c r="J117" s="2" t="inlineStr">
        <is>
          <t>本科</t>
        </is>
      </c>
      <c r="K117" s="2"/>
      <c r="L117" s="6">
        <f>HYPERLINK("https://www.h3yun.com/Form/Attachments/?schemacode=D1483577de63ede327d4760b10664bd57671d7e&amp;bizObjectId=c3373849-3cce-42ce-ad32-36eca3a39a44&amp;name=F0000046","点击查看")</f>
        <v>0</v>
      </c>
      <c r="M117" s="2" t="inlineStr">
        <is>
          <t>erp优化</t>
        </is>
      </c>
      <c r="N117" s="2" t="inlineStr">
        <is>
          <t>每日工作;每月工作;临时/突发工作</t>
        </is>
      </c>
      <c r="O117" s="2" t="inlineStr">
        <is>
          <t>26-30岁</t>
        </is>
      </c>
      <c r="P117" s="2" t="inlineStr">
        <is>
          <t>A.未婚</t>
        </is>
      </c>
      <c r="Q117" s="2" t="inlineStr">
        <is>
          <t>A.否</t>
        </is>
      </c>
      <c r="R117" s="2" t="inlineStr">
        <is>
          <t>A.否</t>
        </is>
      </c>
      <c r="S117" s="2" t="inlineStr">
        <is>
          <t>D.希望承担更有挑战性的工作，并争取更大发展空间</t>
        </is>
      </c>
      <c r="T117" s="2" t="inlineStr">
        <is>
          <t>B.工作内容可接受，但负荷偏重</t>
        </is>
      </c>
      <c r="U117" s="2" t="inlineStr">
        <is>
          <t>E.增加成长性和挑战性</t>
        </is>
      </c>
      <c r="V117" s="2" t="inlineStr">
        <is>
          <t>D.已形成较稳定优化做法</t>
        </is>
      </c>
      <c r="W117" s="2"/>
      <c r="X117" s="2" t="inlineStr">
        <is>
          <t>B.满负荷 (100%-120%)</t>
        </is>
      </c>
      <c r="Y117" s="2" t="inlineStr">
        <is>
          <t>A.岗位工作量饱和，已达人效上限;C.会议或日常协调过多，压缩产出时间;E.临时差旅、突发事件、会议加班;I.因正常工作任务截止日遇上节假日所需加班</t>
        </is>
      </c>
      <c r="Z117" s="2" t="inlineStr">
        <is>
          <t>专业问题协调</t>
        </is>
      </c>
      <c r="AA117" s="2" t="inlineStr">
        <is>
          <t>考核通报</t>
        </is>
      </c>
      <c r="AB117" s="2" t="inlineStr">
        <is>
          <t>合规监督</t>
        </is>
      </c>
      <c r="AC117" s="2" t="inlineStr">
        <is>
          <t>A.高度匹配（得心应手）</t>
        </is>
      </c>
      <c r="AD117" s="2" t="inlineStr">
        <is>
          <t>erp优化</t>
        </is>
      </c>
      <c r="AE117" s="2" t="inlineStr">
        <is>
          <t>无</t>
        </is>
      </c>
      <c r="AF117" s="2" t="inlineStr">
        <is>
          <t>无</t>
        </is>
      </c>
      <c r="AG117" s="2"/>
      <c r="AH117" s="2"/>
      <c r="AI117" s="7" t="n">
        <v>60.66</v>
      </c>
      <c r="AJ117" s="7" t="n">
        <v>61.65</v>
      </c>
      <c r="AK117" s="7" t="n">
        <v>0</v>
      </c>
      <c r="AL117" s="7" t="n">
        <v>0</v>
      </c>
      <c r="AM117" s="7" t="n">
        <v>0.85</v>
      </c>
      <c r="AN117" s="7" t="n">
        <v>0.97</v>
      </c>
      <c r="AO117" s="7" t="n">
        <v>0</v>
      </c>
      <c r="AP117" s="7" t="n">
        <v>0</v>
      </c>
      <c r="AQ117" s="7" t="n">
        <v>0.55</v>
      </c>
      <c r="AR117" s="7" t="n">
        <v>0.55</v>
      </c>
      <c r="AS117" s="7" t="n">
        <v>62.06</v>
      </c>
      <c r="AT117" s="7" t="n">
        <v>63.17</v>
      </c>
      <c r="AU117" s="7" t="n">
        <v>62.62</v>
      </c>
      <c r="AV117" s="2" t="inlineStr">
        <is>
          <t>超负荷</t>
        </is>
      </c>
      <c r="AW117" s="2" t="inlineStr">
        <is>
          <t>不一致</t>
        </is>
      </c>
      <c r="AX117" s="2" t="inlineStr">
        <is>
          <t>c3373849-3cce-42ce-ad32-36eca3a39a44</t>
        </is>
      </c>
      <c r="AY117" s="2" t="inlineStr">
        <is>
          <t>资产财务部    赵文强</t>
        </is>
      </c>
      <c r="AZ117" s="2" t="inlineStr">
        <is>
          <t>Anonymous</t>
        </is>
      </c>
      <c r="BA117" s="2" t="inlineStr">
        <is>
          <t>Anonymous</t>
        </is>
      </c>
      <c r="BB117" s="2"/>
      <c r="BC117" s="2" t="inlineStr">
        <is>
          <t>2026-05-21 16:40:08</t>
        </is>
      </c>
      <c r="BD117" s="3" t="n">
        <v>2000</v>
      </c>
      <c r="BE117" s="3" t="n">
        <v>26</v>
      </c>
      <c r="BF117" s="2" t="inlineStr">
        <is>
          <t>A.无此需求</t>
        </is>
      </c>
      <c r="BG117" s="2" t="inlineStr">
        <is>
          <t>已生效</t>
        </is>
      </c>
      <c r="BH117" s="2" t="inlineStr">
        <is>
          <t>88002ead-3ce8-419d-ae8e-8fdd03194c33</t>
        </is>
      </c>
      <c r="BI117" s="3" t="n">
        <v>1</v>
      </c>
      <c r="BJ117" s="2"/>
      <c r="BK117" s="2"/>
      <c r="BL117" s="2"/>
      <c r="BM117" s="2"/>
      <c r="BN117" s="2"/>
      <c r="BO117" s="2"/>
      <c r="BP117" s="2"/>
      <c r="BQ117" s="2"/>
      <c r="BR117" s="2"/>
      <c r="BS117" s="2" t="inlineStr">
        <is>
          <t>682ecf31-c07f-4fc7-8360-4653f87928f0</t>
        </is>
      </c>
      <c r="BT117" s="3" t="n">
        <v>1</v>
      </c>
      <c r="BU117" s="2" t="inlineStr">
        <is>
          <t>流程审批类</t>
        </is>
      </c>
      <c r="BV117" s="2" t="inlineStr">
        <is>
          <t>付款</t>
        </is>
      </c>
      <c r="BW117" s="2" t="inlineStr">
        <is>
          <t>10次以上</t>
        </is>
      </c>
      <c r="BX117" s="3" t="n">
        <v>10</v>
      </c>
      <c r="BY117" s="3" t="n">
        <v>10</v>
      </c>
      <c r="BZ117" s="2" t="inlineStr">
        <is>
          <t>B.2小时以内</t>
        </is>
      </c>
      <c r="CA117" s="7" t="n">
        <v>2</v>
      </c>
      <c r="CB117" s="7" t="n">
        <v>2</v>
      </c>
      <c r="CC117" s="7" t="n">
        <v>20</v>
      </c>
      <c r="CD117" s="7" t="n">
        <v>20</v>
      </c>
      <c r="CE117" s="2" t="inlineStr">
        <is>
          <t>流程审批类</t>
        </is>
      </c>
      <c r="CF117" s="2"/>
      <c r="CG117" s="2" t="inlineStr">
        <is>
          <t>财务管理流程</t>
        </is>
      </c>
      <c r="CH117" s="2" t="inlineStr">
        <is>
          <t>岗位职责</t>
        </is>
      </c>
      <c r="CI117" s="2" t="inlineStr">
        <is>
          <t>重要且紧急</t>
        </is>
      </c>
      <c r="CJ117" s="2" t="inlineStr">
        <is>
          <t>高度标准化-有成熟SOP，照做即可</t>
        </is>
      </c>
      <c r="CK117" s="2" t="inlineStr">
        <is>
          <t>极少（&lt;5%）</t>
        </is>
      </c>
      <c r="CL117" s="2" t="inlineStr">
        <is>
          <t>责任/风险负荷</t>
        </is>
      </c>
      <c r="CM117" s="2"/>
      <c r="CN117" s="2" t="inlineStr">
        <is>
          <t>433bd92d-c2c2-48de-874a-5d995c0bfb07</t>
        </is>
      </c>
      <c r="CO117" s="3" t="n">
        <v>1</v>
      </c>
      <c r="CP117" s="2"/>
      <c r="CQ117" s="2"/>
      <c r="CR117" s="2"/>
      <c r="CS117" s="3"/>
      <c r="CT117" s="3"/>
      <c r="CU117" s="2"/>
      <c r="CV117" s="3"/>
      <c r="CW117" s="3"/>
      <c r="CX117" s="7" t="n">
        <v>0</v>
      </c>
      <c r="CY117" s="7" t="n">
        <v>0</v>
      </c>
      <c r="CZ117" s="2"/>
      <c r="DA117" s="2"/>
      <c r="DB117" s="2"/>
      <c r="DC117" s="2"/>
      <c r="DD117" s="2"/>
      <c r="DE117" s="2"/>
      <c r="DF117" s="2"/>
      <c r="DG117" s="2"/>
      <c r="DH117" s="2"/>
      <c r="DI117" s="2" t="inlineStr">
        <is>
          <t>39b97119-8fe5-4f0c-8a3b-dd7e393912b8</t>
        </is>
      </c>
      <c r="DJ117" s="3" t="n">
        <v>1</v>
      </c>
      <c r="DK117" s="2"/>
      <c r="DL117" s="2" t="inlineStr">
        <is>
          <t>预缴税款核算申报分包发票记录收集</t>
        </is>
      </c>
      <c r="DM117" s="2" t="inlineStr">
        <is>
          <t>8次以上</t>
        </is>
      </c>
      <c r="DN117" s="3" t="n">
        <v>8</v>
      </c>
      <c r="DO117" s="3" t="n">
        <v>8</v>
      </c>
      <c r="DP117" s="2" t="inlineStr">
        <is>
          <t>B.2小时以内</t>
        </is>
      </c>
      <c r="DQ117" s="7" t="n">
        <v>2</v>
      </c>
      <c r="DR117" s="7" t="n">
        <v>2</v>
      </c>
      <c r="DS117" s="7" t="n">
        <v>16</v>
      </c>
      <c r="DT117" s="7" t="n">
        <v>16</v>
      </c>
      <c r="DU117" s="2" t="inlineStr">
        <is>
          <t>协调沟通类</t>
        </is>
      </c>
      <c r="DV117" s="2"/>
      <c r="DW117" s="2" t="inlineStr">
        <is>
          <t>跨部门对接</t>
        </is>
      </c>
      <c r="DX117" s="2" t="inlineStr">
        <is>
          <t>岗位职责</t>
        </is>
      </c>
      <c r="DY117" s="2" t="inlineStr">
        <is>
          <t>重要不紧急</t>
        </is>
      </c>
      <c r="DZ117" s="2" t="inlineStr">
        <is>
          <t>半标准化-有流程框架，需专业经验</t>
        </is>
      </c>
      <c r="EA117" s="2" t="inlineStr">
        <is>
          <t>极少（&lt;5%）</t>
        </is>
      </c>
      <c r="EB117" s="2" t="inlineStr">
        <is>
          <t>脑力/复杂度负荷</t>
        </is>
      </c>
      <c r="EC117" s="2"/>
      <c r="ED117" s="2" t="inlineStr">
        <is>
          <t>cd48b6a1-be0a-46f8-a486-c1ef15cb4f8f</t>
        </is>
      </c>
      <c r="EE117" s="3" t="n">
        <v>1</v>
      </c>
      <c r="EF117" s="2"/>
      <c r="EG117" s="2"/>
      <c r="EH117" s="2"/>
      <c r="EI117" s="3"/>
      <c r="EJ117" s="2"/>
      <c r="EK117" s="3"/>
      <c r="EL117" s="3"/>
      <c r="EM117" s="7" t="n">
        <v>0</v>
      </c>
      <c r="EN117" s="7" t="n">
        <v>0</v>
      </c>
      <c r="EO117" s="2"/>
      <c r="EP117" s="2"/>
      <c r="EQ117" s="2"/>
      <c r="ER117" s="2"/>
      <c r="ES117" s="2"/>
      <c r="ET117" s="2"/>
      <c r="EU117" s="2"/>
      <c r="EV117" s="2"/>
      <c r="EW117" s="2"/>
      <c r="EX117" s="2" t="inlineStr">
        <is>
          <t>c473dc33-1873-4733-9be7-92721820b6c2</t>
        </is>
      </c>
      <c r="EY117" s="3" t="n">
        <v>1</v>
      </c>
      <c r="EZ117" s="2"/>
      <c r="FA117" s="2" t="inlineStr">
        <is>
          <t>对账</t>
        </is>
      </c>
      <c r="FB117" s="2" t="inlineStr">
        <is>
          <t>每月3次以上</t>
        </is>
      </c>
      <c r="FC117" s="2" t="inlineStr">
        <is>
          <t>月</t>
        </is>
      </c>
      <c r="FD117" s="3" t="n">
        <v>3</v>
      </c>
      <c r="FE117" s="3" t="n">
        <v>3</v>
      </c>
      <c r="FF117" s="2" t="inlineStr">
        <is>
          <t>B.2小时以内</t>
        </is>
      </c>
      <c r="FG117" s="7" t="n">
        <v>2</v>
      </c>
      <c r="FH117" s="7" t="n">
        <v>2</v>
      </c>
      <c r="FI117" s="7" t="n">
        <v>6</v>
      </c>
      <c r="FJ117" s="7" t="n">
        <v>6</v>
      </c>
      <c r="FK117" s="7" t="n">
        <v>0</v>
      </c>
      <c r="FL117" s="7" t="n">
        <v>0</v>
      </c>
      <c r="FM117" s="7" t="n">
        <v>0</v>
      </c>
      <c r="FN117" s="7" t="n">
        <v>0</v>
      </c>
      <c r="FO117" s="2" t="inlineStr">
        <is>
          <t>其他</t>
        </is>
      </c>
      <c r="FP117" s="2"/>
      <c r="FQ117" s="2"/>
      <c r="FR117" s="2" t="inlineStr">
        <is>
          <t>跨部门协同</t>
        </is>
      </c>
      <c r="FS117" s="2" t="inlineStr">
        <is>
          <t>重要且紧急</t>
        </is>
      </c>
      <c r="FT117" s="2" t="inlineStr">
        <is>
          <t>半标准化-有流程框架，需专业经验</t>
        </is>
      </c>
      <c r="FU117" s="2" t="inlineStr">
        <is>
          <t>极少（&lt;5%）</t>
        </is>
      </c>
      <c r="FV117" s="2" t="inlineStr">
        <is>
          <t>脑力/复杂度负荷</t>
        </is>
      </c>
      <c r="FW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t="inlineStr">
        <is>
          <t>3f7e55c4-d652-4bf9-a5eb-d46b75ed62da</t>
        </is>
      </c>
      <c r="BT118" s="3" t="n">
        <v>2</v>
      </c>
      <c r="BU118" s="2" t="inlineStr">
        <is>
          <t>行政事务类</t>
        </is>
      </c>
      <c r="BV118" s="2" t="inlineStr">
        <is>
          <t>记账</t>
        </is>
      </c>
      <c r="BW118" s="2" t="inlineStr">
        <is>
          <t>10次以上</t>
        </is>
      </c>
      <c r="BX118" s="3" t="n">
        <v>10</v>
      </c>
      <c r="BY118" s="3" t="n">
        <v>10</v>
      </c>
      <c r="BZ118" s="2" t="inlineStr">
        <is>
          <t>B.2小时以内</t>
        </is>
      </c>
      <c r="CA118" s="7" t="n">
        <v>2</v>
      </c>
      <c r="CB118" s="7" t="n">
        <v>2</v>
      </c>
      <c r="CC118" s="7" t="n">
        <v>20</v>
      </c>
      <c r="CD118" s="7" t="n">
        <v>20</v>
      </c>
      <c r="CE118" s="2" t="inlineStr">
        <is>
          <t>行政事务类</t>
        </is>
      </c>
      <c r="CF118" s="2"/>
      <c r="CG118" s="2" t="inlineStr">
        <is>
          <t>日常台账</t>
        </is>
      </c>
      <c r="CH118" s="2" t="inlineStr">
        <is>
          <t>岗位职责</t>
        </is>
      </c>
      <c r="CI118" s="2" t="inlineStr">
        <is>
          <t>重要不紧急</t>
        </is>
      </c>
      <c r="CJ118" s="2" t="inlineStr">
        <is>
          <t>半标准化-有流程框架，需专业经验</t>
        </is>
      </c>
      <c r="CK118" s="2" t="inlineStr">
        <is>
          <t>极少（&lt;5%）</t>
        </is>
      </c>
      <c r="CL118" s="2" t="inlineStr">
        <is>
          <t>时效/强度负荷</t>
        </is>
      </c>
      <c r="CM118" s="2"/>
      <c r="CN118" s="2"/>
      <c r="CO118" s="2"/>
      <c r="CP118" s="2"/>
      <c r="CQ118" s="2"/>
      <c r="CR118" s="2"/>
      <c r="CS118" s="2"/>
      <c r="CT118" s="2"/>
      <c r="CU118" s="2"/>
      <c r="CV118" s="2"/>
      <c r="CW118" s="2"/>
      <c r="CX118" s="2"/>
      <c r="CY118" s="2"/>
      <c r="CZ118" s="2"/>
      <c r="DA118" s="2"/>
      <c r="DB118" s="2"/>
      <c r="DC118" s="2"/>
      <c r="DD118" s="2"/>
      <c r="DE118" s="2"/>
      <c r="DF118" s="2"/>
      <c r="DG118" s="2"/>
      <c r="DH118" s="2"/>
      <c r="DI118" s="2" t="inlineStr">
        <is>
          <t>54d5bf88-41b9-4f2d-8aa8-a6b42b8482ba</t>
        </is>
      </c>
      <c r="DJ118" s="3" t="n">
        <v>2</v>
      </c>
      <c r="DK118" s="2"/>
      <c r="DL118" s="2" t="inlineStr">
        <is>
          <t>正式工个税申报</t>
        </is>
      </c>
      <c r="DM118" s="2" t="inlineStr">
        <is>
          <t>4-8次</t>
        </is>
      </c>
      <c r="DN118" s="3" t="n">
        <v>4</v>
      </c>
      <c r="DO118" s="3" t="n">
        <v>8</v>
      </c>
      <c r="DP118" s="2" t="inlineStr">
        <is>
          <t>A.20分钟以内</t>
        </is>
      </c>
      <c r="DQ118" s="7" t="n">
        <v>0.33</v>
      </c>
      <c r="DR118" s="7" t="n">
        <v>0.33</v>
      </c>
      <c r="DS118" s="7" t="n">
        <v>1.32</v>
      </c>
      <c r="DT118" s="7" t="n">
        <v>2.64</v>
      </c>
      <c r="DU118" s="2" t="inlineStr">
        <is>
          <t>数据报表类</t>
        </is>
      </c>
      <c r="DV118" s="2"/>
      <c r="DW118" s="2" t="inlineStr">
        <is>
          <t>监管报送</t>
        </is>
      </c>
      <c r="DX118" s="2" t="inlineStr">
        <is>
          <t>岗位职责</t>
        </is>
      </c>
      <c r="DY118" s="2" t="inlineStr">
        <is>
          <t>重要不紧急</t>
        </is>
      </c>
      <c r="DZ118" s="2" t="inlineStr">
        <is>
          <t>高度标准化-有成熟SOP，照做即可</t>
        </is>
      </c>
      <c r="EA118" s="2" t="inlineStr">
        <is>
          <t>极少（&lt;5%）</t>
        </is>
      </c>
      <c r="EB118" s="2" t="inlineStr">
        <is>
          <t>责任/风险负荷</t>
        </is>
      </c>
      <c r="EC118" s="2"/>
      <c r="ED118" s="2"/>
      <c r="EE118" s="2"/>
      <c r="EF118" s="2"/>
      <c r="EG118" s="2"/>
      <c r="EH118" s="2"/>
      <c r="EI118" s="2"/>
      <c r="EJ118" s="2"/>
      <c r="EK118" s="2"/>
      <c r="EL118" s="2"/>
      <c r="EM118" s="2"/>
      <c r="EN118" s="2"/>
      <c r="EO118" s="2"/>
      <c r="EP118" s="2"/>
      <c r="EQ118" s="2"/>
      <c r="ER118" s="2"/>
      <c r="ES118" s="2"/>
      <c r="ET118" s="2"/>
      <c r="EU118" s="2"/>
      <c r="EV118" s="2"/>
      <c r="EW118" s="2"/>
      <c r="EX118" s="2" t="inlineStr">
        <is>
          <t>516541e8-52c4-49b6-8614-046520c74989</t>
        </is>
      </c>
      <c r="EY118" s="3" t="n">
        <v>2</v>
      </c>
      <c r="EZ118" s="2"/>
      <c r="FA118" s="2" t="inlineStr">
        <is>
          <t>预缴税</t>
        </is>
      </c>
      <c r="FB118" s="2" t="inlineStr">
        <is>
          <t>每月3次以上</t>
        </is>
      </c>
      <c r="FC118" s="2" t="inlineStr">
        <is>
          <t>月</t>
        </is>
      </c>
      <c r="FD118" s="3" t="n">
        <v>3</v>
      </c>
      <c r="FE118" s="3" t="n">
        <v>3</v>
      </c>
      <c r="FF118" s="2" t="inlineStr">
        <is>
          <t>B.2小时以内</t>
        </is>
      </c>
      <c r="FG118" s="7" t="n">
        <v>2</v>
      </c>
      <c r="FH118" s="7" t="n">
        <v>2</v>
      </c>
      <c r="FI118" s="7" t="n">
        <v>6</v>
      </c>
      <c r="FJ118" s="7" t="n">
        <v>6</v>
      </c>
      <c r="FK118" s="7" t="n">
        <v>0</v>
      </c>
      <c r="FL118" s="7" t="n">
        <v>0</v>
      </c>
      <c r="FM118" s="7" t="n">
        <v>0</v>
      </c>
      <c r="FN118" s="7" t="n">
        <v>0</v>
      </c>
      <c r="FO118" s="2" t="inlineStr">
        <is>
          <t>协调沟通类</t>
        </is>
      </c>
      <c r="FP118" s="2"/>
      <c r="FQ118" s="2" t="inlineStr">
        <is>
          <t>外部联络</t>
        </is>
      </c>
      <c r="FR118" s="2" t="inlineStr">
        <is>
          <t>岗位职责</t>
        </is>
      </c>
      <c r="FS118" s="2" t="inlineStr">
        <is>
          <t>重要且紧急</t>
        </is>
      </c>
      <c r="FT118" s="2" t="inlineStr">
        <is>
          <t>半标准化-有流程框架，需专业经验</t>
        </is>
      </c>
      <c r="FU118" s="2" t="inlineStr">
        <is>
          <t>极少（&lt;5%）</t>
        </is>
      </c>
      <c r="FV118" s="2" t="inlineStr">
        <is>
          <t>沟通/协调负荷</t>
        </is>
      </c>
      <c r="FW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t="inlineStr">
        <is>
          <t>755cc593-ec00-4681-9309-4a595e3e8954</t>
        </is>
      </c>
      <c r="BT119" s="3" t="n">
        <v>3</v>
      </c>
      <c r="BU119" s="2" t="inlineStr">
        <is>
          <t>流程审批类</t>
        </is>
      </c>
      <c r="BV119" s="2" t="inlineStr">
        <is>
          <t>流程审批</t>
        </is>
      </c>
      <c r="BW119" s="2" t="inlineStr">
        <is>
          <t>10次以上</t>
        </is>
      </c>
      <c r="BX119" s="3" t="n">
        <v>10</v>
      </c>
      <c r="BY119" s="3" t="n">
        <v>10</v>
      </c>
      <c r="BZ119" s="2" t="inlineStr">
        <is>
          <t>B.2小时以内</t>
        </is>
      </c>
      <c r="CA119" s="7" t="n">
        <v>2</v>
      </c>
      <c r="CB119" s="7" t="n">
        <v>2</v>
      </c>
      <c r="CC119" s="7" t="n">
        <v>20</v>
      </c>
      <c r="CD119" s="7" t="n">
        <v>20</v>
      </c>
      <c r="CE119" s="2" t="inlineStr">
        <is>
          <t>流程审批类</t>
        </is>
      </c>
      <c r="CF119" s="2"/>
      <c r="CG119" s="2" t="inlineStr">
        <is>
          <t>财务管理流程</t>
        </is>
      </c>
      <c r="CH119" s="2" t="inlineStr">
        <is>
          <t>岗位职责</t>
        </is>
      </c>
      <c r="CI119" s="2" t="inlineStr">
        <is>
          <t>重要且紧急</t>
        </is>
      </c>
      <c r="CJ119" s="2" t="inlineStr">
        <is>
          <t>高度标准化-有成熟SOP，照做即可</t>
        </is>
      </c>
      <c r="CK119" s="2" t="inlineStr">
        <is>
          <t>极少（&lt;5%）</t>
        </is>
      </c>
      <c r="CL119" s="2" t="inlineStr">
        <is>
          <t>责任/风险负荷</t>
        </is>
      </c>
      <c r="CM119" s="2"/>
      <c r="CN119" s="2"/>
      <c r="CO119" s="2"/>
      <c r="CP119" s="2"/>
      <c r="CQ119" s="2"/>
      <c r="CR119" s="2"/>
      <c r="CS119" s="2"/>
      <c r="CT119" s="2"/>
      <c r="CU119" s="2"/>
      <c r="CV119" s="2"/>
      <c r="CW119" s="2"/>
      <c r="CX119" s="2"/>
      <c r="CY119" s="2"/>
      <c r="CZ119" s="2"/>
      <c r="DA119" s="2"/>
      <c r="DB119" s="2"/>
      <c r="DC119" s="2"/>
      <c r="DD119" s="2"/>
      <c r="DE119" s="2"/>
      <c r="DF119" s="2"/>
      <c r="DG119" s="2"/>
      <c r="DH119" s="2"/>
      <c r="DI119" s="2" t="inlineStr">
        <is>
          <t>ae54777c-7874-45d7-a084-d8d48bd13ca8</t>
        </is>
      </c>
      <c r="DJ119" s="3" t="n">
        <v>3</v>
      </c>
      <c r="DK119" s="2"/>
      <c r="DL119" s="2" t="inlineStr">
        <is>
          <t>外聘个税申报</t>
        </is>
      </c>
      <c r="DM119" s="2" t="inlineStr">
        <is>
          <t>4-8次</t>
        </is>
      </c>
      <c r="DN119" s="3" t="n">
        <v>4</v>
      </c>
      <c r="DO119" s="3" t="n">
        <v>8</v>
      </c>
      <c r="DP119" s="2" t="inlineStr">
        <is>
          <t>A.20分钟以内</t>
        </is>
      </c>
      <c r="DQ119" s="7" t="n">
        <v>0.33</v>
      </c>
      <c r="DR119" s="7" t="n">
        <v>0.33</v>
      </c>
      <c r="DS119" s="7" t="n">
        <v>1.32</v>
      </c>
      <c r="DT119" s="7" t="n">
        <v>2.64</v>
      </c>
      <c r="DU119" s="2" t="inlineStr">
        <is>
          <t>数据报表类</t>
        </is>
      </c>
      <c r="DV119" s="2"/>
      <c r="DW119" s="2" t="inlineStr">
        <is>
          <t>监管报送</t>
        </is>
      </c>
      <c r="DX119" s="2" t="inlineStr">
        <is>
          <t>岗位职责</t>
        </is>
      </c>
      <c r="DY119" s="2" t="inlineStr">
        <is>
          <t>重要不紧急</t>
        </is>
      </c>
      <c r="DZ119" s="2" t="inlineStr">
        <is>
          <t>高度标准化-有成熟SOP，照做即可</t>
        </is>
      </c>
      <c r="EA119" s="2" t="inlineStr">
        <is>
          <t>极少（&lt;5%）</t>
        </is>
      </c>
      <c r="EB119" s="2" t="inlineStr">
        <is>
          <t>责任/风险负荷</t>
        </is>
      </c>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t="inlineStr">
        <is>
          <t>c4b1a21d-43bf-48ae-9388-49333d51e2a8</t>
        </is>
      </c>
      <c r="BT120" s="3" t="n">
        <v>4</v>
      </c>
      <c r="BU120" s="2" t="inlineStr">
        <is>
          <t>协调沟通类</t>
        </is>
      </c>
      <c r="BV120" s="2" t="inlineStr">
        <is>
          <t>发票、预缴税款接受核对</t>
        </is>
      </c>
      <c r="BW120" s="2" t="inlineStr">
        <is>
          <t>2-5次</t>
        </is>
      </c>
      <c r="BX120" s="3" t="n">
        <v>2</v>
      </c>
      <c r="BY120" s="3" t="n">
        <v>5</v>
      </c>
      <c r="BZ120" s="2" t="inlineStr">
        <is>
          <t>A.20分钟以内</t>
        </is>
      </c>
      <c r="CA120" s="7" t="n">
        <v>0.33</v>
      </c>
      <c r="CB120" s="7" t="n">
        <v>0.33</v>
      </c>
      <c r="CC120" s="7" t="n">
        <v>0.66</v>
      </c>
      <c r="CD120" s="7" t="n">
        <v>1.65</v>
      </c>
      <c r="CE120" s="2" t="inlineStr">
        <is>
          <t>协调沟通类</t>
        </is>
      </c>
      <c r="CF120" s="2"/>
      <c r="CG120" s="2" t="inlineStr">
        <is>
          <t>跨部门对接</t>
        </is>
      </c>
      <c r="CH120" s="2" t="inlineStr">
        <is>
          <t>岗位职责</t>
        </is>
      </c>
      <c r="CI120" s="2" t="inlineStr">
        <is>
          <t>重要不紧急</t>
        </is>
      </c>
      <c r="CJ120" s="2" t="inlineStr">
        <is>
          <t>半标准化-有流程框架，需专业经验</t>
        </is>
      </c>
      <c r="CK120" s="2" t="inlineStr">
        <is>
          <t>极少（&lt;5%）</t>
        </is>
      </c>
      <c r="CL120" s="2" t="inlineStr">
        <is>
          <t>沟通/协调负荷</t>
        </is>
      </c>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row>
    <row r="121">
      <c r="A121" s="2" t="inlineStr">
        <is>
          <t>2026-05-21 16:26:59</t>
        </is>
      </c>
      <c r="B121" s="2" t="inlineStr">
        <is>
          <t>杨婷</t>
        </is>
      </c>
      <c r="C121" s="2" t="inlineStr">
        <is>
          <t>资产财务部</t>
        </is>
      </c>
      <c r="D121" s="2" t="inlineStr">
        <is>
          <t>女</t>
        </is>
      </c>
      <c r="E121" s="2" t="inlineStr">
        <is>
          <t>320483199001173869</t>
        </is>
      </c>
      <c r="F121" s="2" t="inlineStr">
        <is>
          <t>业务主办A</t>
        </is>
      </c>
      <c r="G121" s="2" t="inlineStr">
        <is>
          <t>2013-10</t>
        </is>
      </c>
      <c r="H121" s="2" t="inlineStr">
        <is>
          <t>南京工业大学</t>
        </is>
      </c>
      <c r="I121" s="2" t="inlineStr">
        <is>
          <t>会计</t>
        </is>
      </c>
      <c r="J121" s="2" t="inlineStr">
        <is>
          <t>本科</t>
        </is>
      </c>
      <c r="K121" s="2" t="inlineStr">
        <is>
          <t>C.全程陪伴型岗位-不固定工时，计件制</t>
        </is>
      </c>
      <c r="L121" s="6">
        <f>HYPERLINK("https://www.h3yun.com/Form/Attachments/?schemacode=D1483577de63ede327d4760b10664bd57671d7e&amp;bizObjectId=40a7c3cf-379e-473b-86b0-b3543868386d&amp;name=F0000046","点击查看")</f>
        <v>0</v>
      </c>
      <c r="M121" s="2" t="inlineStr">
        <is>
          <t>付款流程汇总提交</t>
        </is>
      </c>
      <c r="N121" s="2" t="inlineStr">
        <is>
          <t>每日工作;每周工作;临时/突发工作</t>
        </is>
      </c>
      <c r="O121" s="2" t="inlineStr">
        <is>
          <t>30-40岁</t>
        </is>
      </c>
      <c r="P121" s="2" t="inlineStr">
        <is>
          <t>C.已婚已育</t>
        </is>
      </c>
      <c r="Q121" s="2" t="inlineStr">
        <is>
          <t>B.是，主要照护子女</t>
        </is>
      </c>
      <c r="R121" s="2" t="inlineStr">
        <is>
          <t>C.有2名及以上</t>
        </is>
      </c>
      <c r="S121" s="2" t="inlineStr">
        <is>
          <t>B.希望工作更稳定、更规律，便于兼顾家庭</t>
        </is>
      </c>
      <c r="T121" s="2" t="inlineStr">
        <is>
          <t>B.工作内容可接受，但负荷偏重</t>
        </is>
      </c>
      <c r="U121" s="2" t="inlineStr">
        <is>
          <t>C.增加弹性和稳定性</t>
        </is>
      </c>
      <c r="V121" s="2" t="inlineStr">
        <is>
          <t>A.没有</t>
        </is>
      </c>
      <c r="W121" s="2"/>
      <c r="X121" s="2" t="inlineStr">
        <is>
          <t>B.满负荷 (100%-120%)</t>
        </is>
      </c>
      <c r="Y121" s="2" t="inlineStr">
        <is>
          <t>A.岗位工作量饱和，已达人效上限;B.上游资料不全，导致反复沟通/返工;H.研发探索性质，保持研究不间断的主动加班</t>
        </is>
      </c>
      <c r="Z121" s="2" t="inlineStr">
        <is>
          <t>协同办公流程</t>
        </is>
      </c>
      <c r="AA121" s="2" t="inlineStr">
        <is>
          <t>催办</t>
        </is>
      </c>
      <c r="AB121" s="2" t="inlineStr">
        <is>
          <t>专业问题协调</t>
        </is>
      </c>
      <c r="AC121" s="2" t="inlineStr">
        <is>
          <t>B.基本匹配（正常履行）</t>
        </is>
      </c>
      <c r="AD121" s="2" t="inlineStr">
        <is>
          <t>提倡居家办公，弹性上下班</t>
        </is>
      </c>
      <c r="AE121" s="2"/>
      <c r="AF121" s="2"/>
      <c r="AG121" s="2" t="inlineStr">
        <is>
          <t>D.配偶不是公司家属</t>
        </is>
      </c>
      <c r="AH121" s="2" t="inlineStr">
        <is>
          <t>A.有强烈意向</t>
        </is>
      </c>
      <c r="AI121" s="7" t="n">
        <v>3.3</v>
      </c>
      <c r="AJ121" s="7" t="n">
        <v>3.3</v>
      </c>
      <c r="AK121" s="7" t="n">
        <v>0.8</v>
      </c>
      <c r="AL121" s="7" t="n">
        <v>1.2</v>
      </c>
      <c r="AM121" s="7" t="n">
        <v>0</v>
      </c>
      <c r="AN121" s="7" t="n">
        <v>0</v>
      </c>
      <c r="AO121" s="7" t="n">
        <v>0</v>
      </c>
      <c r="AP121" s="7" t="n">
        <v>0</v>
      </c>
      <c r="AQ121" s="7" t="n">
        <v>0.05</v>
      </c>
      <c r="AR121" s="7" t="n">
        <v>0.05</v>
      </c>
      <c r="AS121" s="7" t="n">
        <v>4.15</v>
      </c>
      <c r="AT121" s="7" t="n">
        <v>4.55</v>
      </c>
      <c r="AU121" s="7" t="n">
        <v>4.35</v>
      </c>
      <c r="AV121" s="2" t="inlineStr">
        <is>
          <t>非饱和</t>
        </is>
      </c>
      <c r="AW121" s="2" t="inlineStr">
        <is>
          <t>不一致</t>
        </is>
      </c>
      <c r="AX121" s="2" t="inlineStr">
        <is>
          <t>40a7c3cf-379e-473b-86b0-b3543868386d</t>
        </is>
      </c>
      <c r="AY121" s="2" t="inlineStr">
        <is>
          <t>资产财务部    杨婷</t>
        </is>
      </c>
      <c r="AZ121" s="2" t="inlineStr">
        <is>
          <t>Anonymous</t>
        </is>
      </c>
      <c r="BA121" s="2" t="inlineStr">
        <is>
          <t>Anonymous</t>
        </is>
      </c>
      <c r="BB121" s="2"/>
      <c r="BC121" s="2" t="inlineStr">
        <is>
          <t>2026-05-21 16:26:59</t>
        </is>
      </c>
      <c r="BD121" s="3" t="n">
        <v>1990</v>
      </c>
      <c r="BE121" s="3" t="n">
        <v>36</v>
      </c>
      <c r="BF121" s="2" t="inlineStr">
        <is>
          <t>A.无此需求</t>
        </is>
      </c>
      <c r="BG121" s="2" t="inlineStr">
        <is>
          <t>已生效</t>
        </is>
      </c>
      <c r="BH121" s="2" t="inlineStr">
        <is>
          <t>5f313271-0673-4b24-8f1d-38f6eabc5e46</t>
        </is>
      </c>
      <c r="BI121" s="3" t="n">
        <v>1</v>
      </c>
      <c r="BJ121" s="2" t="inlineStr">
        <is>
          <t>C.全程陪伴型岗位-不固定工时，计件制</t>
        </is>
      </c>
      <c r="BK121" s="2" t="inlineStr">
        <is>
          <t>C.全程陪伴型岗位-不固定工时，计件制</t>
        </is>
      </c>
      <c r="BL121" s="2" t="inlineStr">
        <is>
          <t>如适用于照看0-3周岁幼儿</t>
        </is>
      </c>
      <c r="BM121" s="2" t="inlineStr">
        <is>
          <t xml:space="preserve">时间灵活地点灵活
</t>
        </is>
      </c>
      <c r="BN121" s="2" t="inlineStr">
        <is>
          <t>按件或按项目计酬</t>
        </is>
      </c>
      <c r="BO121" s="2" t="inlineStr">
        <is>
          <t>社会保险或商业保险</t>
        </is>
      </c>
      <c r="BP121" s="2" t="inlineStr">
        <is>
          <t>劳动合同或劳务协议</t>
        </is>
      </c>
      <c r="BQ121" s="2" t="inlineStr">
        <is>
          <t>基础技能
特定技能</t>
        </is>
      </c>
      <c r="BR121" s="2" t="inlineStr">
        <is>
          <t>完成一定项目或任务的设计、编程、撰稿类“妈妈岗”</t>
        </is>
      </c>
      <c r="BS121" s="2" t="inlineStr">
        <is>
          <t>08a448ff-94d1-4970-865d-44fb2b5e28b2</t>
        </is>
      </c>
      <c r="BT121" s="3" t="n">
        <v>1</v>
      </c>
      <c r="BU121" s="2" t="inlineStr">
        <is>
          <t>流程审批类</t>
        </is>
      </c>
      <c r="BV121" s="2" t="inlineStr">
        <is>
          <t>流程审批类</t>
        </is>
      </c>
      <c r="BW121" s="2" t="inlineStr">
        <is>
          <t>10次以上</t>
        </is>
      </c>
      <c r="BX121" s="3" t="n">
        <v>10</v>
      </c>
      <c r="BY121" s="3" t="n">
        <v>10</v>
      </c>
      <c r="BZ121" s="2" t="inlineStr">
        <is>
          <t>A.20分钟以内</t>
        </is>
      </c>
      <c r="CA121" s="7" t="n">
        <v>0.33</v>
      </c>
      <c r="CB121" s="7" t="n">
        <v>0.33</v>
      </c>
      <c r="CC121" s="7" t="n">
        <v>3.3</v>
      </c>
      <c r="CD121" s="7" t="n">
        <v>3.3</v>
      </c>
      <c r="CE121" s="2" t="inlineStr">
        <is>
          <t>流程审批类</t>
        </is>
      </c>
      <c r="CF121" s="2"/>
      <c r="CG121" s="2" t="inlineStr">
        <is>
          <t>费用报销流程</t>
        </is>
      </c>
      <c r="CH121" s="2" t="inlineStr">
        <is>
          <t>岗位职责</t>
        </is>
      </c>
      <c r="CI121" s="2" t="inlineStr">
        <is>
          <t>重要且紧急</t>
        </is>
      </c>
      <c r="CJ121" s="2" t="inlineStr">
        <is>
          <t>高度标准化-有成熟SOP，照做即可</t>
        </is>
      </c>
      <c r="CK121" s="2" t="inlineStr">
        <is>
          <t>极少（&lt;5%）</t>
        </is>
      </c>
      <c r="CL121" s="2" t="inlineStr">
        <is>
          <t>脑力/复杂度负荷</t>
        </is>
      </c>
      <c r="CM121" s="2"/>
      <c r="CN121" s="2" t="inlineStr">
        <is>
          <t>b1a4703d-1dba-4764-a7be-a622a0c9f509</t>
        </is>
      </c>
      <c r="CO121" s="3" t="n">
        <v>1</v>
      </c>
      <c r="CP121" s="2"/>
      <c r="CQ121" s="2" t="inlineStr">
        <is>
          <t>综合管理类</t>
        </is>
      </c>
      <c r="CR121" s="2" t="inlineStr">
        <is>
          <t>2-3次</t>
        </is>
      </c>
      <c r="CS121" s="3" t="n">
        <v>2</v>
      </c>
      <c r="CT121" s="3" t="n">
        <v>3</v>
      </c>
      <c r="CU121" s="2" t="inlineStr">
        <is>
          <t>B.2小时以内</t>
        </is>
      </c>
      <c r="CV121" s="7" t="n">
        <v>2</v>
      </c>
      <c r="CW121" s="7" t="n">
        <v>2</v>
      </c>
      <c r="CX121" s="7" t="n">
        <v>4</v>
      </c>
      <c r="CY121" s="7" t="n">
        <v>6</v>
      </c>
      <c r="CZ121" s="2" t="inlineStr">
        <is>
          <t>综合管理类</t>
        </is>
      </c>
      <c r="DA121" s="2"/>
      <c r="DB121" s="2" t="inlineStr">
        <is>
          <t>重点任务督办</t>
        </is>
      </c>
      <c r="DC121" s="2" t="inlineStr">
        <is>
          <t>上级指令</t>
        </is>
      </c>
      <c r="DD121" s="2" t="inlineStr">
        <is>
          <t>重要且紧急</t>
        </is>
      </c>
      <c r="DE121" s="2" t="inlineStr">
        <is>
          <t>高度标准化-有成熟SOP，照做即可</t>
        </is>
      </c>
      <c r="DF121" s="2" t="inlineStr">
        <is>
          <t>极少（&lt;5%）</t>
        </is>
      </c>
      <c r="DG121" s="2" t="inlineStr">
        <is>
          <t>脑力/复杂度负荷</t>
        </is>
      </c>
      <c r="DH121" s="2"/>
      <c r="DI121" s="2" t="inlineStr">
        <is>
          <t>2f479263-9113-4bca-988f-479dc22be4e0</t>
        </is>
      </c>
      <c r="DJ121" s="3" t="n">
        <v>1</v>
      </c>
      <c r="DK121" s="2"/>
      <c r="DL121" s="2"/>
      <c r="DM121" s="2"/>
      <c r="DN121" s="3"/>
      <c r="DO121" s="3"/>
      <c r="DP121" s="2"/>
      <c r="DQ121" s="3"/>
      <c r="DR121" s="3"/>
      <c r="DS121" s="7" t="n">
        <v>0</v>
      </c>
      <c r="DT121" s="7" t="n">
        <v>0</v>
      </c>
      <c r="DU121" s="2"/>
      <c r="DV121" s="2"/>
      <c r="DW121" s="2"/>
      <c r="DX121" s="2"/>
      <c r="DY121" s="2"/>
      <c r="DZ121" s="2"/>
      <c r="EA121" s="2"/>
      <c r="EB121" s="2"/>
      <c r="EC121" s="2"/>
      <c r="ED121" s="2" t="inlineStr">
        <is>
          <t>96f8c217-b1a6-4249-92d0-3096d93a60d9</t>
        </is>
      </c>
      <c r="EE121" s="3" t="n">
        <v>1</v>
      </c>
      <c r="EF121" s="2"/>
      <c r="EG121" s="2"/>
      <c r="EH121" s="2"/>
      <c r="EI121" s="3"/>
      <c r="EJ121" s="2"/>
      <c r="EK121" s="3"/>
      <c r="EL121" s="3"/>
      <c r="EM121" s="7" t="n">
        <v>0</v>
      </c>
      <c r="EN121" s="7" t="n">
        <v>0</v>
      </c>
      <c r="EO121" s="2"/>
      <c r="EP121" s="2"/>
      <c r="EQ121" s="2"/>
      <c r="ER121" s="2"/>
      <c r="ES121" s="2"/>
      <c r="ET121" s="2"/>
      <c r="EU121" s="2"/>
      <c r="EV121" s="2"/>
      <c r="EW121" s="2"/>
      <c r="EX121" s="2" t="inlineStr">
        <is>
          <t>968ec467-a52f-4cf6-b0b4-c4b0d830df0b</t>
        </is>
      </c>
      <c r="EY121" s="3" t="n">
        <v>1</v>
      </c>
      <c r="EZ121" s="2"/>
      <c r="FA121" s="2" t="inlineStr">
        <is>
          <t>流程审批类</t>
        </is>
      </c>
      <c r="FB121" s="2" t="inlineStr">
        <is>
          <t>每月3次以上</t>
        </is>
      </c>
      <c r="FC121" s="2" t="inlineStr">
        <is>
          <t>月</t>
        </is>
      </c>
      <c r="FD121" s="3" t="n">
        <v>3</v>
      </c>
      <c r="FE121" s="3" t="n">
        <v>3</v>
      </c>
      <c r="FF121" s="2" t="inlineStr">
        <is>
          <t>A.20分钟以内</t>
        </is>
      </c>
      <c r="FG121" s="7" t="n">
        <v>0.33</v>
      </c>
      <c r="FH121" s="7" t="n">
        <v>0.33</v>
      </c>
      <c r="FI121" s="7" t="n">
        <v>0.99</v>
      </c>
      <c r="FJ121" s="7" t="n">
        <v>0.99</v>
      </c>
      <c r="FK121" s="7" t="n">
        <v>0</v>
      </c>
      <c r="FL121" s="7" t="n">
        <v>0</v>
      </c>
      <c r="FM121" s="7" t="n">
        <v>0</v>
      </c>
      <c r="FN121" s="7" t="n">
        <v>0</v>
      </c>
      <c r="FO121" s="2" t="inlineStr">
        <is>
          <t>流程审批类</t>
        </is>
      </c>
      <c r="FP121" s="2"/>
      <c r="FQ121" s="2" t="inlineStr">
        <is>
          <t>财务管理流程</t>
        </is>
      </c>
      <c r="FR121" s="2" t="inlineStr">
        <is>
          <t>岗位职责</t>
        </is>
      </c>
      <c r="FS121" s="2" t="inlineStr">
        <is>
          <t>重要且紧急</t>
        </is>
      </c>
      <c r="FT121" s="2" t="inlineStr">
        <is>
          <t>高度标准化-有成熟SOP，照做即可</t>
        </is>
      </c>
      <c r="FU121" s="2" t="inlineStr">
        <is>
          <t>极少（&lt;5%）</t>
        </is>
      </c>
      <c r="FV121" s="2" t="inlineStr">
        <is>
          <t>脑力/复杂度负荷</t>
        </is>
      </c>
      <c r="FW121" s="2"/>
    </row>
    <row r="122">
      <c r="A122" s="2" t="inlineStr">
        <is>
          <t>2026-05-21 16:17:17</t>
        </is>
      </c>
      <c r="B122" s="2" t="inlineStr">
        <is>
          <t>赵乐</t>
        </is>
      </c>
      <c r="C122" s="2" t="inlineStr">
        <is>
          <t>综合办公室</t>
        </is>
      </c>
      <c r="D122" s="2" t="inlineStr">
        <is>
          <t>女</t>
        </is>
      </c>
      <c r="E122" s="2" t="inlineStr">
        <is>
          <t>320113199405102447</t>
        </is>
      </c>
      <c r="F122" s="2" t="inlineStr">
        <is>
          <t>主管工程师</t>
        </is>
      </c>
      <c r="G122" s="2" t="inlineStr">
        <is>
          <t>2019-10</t>
        </is>
      </c>
      <c r="H122" s="2" t="inlineStr">
        <is>
          <t>徐州工程学院</t>
        </is>
      </c>
      <c r="I122" s="2" t="inlineStr">
        <is>
          <t>其他</t>
        </is>
      </c>
      <c r="J122" s="2" t="inlineStr">
        <is>
          <t>本科</t>
        </is>
      </c>
      <c r="K122" s="2"/>
      <c r="L122" s="6">
        <f>HYPERLINK("https://www.h3yun.com/Form/Attachments/?schemacode=D1483577de63ede327d4760b10664bd57671d7e&amp;bizObjectId=559f895c-a20c-44b0-912a-d03e4fd56c9d&amp;name=F0000046","点击查看")</f>
        <v>0</v>
      </c>
      <c r="M122" s="2" t="inlineStr">
        <is>
          <t>个人认为线上走完报销流程后，无需再打印材料送至财务，真正实现无纸化报销</t>
        </is>
      </c>
      <c r="N122" s="2" t="inlineStr">
        <is>
          <t>每月工作;每季度/阶段性工作;临时/突发工作</t>
        </is>
      </c>
      <c r="O122" s="2" t="inlineStr">
        <is>
          <t>31-35岁</t>
        </is>
      </c>
      <c r="P122" s="2" t="inlineStr">
        <is>
          <t>B.已婚未育</t>
        </is>
      </c>
      <c r="Q122" s="2" t="inlineStr">
        <is>
          <t>A.否</t>
        </is>
      </c>
      <c r="R122" s="2" t="inlineStr">
        <is>
          <t>A.否</t>
        </is>
      </c>
      <c r="S122" s="2" t="inlineStr">
        <is>
          <t>A.保持当前工作内容和节奏，收入相对稳定即可</t>
        </is>
      </c>
      <c r="T122" s="2" t="inlineStr">
        <is>
          <t>A.基本满意，希望保持</t>
        </is>
      </c>
      <c r="U122" s="2" t="inlineStr">
        <is>
          <t>C.增加弹性和稳定性</t>
        </is>
      </c>
      <c r="V122" s="2" t="inlineStr">
        <is>
          <t>C.推动过局部优化</t>
        </is>
      </c>
      <c r="W122" s="2" t="inlineStr">
        <is>
          <t>F.责任边界不清</t>
        </is>
      </c>
      <c r="X122" s="2" t="inlineStr">
        <is>
          <t>C.均衡 (80%-100%)</t>
        </is>
      </c>
      <c r="Y122" s="2" t="inlineStr">
        <is>
          <t>E.临时差旅、突发事件、会议加班;I.因正常工作任务截止日遇上节假日所需加班;J.在指导答疑协助上耗时过多导致的加班</t>
        </is>
      </c>
      <c r="Z122" s="2" t="inlineStr">
        <is>
          <t>跨部门对接</t>
        </is>
      </c>
      <c r="AA122" s="2" t="inlineStr">
        <is>
          <t>无</t>
        </is>
      </c>
      <c r="AB122" s="2" t="inlineStr">
        <is>
          <t>无</t>
        </is>
      </c>
      <c r="AC122" s="2" t="inlineStr">
        <is>
          <t>A.高度匹配（得心应手）</t>
        </is>
      </c>
      <c r="AD122" s="2" t="inlineStr">
        <is>
          <t>改善员工待遇</t>
        </is>
      </c>
      <c r="AE122" s="2" t="inlineStr">
        <is>
          <t>无</t>
        </is>
      </c>
      <c r="AF122" s="2" t="inlineStr">
        <is>
          <t>无</t>
        </is>
      </c>
      <c r="AG122" s="2" t="inlineStr">
        <is>
          <t>D.配偶不是公司家属</t>
        </is>
      </c>
      <c r="AH122" s="2"/>
      <c r="AI122" s="7" t="n">
        <v>0</v>
      </c>
      <c r="AJ122" s="7" t="n">
        <v>0</v>
      </c>
      <c r="AK122" s="7" t="n">
        <v>0</v>
      </c>
      <c r="AL122" s="7" t="n">
        <v>0</v>
      </c>
      <c r="AM122" s="7" t="n">
        <v>0.91</v>
      </c>
      <c r="AN122" s="7" t="n">
        <v>0.91</v>
      </c>
      <c r="AO122" s="7" t="n">
        <v>0.07</v>
      </c>
      <c r="AP122" s="7" t="n">
        <v>0.15</v>
      </c>
      <c r="AQ122" s="7" t="n">
        <v>1.09</v>
      </c>
      <c r="AR122" s="7" t="n">
        <v>1.91</v>
      </c>
      <c r="AS122" s="7" t="n">
        <v>2.07</v>
      </c>
      <c r="AT122" s="7" t="n">
        <v>2.97</v>
      </c>
      <c r="AU122" s="7" t="n">
        <v>2.52</v>
      </c>
      <c r="AV122" s="2" t="inlineStr">
        <is>
          <t>非饱和</t>
        </is>
      </c>
      <c r="AW122" s="2" t="inlineStr">
        <is>
          <t>不一致</t>
        </is>
      </c>
      <c r="AX122" s="2" t="inlineStr">
        <is>
          <t>559f895c-a20c-44b0-912a-d03e4fd56c9d</t>
        </is>
      </c>
      <c r="AY122" s="2" t="inlineStr">
        <is>
          <t>综合办公室    赵乐</t>
        </is>
      </c>
      <c r="AZ122" s="2" t="inlineStr">
        <is>
          <t>Anonymous</t>
        </is>
      </c>
      <c r="BA122" s="2" t="inlineStr">
        <is>
          <t>Anonymous</t>
        </is>
      </c>
      <c r="BB122" s="2"/>
      <c r="BC122" s="2" t="inlineStr">
        <is>
          <t>2026-05-21 16:38:25</t>
        </is>
      </c>
      <c r="BD122" s="3" t="n">
        <v>1994</v>
      </c>
      <c r="BE122" s="3" t="n">
        <v>32</v>
      </c>
      <c r="BF122" s="2" t="inlineStr">
        <is>
          <t>A.无此需求</t>
        </is>
      </c>
      <c r="BG122" s="2" t="inlineStr">
        <is>
          <t>已生效</t>
        </is>
      </c>
      <c r="BH122" s="2" t="inlineStr">
        <is>
          <t>ada53282-9025-4e29-81fd-dca860fecc9e</t>
        </is>
      </c>
      <c r="BI122" s="3" t="n">
        <v>1</v>
      </c>
      <c r="BJ122" s="2"/>
      <c r="BK122" s="2"/>
      <c r="BL122" s="2"/>
      <c r="BM122" s="2"/>
      <c r="BN122" s="2"/>
      <c r="BO122" s="2"/>
      <c r="BP122" s="2"/>
      <c r="BQ122" s="2"/>
      <c r="BR122" s="2"/>
      <c r="BS122" s="2" t="inlineStr">
        <is>
          <t>4c581a44-9867-4cf6-b3d9-2878f81feb6a</t>
        </is>
      </c>
      <c r="BT122" s="3" t="n">
        <v>1</v>
      </c>
      <c r="BU122" s="2"/>
      <c r="BV122" s="2"/>
      <c r="BW122" s="2"/>
      <c r="BX122" s="3"/>
      <c r="BY122" s="3"/>
      <c r="BZ122" s="2"/>
      <c r="CA122" s="3"/>
      <c r="CB122" s="3"/>
      <c r="CC122" s="7" t="n">
        <v>0</v>
      </c>
      <c r="CD122" s="7" t="n">
        <v>0</v>
      </c>
      <c r="CE122" s="2"/>
      <c r="CF122" s="2"/>
      <c r="CG122" s="2"/>
      <c r="CH122" s="2"/>
      <c r="CI122" s="2"/>
      <c r="CJ122" s="2"/>
      <c r="CK122" s="2"/>
      <c r="CL122" s="2"/>
      <c r="CM122" s="2"/>
      <c r="CN122" s="2" t="inlineStr">
        <is>
          <t>ffb994a8-9250-42d9-8ee1-5029098c28ee</t>
        </is>
      </c>
      <c r="CO122" s="3" t="n">
        <v>1</v>
      </c>
      <c r="CP122" s="2"/>
      <c r="CQ122" s="2"/>
      <c r="CR122" s="2"/>
      <c r="CS122" s="3"/>
      <c r="CT122" s="3"/>
      <c r="CU122" s="2"/>
      <c r="CV122" s="3"/>
      <c r="CW122" s="3"/>
      <c r="CX122" s="7" t="n">
        <v>0</v>
      </c>
      <c r="CY122" s="7" t="n">
        <v>0</v>
      </c>
      <c r="CZ122" s="2"/>
      <c r="DA122" s="2"/>
      <c r="DB122" s="2"/>
      <c r="DC122" s="2"/>
      <c r="DD122" s="2"/>
      <c r="DE122" s="2"/>
      <c r="DF122" s="2"/>
      <c r="DG122" s="2"/>
      <c r="DH122" s="2"/>
      <c r="DI122" s="2" t="inlineStr">
        <is>
          <t>1b144dda-2eda-473c-aa11-a375d25da1ad</t>
        </is>
      </c>
      <c r="DJ122" s="3" t="n">
        <v>1</v>
      </c>
      <c r="DK122" s="2"/>
      <c r="DL122" s="2" t="inlineStr">
        <is>
          <t>党委下属 6 个支部月度工作、学习督导、业务指导、支部工作资料审核把关</t>
        </is>
      </c>
      <c r="DM122" s="2" t="inlineStr">
        <is>
          <t>1次</t>
        </is>
      </c>
      <c r="DN122" s="3" t="n">
        <v>1</v>
      </c>
      <c r="DO122" s="3" t="n">
        <v>1</v>
      </c>
      <c r="DP122" s="2" t="inlineStr">
        <is>
          <t>B.2小时以内</t>
        </is>
      </c>
      <c r="DQ122" s="7" t="n">
        <v>2</v>
      </c>
      <c r="DR122" s="7" t="n">
        <v>2</v>
      </c>
      <c r="DS122" s="7" t="n">
        <v>2</v>
      </c>
      <c r="DT122" s="7" t="n">
        <v>2</v>
      </c>
      <c r="DU122" s="2" t="inlineStr">
        <is>
          <t>专业技术类</t>
        </is>
      </c>
      <c r="DV122" s="2"/>
      <c r="DW122" s="2" t="inlineStr">
        <is>
          <t>专业问题协调</t>
        </is>
      </c>
      <c r="DX122" s="2" t="inlineStr">
        <is>
          <t>上级指令</t>
        </is>
      </c>
      <c r="DY122" s="2" t="inlineStr">
        <is>
          <t>重要不紧急</t>
        </is>
      </c>
      <c r="DZ122" s="2" t="inlineStr">
        <is>
          <t>半标准化-有流程框架，需专业经验</t>
        </is>
      </c>
      <c r="EA122" s="2" t="inlineStr">
        <is>
          <t>中频（10%-30%）</t>
        </is>
      </c>
      <c r="EB122" s="2" t="inlineStr">
        <is>
          <t>沟通/协调负荷</t>
        </is>
      </c>
      <c r="EC122" s="2"/>
      <c r="ED122" s="2" t="inlineStr">
        <is>
          <t>eaf69c9f-3510-4ab7-a289-95e7462d3bc3</t>
        </is>
      </c>
      <c r="EE122" s="3" t="n">
        <v>1</v>
      </c>
      <c r="EF122" s="2"/>
      <c r="EG122" s="2" t="inlineStr">
        <is>
          <t>党建专项材料撰写、党建工作自查自纠、党建工作季度复盘梳理</t>
        </is>
      </c>
      <c r="EH122" s="2" t="inlineStr">
        <is>
          <t>3次及以上</t>
        </is>
      </c>
      <c r="EI122" s="3" t="n">
        <v>3</v>
      </c>
      <c r="EJ122" s="2" t="inlineStr">
        <is>
          <t>C.2-4小时</t>
        </is>
      </c>
      <c r="EK122" s="7" t="n">
        <v>2</v>
      </c>
      <c r="EL122" s="7" t="n">
        <v>4</v>
      </c>
      <c r="EM122" s="7" t="n">
        <v>6</v>
      </c>
      <c r="EN122" s="7" t="n">
        <v>12</v>
      </c>
      <c r="EO122" s="2" t="inlineStr">
        <is>
          <t>行政事务类</t>
        </is>
      </c>
      <c r="EP122" s="2"/>
      <c r="EQ122" s="2" t="inlineStr">
        <is>
          <t>日常台账</t>
        </is>
      </c>
      <c r="ER122" s="2" t="inlineStr">
        <is>
          <t>岗位职责</t>
        </is>
      </c>
      <c r="ES122" s="2" t="inlineStr">
        <is>
          <t>重要不紧急</t>
        </is>
      </c>
      <c r="ET122" s="2" t="inlineStr">
        <is>
          <t>半标准化-有流程框架，需专业经验</t>
        </is>
      </c>
      <c r="EU122" s="2" t="inlineStr">
        <is>
          <t>极少（&lt;5%）</t>
        </is>
      </c>
      <c r="EV122" s="2" t="inlineStr">
        <is>
          <t>责任/风险负荷</t>
        </is>
      </c>
      <c r="EW122" s="2"/>
      <c r="EX122" s="2" t="inlineStr">
        <is>
          <t>fea3891f-e456-4aea-a871-cb76b071235f</t>
        </is>
      </c>
      <c r="EY122" s="3" t="n">
        <v>1</v>
      </c>
      <c r="EZ122" s="2"/>
      <c r="FA122" s="2" t="inlineStr">
        <is>
          <t>上级党委、街道临时下发紧急文件、通知传达落实与材料加急报送</t>
        </is>
      </c>
      <c r="FB122" s="2" t="inlineStr">
        <is>
          <t>每月3次以上</t>
        </is>
      </c>
      <c r="FC122" s="2" t="inlineStr">
        <is>
          <t>月</t>
        </is>
      </c>
      <c r="FD122" s="3" t="n">
        <v>3</v>
      </c>
      <c r="FE122" s="3" t="n">
        <v>3</v>
      </c>
      <c r="FF122" s="2" t="inlineStr">
        <is>
          <t>C.2-4小时</t>
        </is>
      </c>
      <c r="FG122" s="7" t="n">
        <v>2</v>
      </c>
      <c r="FH122" s="7" t="n">
        <v>4</v>
      </c>
      <c r="FI122" s="7" t="n">
        <v>6</v>
      </c>
      <c r="FJ122" s="7" t="n">
        <v>12</v>
      </c>
      <c r="FK122" s="7" t="n">
        <v>0</v>
      </c>
      <c r="FL122" s="7" t="n">
        <v>0</v>
      </c>
      <c r="FM122" s="7" t="n">
        <v>0</v>
      </c>
      <c r="FN122" s="7" t="n">
        <v>0</v>
      </c>
      <c r="FO122" s="2" t="inlineStr">
        <is>
          <t>行政事务类</t>
        </is>
      </c>
      <c r="FP122" s="2"/>
      <c r="FQ122" s="2" t="inlineStr">
        <is>
          <t>通知起草</t>
        </is>
      </c>
      <c r="FR122" s="2" t="inlineStr">
        <is>
          <t>上级指令</t>
        </is>
      </c>
      <c r="FS122" s="2" t="inlineStr">
        <is>
          <t>重要且紧急</t>
        </is>
      </c>
      <c r="FT122" s="2" t="inlineStr">
        <is>
          <t>半标准化-有流程框架，需专业经验</t>
        </is>
      </c>
      <c r="FU122" s="2" t="inlineStr">
        <is>
          <t>极少（&lt;5%）</t>
        </is>
      </c>
      <c r="FV122" s="2" t="inlineStr">
        <is>
          <t>时效/强度负荷</t>
        </is>
      </c>
      <c r="FW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t="inlineStr">
        <is>
          <t>bc8fdacb-fc1f-4630-afbb-b2e6452e56a3</t>
        </is>
      </c>
      <c r="DJ123" s="3" t="n">
        <v>2</v>
      </c>
      <c r="DK123" s="2"/>
      <c r="DL123" s="2" t="inlineStr">
        <is>
          <t>党务群团月度工作总结、工作台账更新完善</t>
        </is>
      </c>
      <c r="DM123" s="2" t="inlineStr">
        <is>
          <t>1次</t>
        </is>
      </c>
      <c r="DN123" s="3" t="n">
        <v>1</v>
      </c>
      <c r="DO123" s="3" t="n">
        <v>1</v>
      </c>
      <c r="DP123" s="2" t="inlineStr">
        <is>
          <t>B.2小时以内</t>
        </is>
      </c>
      <c r="DQ123" s="7" t="n">
        <v>2</v>
      </c>
      <c r="DR123" s="7" t="n">
        <v>2</v>
      </c>
      <c r="DS123" s="7" t="n">
        <v>2</v>
      </c>
      <c r="DT123" s="7" t="n">
        <v>2</v>
      </c>
      <c r="DU123" s="2" t="inlineStr">
        <is>
          <t>行政事务类</t>
        </is>
      </c>
      <c r="DV123" s="2"/>
      <c r="DW123" s="2" t="inlineStr">
        <is>
          <t>日常台账</t>
        </is>
      </c>
      <c r="DX123" s="2" t="inlineStr">
        <is>
          <t>岗位职责</t>
        </is>
      </c>
      <c r="DY123" s="2" t="inlineStr">
        <is>
          <t>重要不紧急</t>
        </is>
      </c>
      <c r="DZ123" s="2" t="inlineStr">
        <is>
          <t>高度标准化-有成熟SOP，照做即可</t>
        </is>
      </c>
      <c r="EA123" s="2" t="inlineStr">
        <is>
          <t>极少（&lt;5%）</t>
        </is>
      </c>
      <c r="EB123" s="2" t="inlineStr">
        <is>
          <t>责任/风险负荷</t>
        </is>
      </c>
      <c r="EC123" s="2"/>
      <c r="ED123" s="2" t="inlineStr">
        <is>
          <t>da5ffa49-fb51-4356-be1e-3bfd5bd6694b</t>
        </is>
      </c>
      <c r="EE123" s="3" t="n">
        <v>2</v>
      </c>
      <c r="EF123" s="2"/>
      <c r="EG123" s="2" t="inlineStr">
        <is>
          <t>大厂街道下达季度党建重点任务落地落实、阶段性专项报表汇总上报</t>
        </is>
      </c>
      <c r="EH123" s="2" t="inlineStr">
        <is>
          <t>1次</t>
        </is>
      </c>
      <c r="EI123" s="3" t="n">
        <v>1</v>
      </c>
      <c r="EJ123" s="2" t="inlineStr">
        <is>
          <t>C.2-4小时</t>
        </is>
      </c>
      <c r="EK123" s="7" t="n">
        <v>2</v>
      </c>
      <c r="EL123" s="7" t="n">
        <v>4</v>
      </c>
      <c r="EM123" s="7" t="n">
        <v>2</v>
      </c>
      <c r="EN123" s="7" t="n">
        <v>4</v>
      </c>
      <c r="EO123" s="2" t="inlineStr">
        <is>
          <t>数据报表类</t>
        </is>
      </c>
      <c r="EP123" s="2"/>
      <c r="EQ123" s="2" t="inlineStr">
        <is>
          <t>专项统计</t>
        </is>
      </c>
      <c r="ER123" s="2" t="inlineStr">
        <is>
          <t>上级指令</t>
        </is>
      </c>
      <c r="ES123" s="2" t="inlineStr">
        <is>
          <t>重要且紧急</t>
        </is>
      </c>
      <c r="ET123" s="2" t="inlineStr">
        <is>
          <t>半标准化-有流程框架，需专业经验</t>
        </is>
      </c>
      <c r="EU123" s="2" t="inlineStr">
        <is>
          <t>极少（&lt;5%）</t>
        </is>
      </c>
      <c r="EV123" s="2" t="inlineStr">
        <is>
          <t>沟通/协调负荷</t>
        </is>
      </c>
      <c r="EW123" s="2"/>
      <c r="EX123" s="2" t="inlineStr">
        <is>
          <t>290eeecc-1bd5-492e-a655-1527b2430c2e</t>
        </is>
      </c>
      <c r="EY123" s="3" t="n">
        <v>2</v>
      </c>
      <c r="EZ123" s="2"/>
      <c r="FA123" s="2" t="inlineStr">
        <is>
          <t>各级迎检、党建督查、观摩调研筹备工作，资料加急整理汇编</t>
        </is>
      </c>
      <c r="FB123" s="2" t="inlineStr">
        <is>
          <t>每月3次以上</t>
        </is>
      </c>
      <c r="FC123" s="2" t="inlineStr">
        <is>
          <t>月</t>
        </is>
      </c>
      <c r="FD123" s="3" t="n">
        <v>3</v>
      </c>
      <c r="FE123" s="3" t="n">
        <v>3</v>
      </c>
      <c r="FF123" s="2" t="inlineStr">
        <is>
          <t>C.2-4小时</t>
        </is>
      </c>
      <c r="FG123" s="7" t="n">
        <v>2</v>
      </c>
      <c r="FH123" s="7" t="n">
        <v>4</v>
      </c>
      <c r="FI123" s="7" t="n">
        <v>6</v>
      </c>
      <c r="FJ123" s="7" t="n">
        <v>12</v>
      </c>
      <c r="FK123" s="7" t="n">
        <v>0</v>
      </c>
      <c r="FL123" s="7" t="n">
        <v>0</v>
      </c>
      <c r="FM123" s="7" t="n">
        <v>0</v>
      </c>
      <c r="FN123" s="7" t="n">
        <v>0</v>
      </c>
      <c r="FO123" s="2" t="inlineStr">
        <is>
          <t>行政事务类</t>
        </is>
      </c>
      <c r="FP123" s="2"/>
      <c r="FQ123" s="2" t="inlineStr">
        <is>
          <t>日常台账</t>
        </is>
      </c>
      <c r="FR123" s="2" t="inlineStr">
        <is>
          <t>上级指令</t>
        </is>
      </c>
      <c r="FS123" s="2" t="inlineStr">
        <is>
          <t>重要且紧急</t>
        </is>
      </c>
      <c r="FT123" s="2" t="inlineStr">
        <is>
          <t>半标准化-有流程框架，需专业经验</t>
        </is>
      </c>
      <c r="FU123" s="2" t="inlineStr">
        <is>
          <t>极少（&lt;5%）</t>
        </is>
      </c>
      <c r="FV123" s="2" t="inlineStr">
        <is>
          <t>时效/强度负荷</t>
        </is>
      </c>
      <c r="FW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t="inlineStr">
        <is>
          <t>96a3bc82-8ba3-4dc8-a561-322c5078304b</t>
        </is>
      </c>
      <c r="DJ124" s="3" t="n">
        <v>3</v>
      </c>
      <c r="DK124" s="2"/>
      <c r="DL124" s="2" t="inlineStr">
        <is>
          <t>对接街道党建各条口日常沟通、政策咨询、日常事务对接，做好党建条口上传下达</t>
        </is>
      </c>
      <c r="DM124" s="2" t="inlineStr">
        <is>
          <t>8次以上</t>
        </is>
      </c>
      <c r="DN124" s="3" t="n">
        <v>8</v>
      </c>
      <c r="DO124" s="3" t="n">
        <v>8</v>
      </c>
      <c r="DP124" s="2" t="inlineStr">
        <is>
          <t>B.2小时以内</t>
        </is>
      </c>
      <c r="DQ124" s="7" t="n">
        <v>2</v>
      </c>
      <c r="DR124" s="7" t="n">
        <v>2</v>
      </c>
      <c r="DS124" s="7" t="n">
        <v>16</v>
      </c>
      <c r="DT124" s="7" t="n">
        <v>16</v>
      </c>
      <c r="DU124" s="2" t="inlineStr">
        <is>
          <t>协调沟通类</t>
        </is>
      </c>
      <c r="DV124" s="2"/>
      <c r="DW124" s="2" t="inlineStr">
        <is>
          <t>跨部门对接</t>
        </is>
      </c>
      <c r="DX124" s="2" t="inlineStr">
        <is>
          <t>岗位职责</t>
        </is>
      </c>
      <c r="DY124" s="2" t="inlineStr">
        <is>
          <t>重要且紧急</t>
        </is>
      </c>
      <c r="DZ124" s="2" t="inlineStr">
        <is>
          <t>半标准化-有流程框架，需专业经验</t>
        </is>
      </c>
      <c r="EA124" s="2" t="inlineStr">
        <is>
          <t>极少（&lt;5%）</t>
        </is>
      </c>
      <c r="EB124" s="2" t="inlineStr">
        <is>
          <t>沟通/协调负荷</t>
        </is>
      </c>
      <c r="EC124" s="2"/>
      <c r="ED124" s="2" t="inlineStr">
        <is>
          <t>45ac8b75-b412-40c9-be8c-00548f7b6753</t>
        </is>
      </c>
      <c r="EE124" s="3" t="n">
        <v>3</v>
      </c>
      <c r="EF124" s="2"/>
      <c r="EG124" s="2" t="inlineStr">
        <is>
          <t>入党积极分子、发展对象阶段性培养考察、资料完善整理</t>
        </is>
      </c>
      <c r="EH124" s="2" t="inlineStr">
        <is>
          <t>3次及以上</t>
        </is>
      </c>
      <c r="EI124" s="3" t="n">
        <v>3</v>
      </c>
      <c r="EJ124" s="2" t="inlineStr">
        <is>
          <t>C.2-4小时</t>
        </is>
      </c>
      <c r="EK124" s="7" t="n">
        <v>2</v>
      </c>
      <c r="EL124" s="7" t="n">
        <v>4</v>
      </c>
      <c r="EM124" s="7" t="n">
        <v>6</v>
      </c>
      <c r="EN124" s="7" t="n">
        <v>12</v>
      </c>
      <c r="EO124" s="2" t="inlineStr">
        <is>
          <t>行政事务类</t>
        </is>
      </c>
      <c r="EP124" s="2"/>
      <c r="EQ124" s="2" t="inlineStr">
        <is>
          <t>日常台账</t>
        </is>
      </c>
      <c r="ER124" s="2" t="inlineStr">
        <is>
          <t>岗位职责</t>
        </is>
      </c>
      <c r="ES124" s="2" t="inlineStr">
        <is>
          <t>重要且紧急</t>
        </is>
      </c>
      <c r="ET124" s="2" t="inlineStr">
        <is>
          <t>高度标准化-有成熟SOP，照做即可</t>
        </is>
      </c>
      <c r="EU124" s="2" t="inlineStr">
        <is>
          <t>中频（10%-30%）</t>
        </is>
      </c>
      <c r="EV124" s="2" t="inlineStr">
        <is>
          <t>沟通/协调负荷</t>
        </is>
      </c>
      <c r="EW124" s="2"/>
      <c r="EX124" s="2" t="inlineStr">
        <is>
          <t>478b135c-7aec-4c3a-bdca-e3752d786b21</t>
        </is>
      </c>
      <c r="EY124" s="3" t="n">
        <v>3</v>
      </c>
      <c r="EZ124" s="2"/>
      <c r="FA124" s="2" t="inlineStr">
        <is>
          <t>领导临时交办各类文字材料、汇报材料、发言稿、工作总结撰写</t>
        </is>
      </c>
      <c r="FB124" s="2" t="inlineStr">
        <is>
          <t>每月3次以上</t>
        </is>
      </c>
      <c r="FC124" s="2" t="inlineStr">
        <is>
          <t>月</t>
        </is>
      </c>
      <c r="FD124" s="3" t="n">
        <v>3</v>
      </c>
      <c r="FE124" s="3" t="n">
        <v>3</v>
      </c>
      <c r="FF124" s="2" t="inlineStr">
        <is>
          <t>C.2-4小时</t>
        </is>
      </c>
      <c r="FG124" s="7" t="n">
        <v>2</v>
      </c>
      <c r="FH124" s="7" t="n">
        <v>4</v>
      </c>
      <c r="FI124" s="7" t="n">
        <v>6</v>
      </c>
      <c r="FJ124" s="7" t="n">
        <v>12</v>
      </c>
      <c r="FK124" s="7" t="n">
        <v>0</v>
      </c>
      <c r="FL124" s="7" t="n">
        <v>0</v>
      </c>
      <c r="FM124" s="7" t="n">
        <v>0</v>
      </c>
      <c r="FN124" s="7" t="n">
        <v>0</v>
      </c>
      <c r="FO124" s="2" t="inlineStr">
        <is>
          <t>综合管理类</t>
        </is>
      </c>
      <c r="FP124" s="2"/>
      <c r="FQ124" s="2" t="inlineStr">
        <is>
          <t>专题工作推进</t>
        </is>
      </c>
      <c r="FR124" s="2" t="inlineStr">
        <is>
          <t>上级指令</t>
        </is>
      </c>
      <c r="FS124" s="2" t="inlineStr">
        <is>
          <t>重要且紧急</t>
        </is>
      </c>
      <c r="FT124" s="2" t="inlineStr">
        <is>
          <t>非标准化-无先例参考，需创新协调</t>
        </is>
      </c>
      <c r="FU124" s="2" t="inlineStr">
        <is>
          <t>低频（5%-10%）</t>
        </is>
      </c>
      <c r="FV124" s="2" t="inlineStr">
        <is>
          <t>脑力/复杂度负荷</t>
        </is>
      </c>
      <c r="FW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t="inlineStr">
        <is>
          <t>cdf438b9-c94a-4dbc-b84b-d09b48cf9425</t>
        </is>
      </c>
      <c r="EE125" s="3" t="n">
        <v>4</v>
      </c>
      <c r="EF125" s="2"/>
      <c r="EG125" s="2" t="inlineStr">
        <is>
          <t>党内常规会议前期筹备、会议记录整理、会议事项跟进落实</t>
        </is>
      </c>
      <c r="EH125" s="2" t="inlineStr">
        <is>
          <t>2次</t>
        </is>
      </c>
      <c r="EI125" s="3" t="n">
        <v>2</v>
      </c>
      <c r="EJ125" s="2" t="inlineStr">
        <is>
          <t>C.2-4小时</t>
        </is>
      </c>
      <c r="EK125" s="7" t="n">
        <v>2</v>
      </c>
      <c r="EL125" s="7" t="n">
        <v>4</v>
      </c>
      <c r="EM125" s="7" t="n">
        <v>4</v>
      </c>
      <c r="EN125" s="7" t="n">
        <v>8</v>
      </c>
      <c r="EO125" s="2" t="inlineStr">
        <is>
          <t>行政事务类</t>
        </is>
      </c>
      <c r="EP125" s="2"/>
      <c r="EQ125" s="2" t="inlineStr">
        <is>
          <t>会议安排</t>
        </is>
      </c>
      <c r="ER125" s="2" t="inlineStr">
        <is>
          <t>岗位职责</t>
        </is>
      </c>
      <c r="ES125" s="2" t="inlineStr">
        <is>
          <t>重要且紧急</t>
        </is>
      </c>
      <c r="ET125" s="2" t="inlineStr">
        <is>
          <t>半标准化-有流程框架，需专业经验</t>
        </is>
      </c>
      <c r="EU125" s="2" t="inlineStr">
        <is>
          <t>极少（&lt;5%）</t>
        </is>
      </c>
      <c r="EV125" s="2" t="inlineStr">
        <is>
          <t>时效/强度负荷</t>
        </is>
      </c>
      <c r="EW125" s="2"/>
      <c r="EX125" s="2" t="inlineStr">
        <is>
          <t>bd1f88b6-fff2-4a72-aa24-73b058273e25</t>
        </is>
      </c>
      <c r="EY125" s="3" t="n">
        <v>4</v>
      </c>
      <c r="EZ125" s="2"/>
      <c r="FA125" s="2" t="inlineStr">
        <is>
          <t>各支部突发工作难题协调处置、紧急业务指导协助</t>
        </is>
      </c>
      <c r="FB125" s="2" t="inlineStr">
        <is>
          <t>每月3次以上</t>
        </is>
      </c>
      <c r="FC125" s="2" t="inlineStr">
        <is>
          <t>月</t>
        </is>
      </c>
      <c r="FD125" s="3" t="n">
        <v>3</v>
      </c>
      <c r="FE125" s="3" t="n">
        <v>3</v>
      </c>
      <c r="FF125" s="2" t="inlineStr">
        <is>
          <t>B.2小时以内</t>
        </is>
      </c>
      <c r="FG125" s="7" t="n">
        <v>2</v>
      </c>
      <c r="FH125" s="7" t="n">
        <v>2</v>
      </c>
      <c r="FI125" s="7" t="n">
        <v>6</v>
      </c>
      <c r="FJ125" s="7" t="n">
        <v>6</v>
      </c>
      <c r="FK125" s="7" t="n">
        <v>0</v>
      </c>
      <c r="FL125" s="7" t="n">
        <v>0</v>
      </c>
      <c r="FM125" s="7" t="n">
        <v>0</v>
      </c>
      <c r="FN125" s="7" t="n">
        <v>0</v>
      </c>
      <c r="FO125" s="2" t="inlineStr">
        <is>
          <t>协调沟通类</t>
        </is>
      </c>
      <c r="FP125" s="2"/>
      <c r="FQ125" s="2" t="inlineStr">
        <is>
          <t>跨部门对接</t>
        </is>
      </c>
      <c r="FR125" s="2" t="inlineStr">
        <is>
          <t>跨部门协同</t>
        </is>
      </c>
      <c r="FS125" s="2" t="inlineStr">
        <is>
          <t>重要且紧急</t>
        </is>
      </c>
      <c r="FT125" s="2" t="inlineStr">
        <is>
          <t>非标准化-无先例参考，需创新协调</t>
        </is>
      </c>
      <c r="FU125" s="2" t="inlineStr">
        <is>
          <t>低频（5%-10%）</t>
        </is>
      </c>
      <c r="FV125" s="2" t="inlineStr">
        <is>
          <t>沟通/协调负荷</t>
        </is>
      </c>
      <c r="FW125" s="2"/>
    </row>
    <row r="126">
      <c r="A126" s="2" t="inlineStr">
        <is>
          <t>2026-05-21 16:14:45</t>
        </is>
      </c>
      <c r="B126" s="2" t="inlineStr">
        <is>
          <t>邢阳</t>
        </is>
      </c>
      <c r="C126" s="2" t="inlineStr">
        <is>
          <t>资产财务部</t>
        </is>
      </c>
      <c r="D126" s="2" t="inlineStr">
        <is>
          <t>男</t>
        </is>
      </c>
      <c r="E126" s="2" t="inlineStr">
        <is>
          <t>320125199808092058</t>
        </is>
      </c>
      <c r="F126" s="2" t="inlineStr">
        <is>
          <t>技术助理(一)</t>
        </is>
      </c>
      <c r="G126" s="2" t="inlineStr">
        <is>
          <t>2021-08</t>
        </is>
      </c>
      <c r="H126" s="2" t="inlineStr">
        <is>
          <t>常州大学</t>
        </is>
      </c>
      <c r="I126" s="2" t="inlineStr">
        <is>
          <t>会计</t>
        </is>
      </c>
      <c r="J126" s="2" t="inlineStr">
        <is>
          <t>本科</t>
        </is>
      </c>
      <c r="K126" s="2"/>
      <c r="L126" s="6">
        <f>HYPERLINK("https://www.h3yun.com/Form/Attachments/?schemacode=D1483577de63ede327d4760b10664bd57671d7e&amp;bizObjectId=7014d5da-802e-4358-8405-b05faa0dddeb&amp;name=F0000046","点击查看")</f>
        <v>0</v>
      </c>
      <c r="M126" s="2" t="inlineStr">
        <is>
          <t>目前没有，整体运行很流畅，各部门配合协调较好。</t>
        </is>
      </c>
      <c r="N126" s="2" t="inlineStr">
        <is>
          <t>每日工作</t>
        </is>
      </c>
      <c r="O126" s="2" t="inlineStr">
        <is>
          <t>26-30岁</t>
        </is>
      </c>
      <c r="P126" s="2" t="inlineStr">
        <is>
          <t>B.已婚未育</t>
        </is>
      </c>
      <c r="Q126" s="2" t="inlineStr">
        <is>
          <t>A.否</t>
        </is>
      </c>
      <c r="R126" s="2" t="inlineStr">
        <is>
          <t>A.否</t>
        </is>
      </c>
      <c r="S126" s="2" t="inlineStr">
        <is>
          <t>D.希望承担更有挑战性的工作，并争取更大发展空间</t>
        </is>
      </c>
      <c r="T126" s="2" t="inlineStr">
        <is>
          <t>B.工作内容可接受，但负荷偏重</t>
        </is>
      </c>
      <c r="U126" s="2" t="inlineStr">
        <is>
          <t>F.提高支持资源或人员配置</t>
        </is>
      </c>
      <c r="V126" s="2" t="inlineStr">
        <is>
          <t>A.没有</t>
        </is>
      </c>
      <c r="W126" s="2"/>
      <c r="X126" s="2" t="inlineStr">
        <is>
          <t>B.满负荷 (100%-120%)</t>
        </is>
      </c>
      <c r="Y126" s="2" t="inlineStr">
        <is>
          <t>B.上游资料不全，导致反复沟通/返工;E.临时差旅、突发事件、会议加班;H.研发探索性质，保持研究不间断的主动加班;J.在指导答疑协助上耗时过多导致的加班</t>
        </is>
      </c>
      <c r="Z126" s="2" t="inlineStr">
        <is>
          <t>专业问题协调</t>
        </is>
      </c>
      <c r="AA126" s="2" t="inlineStr">
        <is>
          <t>催办</t>
        </is>
      </c>
      <c r="AB126" s="2" t="inlineStr">
        <is>
          <t>信息化管理流程</t>
        </is>
      </c>
      <c r="AC126" s="2" t="inlineStr">
        <is>
          <t>B.基本匹配（正常履行）</t>
        </is>
      </c>
      <c r="AD126" s="2" t="inlineStr">
        <is>
          <t>打通境外在财务服务器和软件上的限制，电脑在国外使用报废的快。</t>
        </is>
      </c>
      <c r="AE126" s="2"/>
      <c r="AF126" s="2"/>
      <c r="AG126" s="2" t="inlineStr">
        <is>
          <t>D.配偶不是公司家属</t>
        </is>
      </c>
      <c r="AH126" s="2"/>
      <c r="AI126" s="7" t="n">
        <v>0.66</v>
      </c>
      <c r="AJ126" s="7" t="n">
        <v>1.65</v>
      </c>
      <c r="AK126" s="7" t="n">
        <v>0</v>
      </c>
      <c r="AL126" s="7" t="n">
        <v>0</v>
      </c>
      <c r="AM126" s="7" t="n">
        <v>0</v>
      </c>
      <c r="AN126" s="7" t="n">
        <v>0</v>
      </c>
      <c r="AO126" s="7" t="n">
        <v>0</v>
      </c>
      <c r="AP126" s="7" t="n">
        <v>0</v>
      </c>
      <c r="AQ126" s="7" t="n">
        <v>0</v>
      </c>
      <c r="AR126" s="7" t="n">
        <v>0</v>
      </c>
      <c r="AS126" s="7" t="n">
        <v>0.66</v>
      </c>
      <c r="AT126" s="7" t="n">
        <v>1.65</v>
      </c>
      <c r="AU126" s="7" t="n">
        <v>1.16</v>
      </c>
      <c r="AV126" s="2" t="inlineStr">
        <is>
          <t>非饱和</t>
        </is>
      </c>
      <c r="AW126" s="2" t="inlineStr">
        <is>
          <t>不一致</t>
        </is>
      </c>
      <c r="AX126" s="2" t="inlineStr">
        <is>
          <t>7014d5da-802e-4358-8405-b05faa0dddeb</t>
        </is>
      </c>
      <c r="AY126" s="2" t="inlineStr">
        <is>
          <t>资产财务部    邢阳</t>
        </is>
      </c>
      <c r="AZ126" s="2" t="inlineStr">
        <is>
          <t>Anonymous</t>
        </is>
      </c>
      <c r="BA126" s="2" t="inlineStr">
        <is>
          <t>Anonymous</t>
        </is>
      </c>
      <c r="BB126" s="2"/>
      <c r="BC126" s="2" t="inlineStr">
        <is>
          <t>2026-05-21 16:14:45</t>
        </is>
      </c>
      <c r="BD126" s="3" t="n">
        <v>1998</v>
      </c>
      <c r="BE126" s="3" t="n">
        <v>28</v>
      </c>
      <c r="BF126" s="2" t="inlineStr">
        <is>
          <t>A.无此需求</t>
        </is>
      </c>
      <c r="BG126" s="2" t="inlineStr">
        <is>
          <t>已生效</t>
        </is>
      </c>
      <c r="BH126" s="2" t="inlineStr">
        <is>
          <t>1f2f9e60-ba2f-43db-9237-7b0074b6adcb</t>
        </is>
      </c>
      <c r="BI126" s="3" t="n">
        <v>1</v>
      </c>
      <c r="BJ126" s="2"/>
      <c r="BK126" s="2"/>
      <c r="BL126" s="2"/>
      <c r="BM126" s="2"/>
      <c r="BN126" s="2"/>
      <c r="BO126" s="2"/>
      <c r="BP126" s="2"/>
      <c r="BQ126" s="2"/>
      <c r="BR126" s="2"/>
      <c r="BS126" s="2" t="inlineStr">
        <is>
          <t>28d37e92-0039-4c92-8963-577d78fde13f</t>
        </is>
      </c>
      <c r="BT126" s="3" t="n">
        <v>1</v>
      </c>
      <c r="BU126" s="2" t="inlineStr">
        <is>
          <t>协调沟通类</t>
        </is>
      </c>
      <c r="BV126" s="2" t="inlineStr">
        <is>
          <t>财务相关工作</t>
        </is>
      </c>
      <c r="BW126" s="2" t="inlineStr">
        <is>
          <t>2-5次</t>
        </is>
      </c>
      <c r="BX126" s="3" t="n">
        <v>2</v>
      </c>
      <c r="BY126" s="3" t="n">
        <v>5</v>
      </c>
      <c r="BZ126" s="2" t="inlineStr">
        <is>
          <t>A.20分钟以内</t>
        </is>
      </c>
      <c r="CA126" s="7" t="n">
        <v>0.33</v>
      </c>
      <c r="CB126" s="7" t="n">
        <v>0.33</v>
      </c>
      <c r="CC126" s="7" t="n">
        <v>0.66</v>
      </c>
      <c r="CD126" s="7" t="n">
        <v>1.65</v>
      </c>
      <c r="CE126" s="2" t="inlineStr">
        <is>
          <t>协调沟通类</t>
        </is>
      </c>
      <c r="CF126" s="2"/>
      <c r="CG126" s="2" t="inlineStr">
        <is>
          <t>催办</t>
        </is>
      </c>
      <c r="CH126" s="2" t="inlineStr">
        <is>
          <t>岗位职责</t>
        </is>
      </c>
      <c r="CI126" s="2" t="inlineStr">
        <is>
          <t>紧急不重要</t>
        </is>
      </c>
      <c r="CJ126" s="2" t="inlineStr">
        <is>
          <t>半标准化-有流程框架，需专业经验</t>
        </is>
      </c>
      <c r="CK126" s="2" t="inlineStr">
        <is>
          <t>极少（&lt;5%）</t>
        </is>
      </c>
      <c r="CL126" s="2" t="inlineStr">
        <is>
          <t>时效/强度负荷</t>
        </is>
      </c>
      <c r="CM126" s="2" t="inlineStr">
        <is>
          <t>一般业务处理流程：流程的审核-现场沟通-网银付款-反馈现场-凭证整理记账-月底统计等</t>
        </is>
      </c>
      <c r="CN126" s="2" t="inlineStr">
        <is>
          <t>54acaa92-08f4-4c76-a9e9-2481e9e6fede</t>
        </is>
      </c>
      <c r="CO126" s="3" t="n">
        <v>1</v>
      </c>
      <c r="CP126" s="2"/>
      <c r="CQ126" s="2"/>
      <c r="CR126" s="2"/>
      <c r="CS126" s="3"/>
      <c r="CT126" s="3"/>
      <c r="CU126" s="2"/>
      <c r="CV126" s="3"/>
      <c r="CW126" s="3"/>
      <c r="CX126" s="7" t="n">
        <v>0</v>
      </c>
      <c r="CY126" s="7" t="n">
        <v>0</v>
      </c>
      <c r="CZ126" s="2"/>
      <c r="DA126" s="2"/>
      <c r="DB126" s="2"/>
      <c r="DC126" s="2"/>
      <c r="DD126" s="2"/>
      <c r="DE126" s="2"/>
      <c r="DF126" s="2"/>
      <c r="DG126" s="2"/>
      <c r="DH126" s="2"/>
      <c r="DI126" s="2" t="inlineStr">
        <is>
          <t>baa22f3e-b4b2-487e-92af-cd22aac0f805</t>
        </is>
      </c>
      <c r="DJ126" s="3" t="n">
        <v>1</v>
      </c>
      <c r="DK126" s="2"/>
      <c r="DL126" s="2"/>
      <c r="DM126" s="2"/>
      <c r="DN126" s="3"/>
      <c r="DO126" s="3"/>
      <c r="DP126" s="2"/>
      <c r="DQ126" s="3"/>
      <c r="DR126" s="3"/>
      <c r="DS126" s="7" t="n">
        <v>0</v>
      </c>
      <c r="DT126" s="7" t="n">
        <v>0</v>
      </c>
      <c r="DU126" s="2"/>
      <c r="DV126" s="2"/>
      <c r="DW126" s="2"/>
      <c r="DX126" s="2"/>
      <c r="DY126" s="2"/>
      <c r="DZ126" s="2"/>
      <c r="EA126" s="2"/>
      <c r="EB126" s="2"/>
      <c r="EC126" s="2"/>
      <c r="ED126" s="2" t="inlineStr">
        <is>
          <t>4b1b38ff-c872-4015-a6fc-d07eda5b2312</t>
        </is>
      </c>
      <c r="EE126" s="3" t="n">
        <v>1</v>
      </c>
      <c r="EF126" s="2"/>
      <c r="EG126" s="2"/>
      <c r="EH126" s="2"/>
      <c r="EI126" s="3"/>
      <c r="EJ126" s="2"/>
      <c r="EK126" s="3"/>
      <c r="EL126" s="3"/>
      <c r="EM126" s="7" t="n">
        <v>0</v>
      </c>
      <c r="EN126" s="7" t="n">
        <v>0</v>
      </c>
      <c r="EO126" s="2"/>
      <c r="EP126" s="2"/>
      <c r="EQ126" s="2"/>
      <c r="ER126" s="2"/>
      <c r="ES126" s="2"/>
      <c r="ET126" s="2"/>
      <c r="EU126" s="2"/>
      <c r="EV126" s="2"/>
      <c r="EW126" s="2"/>
      <c r="EX126" s="2" t="inlineStr">
        <is>
          <t>df057aca-4a4b-4599-a404-8b85d52846d3</t>
        </is>
      </c>
      <c r="EY126" s="3" t="n">
        <v>1</v>
      </c>
      <c r="EZ126" s="2"/>
      <c r="FA126" s="2"/>
      <c r="FB126" s="2"/>
      <c r="FC126" s="2"/>
      <c r="FD126" s="3"/>
      <c r="FE126" s="3"/>
      <c r="FF126" s="2"/>
      <c r="FG126" s="3"/>
      <c r="FH126" s="3"/>
      <c r="FI126" s="7" t="n">
        <v>0</v>
      </c>
      <c r="FJ126" s="7" t="n">
        <v>0</v>
      </c>
      <c r="FK126" s="7" t="n">
        <v>0</v>
      </c>
      <c r="FL126" s="7" t="n">
        <v>0</v>
      </c>
      <c r="FM126" s="7" t="n">
        <v>0</v>
      </c>
      <c r="FN126" s="7" t="n">
        <v>0</v>
      </c>
      <c r="FO126" s="2"/>
      <c r="FP126" s="2"/>
      <c r="FQ126" s="2"/>
      <c r="FR126" s="2"/>
      <c r="FS126" s="2"/>
      <c r="FT126" s="2"/>
      <c r="FU126" s="2"/>
      <c r="FV126" s="2"/>
      <c r="FW126" s="2"/>
    </row>
    <row r="127">
      <c r="A127" s="2" t="inlineStr">
        <is>
          <t>2026-05-21 15:32:30</t>
        </is>
      </c>
      <c r="B127" s="2" t="inlineStr">
        <is>
          <t>李沛宁</t>
        </is>
      </c>
      <c r="C127" s="2" t="inlineStr">
        <is>
          <t>综合办公室</t>
        </is>
      </c>
      <c r="D127" s="2" t="inlineStr">
        <is>
          <t>男</t>
        </is>
      </c>
      <c r="E127" s="2" t="inlineStr">
        <is>
          <t>320112199608170435</t>
        </is>
      </c>
      <c r="F127" s="2" t="inlineStr">
        <is>
          <t>专业工程师</t>
        </is>
      </c>
      <c r="G127" s="2" t="inlineStr">
        <is>
          <t>2018-08</t>
        </is>
      </c>
      <c r="H127" s="2" t="inlineStr">
        <is>
          <t>江苏大学京江学院</t>
        </is>
      </c>
      <c r="I127" s="2" t="inlineStr">
        <is>
          <t>其他</t>
        </is>
      </c>
      <c r="J127" s="2" t="inlineStr">
        <is>
          <t>本科</t>
        </is>
      </c>
      <c r="K127" s="2"/>
      <c r="L127" s="6">
        <f>HYPERLINK("https://www.h3yun.com/Form/Attachments/?schemacode=D1483577de63ede327d4760b10664bd57671d7e&amp;bizObjectId=9003a0e9-b52f-4048-ad1f-cfddc9b1df0d&amp;name=F0000046","点击查看")</f>
        <v>0</v>
      </c>
      <c r="M127" s="2" t="inlineStr">
        <is>
          <t>目前我没有察觉到需要取消、合并与简化的工作，与其说是取消、合并、简化，不如说是尝试整合。许多部门可能连最基本的部门职能都不清楚，只是按照过去的习惯工作，如果每个部门的职员都能够明白自己的部门职能，那么在协调与划分工作、薪酬分配的时候也能够有据可依。</t>
        </is>
      </c>
      <c r="N127" s="2" t="inlineStr">
        <is>
          <t>每日工作;每周工作;每月工作;每季度/阶段性工作;临时/突发工作</t>
        </is>
      </c>
      <c r="O127" s="2" t="inlineStr">
        <is>
          <t>26-30岁</t>
        </is>
      </c>
      <c r="P127" s="2" t="inlineStr">
        <is>
          <t>B.已婚未育</t>
        </is>
      </c>
      <c r="Q127" s="2" t="inlineStr">
        <is>
          <t>A.否</t>
        </is>
      </c>
      <c r="R127" s="2" t="inlineStr">
        <is>
          <t>A.否</t>
        </is>
      </c>
      <c r="S127" s="2" t="inlineStr">
        <is>
          <t>C.希望工作压力适中，但职责边界更清晰</t>
        </is>
      </c>
      <c r="T127" s="2" t="inlineStr">
        <is>
          <t>C.工作较稳定，但发展空间不足</t>
        </is>
      </c>
      <c r="U127" s="2" t="inlineStr">
        <is>
          <t>D.明确职责边界</t>
        </is>
      </c>
      <c r="V127" s="2" t="inlineStr">
        <is>
          <t>B.提出过建议，但未推动</t>
        </is>
      </c>
      <c r="W127" s="2" t="inlineStr">
        <is>
          <t>A.缺少上级支持</t>
        </is>
      </c>
      <c r="X127" s="2" t="inlineStr">
        <is>
          <t>C.均衡 (80%-100%)</t>
        </is>
      </c>
      <c r="Y127" s="2" t="inlineStr">
        <is>
          <t>C.会议或日常协调过多，压缩产出时间;E.临时差旅、突发事件、会议加班;I.因正常工作任务截止日遇上节假日所需加班</t>
        </is>
      </c>
      <c r="Z127" s="2" t="inlineStr">
        <is>
          <t>专题工作推进</t>
        </is>
      </c>
      <c r="AA127" s="2" t="inlineStr">
        <is>
          <t>跨部门对接</t>
        </is>
      </c>
      <c r="AB127" s="2" t="inlineStr">
        <is>
          <t>整改闭环</t>
        </is>
      </c>
      <c r="AC127" s="2" t="inlineStr">
        <is>
          <t>B.基本匹配（正常履行）</t>
        </is>
      </c>
      <c r="AD127" s="2" t="inlineStr">
        <is>
          <t xml:space="preserve">人员岗位明晰化，我明白这是需要分情况阐述的，因为在领导威信较高/非正式权力有效运作的情况下，任务的分配是“发布式”的，就像冒险者在任务酒馆领任务，然后完成，这仰赖于良好的工作氛围和领导非正式权力的有效运作。但是在一般部门，领导力或威信不足，非正式权力难以正常运作的情况下，必须动用正式权力强令员工承担工作，当面临复杂协调或者重合部分，工作内容归属就非常暧昧不明，中间的任务分配弹性很大，分配权力掌握在直属领导手中，因为年资或者其他原因导致处于弱势地位的员工工作负荷就会很大，甚至自己的工作成果出现在了部门其他人员甚至其他部门人员的报告中。
如果能做到岗位职责明确，人人都知道自己的工作内容是什么，公司进行薪酬分配可以有明确标准，再赋予一定的制度弹性，员工积极性应当会有长进，且想有进取心的员工会开始精研自己的技艺，更有效率或者更好地完成工作。就算是想维持现状的员工，也会因为熟练掌握工作内容，进而胜任工作。同时可以通过梳理同类型的工作，使一名员工具备A、B两套工作内容，以A为主，以B为辅，在负责B内容的工作伙伴出现缺岗或者特殊情况时，能够不影响事务的正常推进。同时由于负责A类工作，使部门进行外部协调时，也能提高协调效率，因为大家都知道哪位同事一般负责哪些类目。
而且，这个优化建议还能够促使效率的提高，彼得·德鲁克的管理建议一言以蔽之就是通过优化分工，让专业的人做专业的事，进而提高工作效率，提升工作效果，降低返工，降低成本，这与刘易斯的项目管理经验也不谋而合。因此，我认为应当推动人员岗位明晰化，避免部门间甚至部门内部发生扯皮，进而导致团队氛围差，造成员工离心。
</t>
        </is>
      </c>
      <c r="AE127" s="2" t="inlineStr">
        <is>
          <t>暂无</t>
        </is>
      </c>
      <c r="AF127" s="2" t="inlineStr">
        <is>
          <t>暂无</t>
        </is>
      </c>
      <c r="AG127" s="2" t="inlineStr">
        <is>
          <t>D.配偶不是公司家属</t>
        </is>
      </c>
      <c r="AH127" s="2"/>
      <c r="AI127" s="7" t="n">
        <v>5.3</v>
      </c>
      <c r="AJ127" s="7" t="n">
        <v>8.6</v>
      </c>
      <c r="AK127" s="7" t="n">
        <v>0.8</v>
      </c>
      <c r="AL127" s="7" t="n">
        <v>1.2</v>
      </c>
      <c r="AM127" s="7" t="n">
        <v>0.55</v>
      </c>
      <c r="AN127" s="7" t="n">
        <v>1.64</v>
      </c>
      <c r="AO127" s="7" t="n">
        <v>0.01</v>
      </c>
      <c r="AP127" s="7" t="n">
        <v>0.02</v>
      </c>
      <c r="AQ127" s="7" t="n">
        <v>0.22</v>
      </c>
      <c r="AR127" s="7" t="n">
        <v>0.4</v>
      </c>
      <c r="AS127" s="7" t="n">
        <v>6.88</v>
      </c>
      <c r="AT127" s="7" t="n">
        <v>11.86</v>
      </c>
      <c r="AU127" s="7" t="n">
        <v>9.37</v>
      </c>
      <c r="AV127" s="2" t="inlineStr">
        <is>
          <t>满负荷</t>
        </is>
      </c>
      <c r="AW127" s="2" t="inlineStr">
        <is>
          <t>不一致</t>
        </is>
      </c>
      <c r="AX127" s="2" t="inlineStr">
        <is>
          <t>9003a0e9-b52f-4048-ad1f-cfddc9b1df0d</t>
        </is>
      </c>
      <c r="AY127" s="2" t="inlineStr">
        <is>
          <t>综合办公室    李沛宁</t>
        </is>
      </c>
      <c r="AZ127" s="2" t="inlineStr">
        <is>
          <t>Anonymous</t>
        </is>
      </c>
      <c r="BA127" s="2" t="inlineStr">
        <is>
          <t>Anonymous</t>
        </is>
      </c>
      <c r="BB127" s="2"/>
      <c r="BC127" s="2" t="inlineStr">
        <is>
          <t>2026-05-21 16:00:58</t>
        </is>
      </c>
      <c r="BD127" s="3" t="n">
        <v>1996</v>
      </c>
      <c r="BE127" s="3" t="n">
        <v>30</v>
      </c>
      <c r="BF127" s="2" t="inlineStr">
        <is>
          <t>A.无此需求</t>
        </is>
      </c>
      <c r="BG127" s="2" t="inlineStr">
        <is>
          <t>已生效</t>
        </is>
      </c>
      <c r="BH127" s="2" t="inlineStr">
        <is>
          <t>1a56f2c2-feaf-47f3-88e1-f2c52b8c7fda</t>
        </is>
      </c>
      <c r="BI127" s="3" t="n">
        <v>1</v>
      </c>
      <c r="BJ127" s="2"/>
      <c r="BK127" s="2"/>
      <c r="BL127" s="2"/>
      <c r="BM127" s="2"/>
      <c r="BN127" s="2"/>
      <c r="BO127" s="2"/>
      <c r="BP127" s="2"/>
      <c r="BQ127" s="2"/>
      <c r="BR127" s="2"/>
      <c r="BS127" s="2" t="inlineStr">
        <is>
          <t>de367ef7-0846-402a-a62a-d0c72f59304b</t>
        </is>
      </c>
      <c r="BT127" s="3" t="n">
        <v>1</v>
      </c>
      <c r="BU127" s="2" t="inlineStr">
        <is>
          <t>行政事务类</t>
        </is>
      </c>
      <c r="BV127" s="2" t="inlineStr">
        <is>
          <t>行政审批流程</t>
        </is>
      </c>
      <c r="BW127" s="2" t="inlineStr">
        <is>
          <t>6-10次</t>
        </is>
      </c>
      <c r="BX127" s="3" t="n">
        <v>6</v>
      </c>
      <c r="BY127" s="3" t="n">
        <v>10</v>
      </c>
      <c r="BZ127" s="2" t="inlineStr">
        <is>
          <t>A.20分钟以内</t>
        </is>
      </c>
      <c r="CA127" s="7" t="n">
        <v>0.33</v>
      </c>
      <c r="CB127" s="7" t="n">
        <v>0.33</v>
      </c>
      <c r="CC127" s="7" t="n">
        <v>1.98</v>
      </c>
      <c r="CD127" s="7" t="n">
        <v>3.3</v>
      </c>
      <c r="CE127" s="2" t="inlineStr">
        <is>
          <t>行政事务类</t>
        </is>
      </c>
      <c r="CF127" s="2"/>
      <c r="CG127" s="2" t="inlineStr">
        <is>
          <t>用章流转</t>
        </is>
      </c>
      <c r="CH127" s="2" t="inlineStr">
        <is>
          <t>自主发起</t>
        </is>
      </c>
      <c r="CI127" s="2" t="inlineStr">
        <is>
          <t>重要且紧急</t>
        </is>
      </c>
      <c r="CJ127" s="2" t="inlineStr">
        <is>
          <t>半标准化-有流程框架，需专业经验</t>
        </is>
      </c>
      <c r="CK127" s="2" t="inlineStr">
        <is>
          <t>极少（&lt;5%）</t>
        </is>
      </c>
      <c r="CL127" s="2" t="inlineStr">
        <is>
          <t>责任/风险负荷</t>
        </is>
      </c>
      <c r="CM127" s="2" t="inlineStr">
        <is>
          <t>本身负责章的员工会有外勤任务或其他事物需要不在，此时需要承担该职责</t>
        </is>
      </c>
      <c r="CN127" s="2" t="inlineStr">
        <is>
          <t>a31584ad-cef2-49e3-8438-553f1056c51a</t>
        </is>
      </c>
      <c r="CO127" s="3" t="n">
        <v>1</v>
      </c>
      <c r="CP127" s="2"/>
      <c r="CQ127" s="2" t="inlineStr">
        <is>
          <t>盘库</t>
        </is>
      </c>
      <c r="CR127" s="2" t="inlineStr">
        <is>
          <t>2-3次</t>
        </is>
      </c>
      <c r="CS127" s="3" t="n">
        <v>2</v>
      </c>
      <c r="CT127" s="3" t="n">
        <v>3</v>
      </c>
      <c r="CU127" s="2" t="inlineStr">
        <is>
          <t>B.2小时以内</t>
        </is>
      </c>
      <c r="CV127" s="7" t="n">
        <v>2</v>
      </c>
      <c r="CW127" s="7" t="n">
        <v>2</v>
      </c>
      <c r="CX127" s="7" t="n">
        <v>4</v>
      </c>
      <c r="CY127" s="7" t="n">
        <v>6</v>
      </c>
      <c r="CZ127" s="2" t="inlineStr">
        <is>
          <t>行政事务类</t>
        </is>
      </c>
      <c r="DA127" s="2"/>
      <c r="DB127" s="2" t="inlineStr">
        <is>
          <t>接待保障</t>
        </is>
      </c>
      <c r="DC127" s="2" t="inlineStr">
        <is>
          <t>岗位职责</t>
        </is>
      </c>
      <c r="DD127" s="2" t="inlineStr">
        <is>
          <t>重要不紧急</t>
        </is>
      </c>
      <c r="DE127" s="2" t="inlineStr">
        <is>
          <t>半标准化-有流程框架，需专业经验</t>
        </is>
      </c>
      <c r="DF127" s="2" t="inlineStr">
        <is>
          <t>极少（&lt;5%）</t>
        </is>
      </c>
      <c r="DG127" s="2" t="inlineStr">
        <is>
          <t>责任/风险负荷</t>
        </is>
      </c>
      <c r="DH127" s="2" t="inlineStr">
        <is>
          <t>掌握物资情况，辅助部门领导决策</t>
        </is>
      </c>
      <c r="DI127" s="2" t="inlineStr">
        <is>
          <t>919be397-5853-48d4-9807-3b5598e88481</t>
        </is>
      </c>
      <c r="DJ127" s="3" t="n">
        <v>1</v>
      </c>
      <c r="DK127" s="2"/>
      <c r="DL127" s="2" t="inlineStr">
        <is>
          <t>会议文书起草</t>
        </is>
      </c>
      <c r="DM127" s="2" t="inlineStr">
        <is>
          <t>2-3次</t>
        </is>
      </c>
      <c r="DN127" s="3" t="n">
        <v>2</v>
      </c>
      <c r="DO127" s="3" t="n">
        <v>3</v>
      </c>
      <c r="DP127" s="2" t="inlineStr">
        <is>
          <t>D.4-8小时</t>
        </is>
      </c>
      <c r="DQ127" s="7" t="n">
        <v>4</v>
      </c>
      <c r="DR127" s="7" t="n">
        <v>8</v>
      </c>
      <c r="DS127" s="7" t="n">
        <v>8</v>
      </c>
      <c r="DT127" s="7" t="n">
        <v>24</v>
      </c>
      <c r="DU127" s="2" t="inlineStr">
        <is>
          <t>综合管理类</t>
        </is>
      </c>
      <c r="DV127" s="2"/>
      <c r="DW127" s="2" t="inlineStr">
        <is>
          <t>综合性汇报组织</t>
        </is>
      </c>
      <c r="DX127" s="2" t="inlineStr">
        <is>
          <t>岗位职责</t>
        </is>
      </c>
      <c r="DY127" s="2" t="inlineStr">
        <is>
          <t>重要且紧急</t>
        </is>
      </c>
      <c r="DZ127" s="2" t="inlineStr">
        <is>
          <t>半标准化-有流程框架，需专业经验</t>
        </is>
      </c>
      <c r="EA127" s="2" t="inlineStr">
        <is>
          <t>中频（10%-30%）</t>
        </is>
      </c>
      <c r="EB127" s="2" t="inlineStr">
        <is>
          <t>脑力/复杂度负荷</t>
        </is>
      </c>
      <c r="EC127" s="2" t="inlineStr">
        <is>
          <t>需要参会并进行总结编纂</t>
        </is>
      </c>
      <c r="ED127" s="2" t="inlineStr">
        <is>
          <t>5767c04a-02d0-4d69-adcc-01882c8225ef</t>
        </is>
      </c>
      <c r="EE127" s="3" t="n">
        <v>1</v>
      </c>
      <c r="EF127" s="2"/>
      <c r="EG127" s="2" t="inlineStr">
        <is>
          <t>季度会议辅助</t>
        </is>
      </c>
      <c r="EH127" s="2" t="inlineStr">
        <is>
          <t>1次</t>
        </is>
      </c>
      <c r="EI127" s="3" t="n">
        <v>1</v>
      </c>
      <c r="EJ127" s="2" t="inlineStr">
        <is>
          <t>C.2-4小时</t>
        </is>
      </c>
      <c r="EK127" s="7" t="n">
        <v>2</v>
      </c>
      <c r="EL127" s="7" t="n">
        <v>4</v>
      </c>
      <c r="EM127" s="7" t="n">
        <v>2</v>
      </c>
      <c r="EN127" s="7" t="n">
        <v>4</v>
      </c>
      <c r="EO127" s="2" t="inlineStr">
        <is>
          <t>行政事务类</t>
        </is>
      </c>
      <c r="EP127" s="2"/>
      <c r="EQ127" s="2" t="inlineStr">
        <is>
          <t>会议安排</t>
        </is>
      </c>
      <c r="ER127" s="2" t="inlineStr">
        <is>
          <t>岗位职责</t>
        </is>
      </c>
      <c r="ES127" s="2" t="inlineStr">
        <is>
          <t>重要不紧急</t>
        </is>
      </c>
      <c r="ET127" s="2" t="inlineStr">
        <is>
          <t>高度标准化-有成熟SOP，照做即可</t>
        </is>
      </c>
      <c r="EU127" s="2" t="inlineStr">
        <is>
          <t>低频（5%-10%）</t>
        </is>
      </c>
      <c r="EV127" s="2" t="inlineStr">
        <is>
          <t>沟通/协调负荷</t>
        </is>
      </c>
      <c r="EW127" s="2"/>
      <c r="EX127" s="2" t="inlineStr">
        <is>
          <t>296ba612-73a7-4a9b-b066-7bcd3d785289</t>
        </is>
      </c>
      <c r="EY127" s="3" t="n">
        <v>1</v>
      </c>
      <c r="EZ127" s="2"/>
      <c r="FA127" s="2" t="inlineStr">
        <is>
          <t>宣传类目</t>
        </is>
      </c>
      <c r="FB127" s="2" t="inlineStr">
        <is>
          <t>每年1-2次</t>
        </is>
      </c>
      <c r="FC127" s="2" t="inlineStr">
        <is>
          <t>年</t>
        </is>
      </c>
      <c r="FD127" s="3" t="n">
        <v>1</v>
      </c>
      <c r="FE127" s="3" t="n">
        <v>2</v>
      </c>
      <c r="FF127" s="2" t="inlineStr">
        <is>
          <t>E.8小时以上</t>
        </is>
      </c>
      <c r="FG127" s="7" t="n">
        <v>8</v>
      </c>
      <c r="FH127" s="7" t="n">
        <v>8</v>
      </c>
      <c r="FI127" s="7" t="n">
        <v>0</v>
      </c>
      <c r="FJ127" s="7" t="n">
        <v>0</v>
      </c>
      <c r="FK127" s="7" t="n">
        <v>0</v>
      </c>
      <c r="FL127" s="7" t="n">
        <v>0</v>
      </c>
      <c r="FM127" s="7" t="n">
        <v>8</v>
      </c>
      <c r="FN127" s="7" t="n">
        <v>16</v>
      </c>
      <c r="FO127" s="2" t="inlineStr">
        <is>
          <t>综合管理类</t>
        </is>
      </c>
      <c r="FP127" s="2"/>
      <c r="FQ127" s="2" t="inlineStr">
        <is>
          <t>专题工作推进</t>
        </is>
      </c>
      <c r="FR127" s="2" t="inlineStr">
        <is>
          <t>上级指令</t>
        </is>
      </c>
      <c r="FS127" s="2" t="inlineStr">
        <is>
          <t>重要不紧急</t>
        </is>
      </c>
      <c r="FT127" s="2" t="inlineStr">
        <is>
          <t>非标准化-无先例参考，需创新协调</t>
        </is>
      </c>
      <c r="FU127" s="2" t="inlineStr">
        <is>
          <t>高频（&gt;30%）</t>
        </is>
      </c>
      <c r="FV127" s="2" t="inlineStr">
        <is>
          <t>沟通/协调负荷</t>
        </is>
      </c>
      <c r="FW127" s="2" t="inlineStr">
        <is>
          <t>这种工作以上级指令与需求为特征，会出现具体事务执行过程中，工作项目的需求还没有确定或明确，就开始立项的情况，或有“无头”项目之感，主体工作外包，但是沟通协调工作量会随需求变化而增加</t>
        </is>
      </c>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t="inlineStr">
        <is>
          <t>ce74607c-6cf2-469b-bda4-91f94a54b101</t>
        </is>
      </c>
      <c r="BT128" s="3" t="n">
        <v>2</v>
      </c>
      <c r="BU128" s="2" t="inlineStr">
        <is>
          <t>行政事务类</t>
        </is>
      </c>
      <c r="BV128" s="2" t="inlineStr">
        <is>
          <t>突发任务</t>
        </is>
      </c>
      <c r="BW128" s="2" t="inlineStr">
        <is>
          <t>2-5次</t>
        </is>
      </c>
      <c r="BX128" s="3" t="n">
        <v>2</v>
      </c>
      <c r="BY128" s="3" t="n">
        <v>5</v>
      </c>
      <c r="BZ128" s="2" t="inlineStr">
        <is>
          <t>A.20分钟以内</t>
        </is>
      </c>
      <c r="CA128" s="7" t="n">
        <v>0.33</v>
      </c>
      <c r="CB128" s="7" t="n">
        <v>0.33</v>
      </c>
      <c r="CC128" s="7" t="n">
        <v>0.66</v>
      </c>
      <c r="CD128" s="7" t="n">
        <v>1.65</v>
      </c>
      <c r="CE128" s="2" t="inlineStr">
        <is>
          <t>行政事务类</t>
        </is>
      </c>
      <c r="CF128" s="2"/>
      <c r="CG128" s="2" t="inlineStr">
        <is>
          <t>会议安排</t>
        </is>
      </c>
      <c r="CH128" s="2" t="inlineStr">
        <is>
          <t>岗位职责</t>
        </is>
      </c>
      <c r="CI128" s="2" t="inlineStr">
        <is>
          <t>紧急不重要</t>
        </is>
      </c>
      <c r="CJ128" s="2" t="inlineStr">
        <is>
          <t>高度标准化-有成熟SOP，照做即可</t>
        </is>
      </c>
      <c r="CK128" s="2" t="inlineStr">
        <is>
          <t>极少（&lt;5%）</t>
        </is>
      </c>
      <c r="CL128" s="2" t="inlineStr">
        <is>
          <t>时效/强度负荷</t>
        </is>
      </c>
      <c r="CM128" s="2" t="inlineStr">
        <is>
          <t>琐事，一般以领导需求发生为原因</t>
        </is>
      </c>
      <c r="CN128" s="2"/>
      <c r="CO128" s="2"/>
      <c r="CP128" s="2"/>
      <c r="CQ128" s="2"/>
      <c r="CR128" s="2"/>
      <c r="CS128" s="2"/>
      <c r="CT128" s="2"/>
      <c r="CU128" s="2"/>
      <c r="CV128" s="2"/>
      <c r="CW128" s="2"/>
      <c r="CX128" s="2"/>
      <c r="CY128" s="2"/>
      <c r="CZ128" s="2"/>
      <c r="DA128" s="2"/>
      <c r="DB128" s="2"/>
      <c r="DC128" s="2"/>
      <c r="DD128" s="2"/>
      <c r="DE128" s="2"/>
      <c r="DF128" s="2"/>
      <c r="DG128" s="2"/>
      <c r="DH128" s="2"/>
      <c r="DI128" s="2" t="inlineStr">
        <is>
          <t>17e23f4e-4dff-447c-990d-3caa50e92f84</t>
        </is>
      </c>
      <c r="DJ128" s="3" t="n">
        <v>2</v>
      </c>
      <c r="DK128" s="2"/>
      <c r="DL128" s="2" t="inlineStr">
        <is>
          <t>宣传材料供稿/编辑/校对</t>
        </is>
      </c>
      <c r="DM128" s="2" t="inlineStr">
        <is>
          <t>2-3次</t>
        </is>
      </c>
      <c r="DN128" s="3" t="n">
        <v>2</v>
      </c>
      <c r="DO128" s="3" t="n">
        <v>3</v>
      </c>
      <c r="DP128" s="2" t="inlineStr">
        <is>
          <t>C.2-4小时</t>
        </is>
      </c>
      <c r="DQ128" s="7" t="n">
        <v>2</v>
      </c>
      <c r="DR128" s="7" t="n">
        <v>4</v>
      </c>
      <c r="DS128" s="7" t="n">
        <v>4</v>
      </c>
      <c r="DT128" s="7" t="n">
        <v>12</v>
      </c>
      <c r="DU128" s="2" t="inlineStr">
        <is>
          <t>综合管理类</t>
        </is>
      </c>
      <c r="DV128" s="2"/>
      <c r="DW128" s="2" t="inlineStr">
        <is>
          <t>专题工作推进</t>
        </is>
      </c>
      <c r="DX128" s="2" t="inlineStr">
        <is>
          <t>岗位职责</t>
        </is>
      </c>
      <c r="DY128" s="2" t="inlineStr">
        <is>
          <t>不重要不紧急</t>
        </is>
      </c>
      <c r="DZ128" s="2" t="inlineStr">
        <is>
          <t>半标准化-有流程框架，需专业经验</t>
        </is>
      </c>
      <c r="EA128" s="2" t="inlineStr">
        <is>
          <t>低频（5%-10%）</t>
        </is>
      </c>
      <c r="EB128" s="2" t="inlineStr">
        <is>
          <t>时效/强度负荷</t>
        </is>
      </c>
      <c r="EC128" s="2"/>
      <c r="ED128" s="2"/>
      <c r="EE128" s="2"/>
      <c r="EF128" s="2"/>
      <c r="EG128" s="2"/>
      <c r="EH128" s="2"/>
      <c r="EI128" s="2"/>
      <c r="EJ128" s="2"/>
      <c r="EK128" s="2"/>
      <c r="EL128" s="2"/>
      <c r="EM128" s="2"/>
      <c r="EN128" s="2"/>
      <c r="EO128" s="2"/>
      <c r="EP128" s="2"/>
      <c r="EQ128" s="2"/>
      <c r="ER128" s="2"/>
      <c r="ES128" s="2"/>
      <c r="ET128" s="2"/>
      <c r="EU128" s="2"/>
      <c r="EV128" s="2"/>
      <c r="EW128" s="2"/>
      <c r="EX128" s="2" t="inlineStr">
        <is>
          <t>f0b49874-221b-4db1-b6d0-8eece4b6c6ef</t>
        </is>
      </c>
      <c r="EY128" s="3" t="n">
        <v>2</v>
      </c>
      <c r="EZ128" s="2"/>
      <c r="FA128" s="2" t="inlineStr">
        <is>
          <t>工商信息变更</t>
        </is>
      </c>
      <c r="FB128" s="2" t="inlineStr">
        <is>
          <t>每年1-2次</t>
        </is>
      </c>
      <c r="FC128" s="2" t="inlineStr">
        <is>
          <t>年</t>
        </is>
      </c>
      <c r="FD128" s="3" t="n">
        <v>1</v>
      </c>
      <c r="FE128" s="3" t="n">
        <v>2</v>
      </c>
      <c r="FF128" s="2" t="inlineStr">
        <is>
          <t>E.8小时以上</t>
        </is>
      </c>
      <c r="FG128" s="7" t="n">
        <v>8</v>
      </c>
      <c r="FH128" s="7" t="n">
        <v>8</v>
      </c>
      <c r="FI128" s="7" t="n">
        <v>0</v>
      </c>
      <c r="FJ128" s="7" t="n">
        <v>0</v>
      </c>
      <c r="FK128" s="7" t="n">
        <v>0</v>
      </c>
      <c r="FL128" s="7" t="n">
        <v>0</v>
      </c>
      <c r="FM128" s="7" t="n">
        <v>8</v>
      </c>
      <c r="FN128" s="7" t="n">
        <v>16</v>
      </c>
      <c r="FO128" s="2" t="inlineStr">
        <is>
          <t>监督检查类</t>
        </is>
      </c>
      <c r="FP128" s="2"/>
      <c r="FQ128" s="2" t="inlineStr">
        <is>
          <t>合规监督</t>
        </is>
      </c>
      <c r="FR128" s="2" t="inlineStr">
        <is>
          <t>上级指令</t>
        </is>
      </c>
      <c r="FS128" s="2" t="inlineStr">
        <is>
          <t>重要且紧急</t>
        </is>
      </c>
      <c r="FT128" s="2" t="inlineStr">
        <is>
          <t>高度标准化-有成熟SOP，照做即可</t>
        </is>
      </c>
      <c r="FU128" s="2" t="inlineStr">
        <is>
          <t>低频（5%-10%）</t>
        </is>
      </c>
      <c r="FV128" s="2" t="inlineStr">
        <is>
          <t>沟通/协调负荷</t>
        </is>
      </c>
      <c r="FW128" s="2" t="inlineStr">
        <is>
          <t>有时需要多部门协调，有前置文件要求就会卡住</t>
        </is>
      </c>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t="inlineStr">
        <is>
          <t>7edd37bc-f721-44c0-8ef1-c10bdf3225ec</t>
        </is>
      </c>
      <c r="BT129" s="3" t="n">
        <v>3</v>
      </c>
      <c r="BU129" s="2" t="inlineStr">
        <is>
          <t>行政事务类</t>
        </is>
      </c>
      <c r="BV129" s="2" t="inlineStr">
        <is>
          <t>会议接待</t>
        </is>
      </c>
      <c r="BW129" s="2" t="inlineStr">
        <is>
          <t>1次</t>
        </is>
      </c>
      <c r="BX129" s="3" t="n">
        <v>1</v>
      </c>
      <c r="BY129" s="3" t="n">
        <v>1</v>
      </c>
      <c r="BZ129" s="2" t="inlineStr">
        <is>
          <t>B.2小时以内</t>
        </is>
      </c>
      <c r="CA129" s="7" t="n">
        <v>2</v>
      </c>
      <c r="CB129" s="7" t="n">
        <v>2</v>
      </c>
      <c r="CC129" s="7" t="n">
        <v>2</v>
      </c>
      <c r="CD129" s="7" t="n">
        <v>2</v>
      </c>
      <c r="CE129" s="2" t="inlineStr">
        <is>
          <t>行政事务类</t>
        </is>
      </c>
      <c r="CF129" s="2"/>
      <c r="CG129" s="2" t="inlineStr">
        <is>
          <t>会议安排</t>
        </is>
      </c>
      <c r="CH129" s="2" t="inlineStr">
        <is>
          <t>岗位职责</t>
        </is>
      </c>
      <c r="CI129" s="2" t="inlineStr">
        <is>
          <t>紧急不重要</t>
        </is>
      </c>
      <c r="CJ129" s="2" t="inlineStr">
        <is>
          <t>高度标准化-有成熟SOP，照做即可</t>
        </is>
      </c>
      <c r="CK129" s="2" t="inlineStr">
        <is>
          <t>极少（&lt;5%）</t>
        </is>
      </c>
      <c r="CL129" s="2" t="inlineStr">
        <is>
          <t>时效/强度负荷</t>
        </is>
      </c>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t="inlineStr">
        <is>
          <t>f6c84074-fa4a-4599-ab8a-3f1ad263c344</t>
        </is>
      </c>
      <c r="EY129" s="3" t="n">
        <v>3</v>
      </c>
      <c r="EZ129" s="2"/>
      <c r="FA129" s="2" t="inlineStr">
        <is>
          <t>特别项目推进</t>
        </is>
      </c>
      <c r="FB129" s="2" t="inlineStr">
        <is>
          <t>每年1-2次</t>
        </is>
      </c>
      <c r="FC129" s="2" t="inlineStr">
        <is>
          <t>年</t>
        </is>
      </c>
      <c r="FD129" s="3" t="n">
        <v>1</v>
      </c>
      <c r="FE129" s="3" t="n">
        <v>2</v>
      </c>
      <c r="FF129" s="2" t="inlineStr">
        <is>
          <t>E.8小时以上</t>
        </is>
      </c>
      <c r="FG129" s="7" t="n">
        <v>8</v>
      </c>
      <c r="FH129" s="7" t="n">
        <v>8</v>
      </c>
      <c r="FI129" s="7" t="n">
        <v>0</v>
      </c>
      <c r="FJ129" s="7" t="n">
        <v>0</v>
      </c>
      <c r="FK129" s="7" t="n">
        <v>0</v>
      </c>
      <c r="FL129" s="7" t="n">
        <v>0</v>
      </c>
      <c r="FM129" s="7" t="n">
        <v>8</v>
      </c>
      <c r="FN129" s="7" t="n">
        <v>16</v>
      </c>
      <c r="FO129" s="2" t="inlineStr">
        <is>
          <t>综合管理类</t>
        </is>
      </c>
      <c r="FP129" s="2"/>
      <c r="FQ129" s="2" t="inlineStr">
        <is>
          <t>专题工作推进</t>
        </is>
      </c>
      <c r="FR129" s="2" t="inlineStr">
        <is>
          <t>上级指令</t>
        </is>
      </c>
      <c r="FS129" s="2" t="inlineStr">
        <is>
          <t>重要不紧急</t>
        </is>
      </c>
      <c r="FT129" s="2" t="inlineStr">
        <is>
          <t>半标准化-有流程框架，需专业经验</t>
        </is>
      </c>
      <c r="FU129" s="2" t="inlineStr">
        <is>
          <t>中频（10%-30%）</t>
        </is>
      </c>
      <c r="FV129" s="2" t="inlineStr">
        <is>
          <t>时效/强度负荷</t>
        </is>
      </c>
      <c r="FW129" s="2" t="inlineStr">
        <is>
          <t>由公司领导或部门领导发起的特别项目，比如合作伙伴会、年会等事务，可以使用AI搭建框架，进行处理</t>
        </is>
      </c>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t="inlineStr">
        <is>
          <t>6762b48e-6575-4c5e-96a4-b55528a60d26</t>
        </is>
      </c>
      <c r="BT130" s="3" t="n">
        <v>4</v>
      </c>
      <c r="BU130" s="2" t="inlineStr">
        <is>
          <t>协调沟通类</t>
        </is>
      </c>
      <c r="BV130" s="2" t="inlineStr">
        <is>
          <t>外部联络</t>
        </is>
      </c>
      <c r="BW130" s="2" t="inlineStr">
        <is>
          <t>2-5次</t>
        </is>
      </c>
      <c r="BX130" s="3" t="n">
        <v>2</v>
      </c>
      <c r="BY130" s="3" t="n">
        <v>5</v>
      </c>
      <c r="BZ130" s="2" t="inlineStr">
        <is>
          <t>A.20分钟以内</t>
        </is>
      </c>
      <c r="CA130" s="7" t="n">
        <v>0.33</v>
      </c>
      <c r="CB130" s="7" t="n">
        <v>0.33</v>
      </c>
      <c r="CC130" s="7" t="n">
        <v>0.66</v>
      </c>
      <c r="CD130" s="7" t="n">
        <v>1.65</v>
      </c>
      <c r="CE130" s="2" t="inlineStr">
        <is>
          <t>协调沟通类</t>
        </is>
      </c>
      <c r="CF130" s="2"/>
      <c r="CG130" s="2" t="inlineStr">
        <is>
          <t>接口协调</t>
        </is>
      </c>
      <c r="CH130" s="2" t="inlineStr">
        <is>
          <t>自主发起</t>
        </is>
      </c>
      <c r="CI130" s="2" t="inlineStr">
        <is>
          <t>不重要不紧急</t>
        </is>
      </c>
      <c r="CJ130" s="2" t="inlineStr">
        <is>
          <t>半标准化-有流程框架，需专业经验</t>
        </is>
      </c>
      <c r="CK130" s="2" t="inlineStr">
        <is>
          <t>极少（&lt;5%）</t>
        </is>
      </c>
      <c r="CL130" s="2" t="inlineStr">
        <is>
          <t>沟通/协调负荷</t>
        </is>
      </c>
      <c r="CM130" s="2" t="inlineStr">
        <is>
          <t>根据来访电话目的判断相关部门是否有相关业务需要</t>
        </is>
      </c>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t="inlineStr">
        <is>
          <t>5e605408-3212-4547-bc1d-564e46be7d54</t>
        </is>
      </c>
      <c r="EY130" s="3" t="n">
        <v>4</v>
      </c>
      <c r="EZ130" s="2"/>
      <c r="FA130" s="2" t="inlineStr">
        <is>
          <t>年度物资梳理/摸排</t>
        </is>
      </c>
      <c r="FB130" s="2" t="inlineStr">
        <is>
          <t>每年1-2次</t>
        </is>
      </c>
      <c r="FC130" s="2" t="inlineStr">
        <is>
          <t>年</t>
        </is>
      </c>
      <c r="FD130" s="3" t="n">
        <v>1</v>
      </c>
      <c r="FE130" s="3" t="n">
        <v>2</v>
      </c>
      <c r="FF130" s="2" t="inlineStr">
        <is>
          <t>E.8小时以上</t>
        </is>
      </c>
      <c r="FG130" s="7" t="n">
        <v>8</v>
      </c>
      <c r="FH130" s="7" t="n">
        <v>8</v>
      </c>
      <c r="FI130" s="7" t="n">
        <v>0</v>
      </c>
      <c r="FJ130" s="7" t="n">
        <v>0</v>
      </c>
      <c r="FK130" s="7" t="n">
        <v>0</v>
      </c>
      <c r="FL130" s="7" t="n">
        <v>0</v>
      </c>
      <c r="FM130" s="7" t="n">
        <v>8</v>
      </c>
      <c r="FN130" s="7" t="n">
        <v>16</v>
      </c>
      <c r="FO130" s="2" t="inlineStr">
        <is>
          <t>行政事务类</t>
        </is>
      </c>
      <c r="FP130" s="2"/>
      <c r="FQ130" s="2" t="inlineStr">
        <is>
          <t>接待保障</t>
        </is>
      </c>
      <c r="FR130" s="2" t="inlineStr">
        <is>
          <t>岗位职责</t>
        </is>
      </c>
      <c r="FS130" s="2" t="inlineStr">
        <is>
          <t>重要不紧急</t>
        </is>
      </c>
      <c r="FT130" s="2" t="inlineStr">
        <is>
          <t>高度标准化-有成熟SOP，照做即可</t>
        </is>
      </c>
      <c r="FU130" s="2" t="inlineStr">
        <is>
          <t>极少（&lt;5%）</t>
        </is>
      </c>
      <c r="FV130" s="2" t="inlineStr">
        <is>
          <t>时效/强度负荷</t>
        </is>
      </c>
      <c r="FW130" s="2" t="inlineStr">
        <is>
          <t>报固定资产情况给物资部/统计特定物资类目数量</t>
        </is>
      </c>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t="inlineStr">
        <is>
          <t>001facd6-8204-40f3-a1df-919afb1b438b</t>
        </is>
      </c>
      <c r="EY131" s="3" t="n">
        <v>5</v>
      </c>
      <c r="EZ131" s="2"/>
      <c r="FA131" s="2" t="inlineStr">
        <is>
          <t>信用手册申报</t>
        </is>
      </c>
      <c r="FB131" s="2" t="inlineStr">
        <is>
          <t>每年1-2次</t>
        </is>
      </c>
      <c r="FC131" s="2" t="inlineStr">
        <is>
          <t>年</t>
        </is>
      </c>
      <c r="FD131" s="3" t="n">
        <v>1</v>
      </c>
      <c r="FE131" s="3" t="n">
        <v>2</v>
      </c>
      <c r="FF131" s="2" t="inlineStr">
        <is>
          <t>E.8小时以上</t>
        </is>
      </c>
      <c r="FG131" s="7" t="n">
        <v>8</v>
      </c>
      <c r="FH131" s="7" t="n">
        <v>8</v>
      </c>
      <c r="FI131" s="7" t="n">
        <v>0</v>
      </c>
      <c r="FJ131" s="7" t="n">
        <v>0</v>
      </c>
      <c r="FK131" s="7" t="n">
        <v>0</v>
      </c>
      <c r="FL131" s="7" t="n">
        <v>0</v>
      </c>
      <c r="FM131" s="7" t="n">
        <v>8</v>
      </c>
      <c r="FN131" s="7" t="n">
        <v>16</v>
      </c>
      <c r="FO131" s="2" t="inlineStr">
        <is>
          <t>监督检查类</t>
        </is>
      </c>
      <c r="FP131" s="2"/>
      <c r="FQ131" s="2" t="inlineStr">
        <is>
          <t>合规监督</t>
        </is>
      </c>
      <c r="FR131" s="2" t="inlineStr">
        <is>
          <t>岗位职责</t>
        </is>
      </c>
      <c r="FS131" s="2" t="inlineStr">
        <is>
          <t>重要不紧急</t>
        </is>
      </c>
      <c r="FT131" s="2" t="inlineStr">
        <is>
          <t>高度标准化-有成熟SOP，照做即可</t>
        </is>
      </c>
      <c r="FU131" s="2" t="inlineStr">
        <is>
          <t>低频（5%-10%）</t>
        </is>
      </c>
      <c r="FV131" s="2" t="inlineStr">
        <is>
          <t>沟通/协调负荷</t>
        </is>
      </c>
      <c r="FW131" s="2" t="inlineStr">
        <is>
          <t>主要是向一级建造师要带有签字时效的证书，这个比较费劲</t>
        </is>
      </c>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t="inlineStr">
        <is>
          <t>a4c4245e-72c4-4b31-8708-566f39376c77</t>
        </is>
      </c>
      <c r="EY132" s="3" t="n">
        <v>6</v>
      </c>
      <c r="EZ132" s="2"/>
      <c r="FA132" s="2" t="inlineStr">
        <is>
          <t>物资接收</t>
        </is>
      </c>
      <c r="FB132" s="2" t="inlineStr">
        <is>
          <t>每月3次以上</t>
        </is>
      </c>
      <c r="FC132" s="2" t="inlineStr">
        <is>
          <t>月</t>
        </is>
      </c>
      <c r="FD132" s="3" t="n">
        <v>3</v>
      </c>
      <c r="FE132" s="3" t="n">
        <v>3</v>
      </c>
      <c r="FF132" s="2" t="inlineStr">
        <is>
          <t>A.20分钟以内</t>
        </is>
      </c>
      <c r="FG132" s="7" t="n">
        <v>0.33</v>
      </c>
      <c r="FH132" s="7" t="n">
        <v>0.33</v>
      </c>
      <c r="FI132" s="7" t="n">
        <v>0.99</v>
      </c>
      <c r="FJ132" s="7" t="n">
        <v>0.99</v>
      </c>
      <c r="FK132" s="7" t="n">
        <v>0</v>
      </c>
      <c r="FL132" s="7" t="n">
        <v>0</v>
      </c>
      <c r="FM132" s="7" t="n">
        <v>0</v>
      </c>
      <c r="FN132" s="7" t="n">
        <v>0</v>
      </c>
      <c r="FO132" s="2" t="inlineStr">
        <is>
          <t>协调沟通类</t>
        </is>
      </c>
      <c r="FP132" s="2"/>
      <c r="FQ132" s="2" t="inlineStr">
        <is>
          <t>外部联络</t>
        </is>
      </c>
      <c r="FR132" s="2" t="inlineStr">
        <is>
          <t>上级指令</t>
        </is>
      </c>
      <c r="FS132" s="2" t="inlineStr">
        <is>
          <t>紧急不重要</t>
        </is>
      </c>
      <c r="FT132" s="2" t="inlineStr">
        <is>
          <t>高度标准化-有成熟SOP，照做即可</t>
        </is>
      </c>
      <c r="FU132" s="2" t="inlineStr">
        <is>
          <t>极少（&lt;5%）</t>
        </is>
      </c>
      <c r="FV132" s="2" t="inlineStr">
        <is>
          <t>责任/风险负荷</t>
        </is>
      </c>
      <c r="FW132" s="2" t="inlineStr">
        <is>
          <t>认识基本物资即可</t>
        </is>
      </c>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t="inlineStr">
        <is>
          <t>3df01dbb-acf0-4e6d-aa0a-f51d29b96367</t>
        </is>
      </c>
      <c r="EY133" s="3" t="n">
        <v>7</v>
      </c>
      <c r="EZ133" s="2"/>
      <c r="FA133" s="2" t="inlineStr">
        <is>
          <t>集体户籍管理</t>
        </is>
      </c>
      <c r="FB133" s="2" t="inlineStr">
        <is>
          <t>每月1-2次</t>
        </is>
      </c>
      <c r="FC133" s="2" t="inlineStr">
        <is>
          <t>月</t>
        </is>
      </c>
      <c r="FD133" s="3" t="n">
        <v>1</v>
      </c>
      <c r="FE133" s="3" t="n">
        <v>2</v>
      </c>
      <c r="FF133" s="2" t="inlineStr">
        <is>
          <t>A.20分钟以内</t>
        </is>
      </c>
      <c r="FG133" s="7" t="n">
        <v>0.33</v>
      </c>
      <c r="FH133" s="7" t="n">
        <v>0.33</v>
      </c>
      <c r="FI133" s="7" t="n">
        <v>0.33</v>
      </c>
      <c r="FJ133" s="7" t="n">
        <v>0.66</v>
      </c>
      <c r="FK133" s="7" t="n">
        <v>0</v>
      </c>
      <c r="FL133" s="7" t="n">
        <v>0</v>
      </c>
      <c r="FM133" s="7" t="n">
        <v>0</v>
      </c>
      <c r="FN133" s="7" t="n">
        <v>0</v>
      </c>
      <c r="FO133" s="2" t="inlineStr">
        <is>
          <t>协调沟通类</t>
        </is>
      </c>
      <c r="FP133" s="2"/>
      <c r="FQ133" s="2" t="inlineStr">
        <is>
          <t>外部联络</t>
        </is>
      </c>
      <c r="FR133" s="2" t="inlineStr">
        <is>
          <t>岗位职责</t>
        </is>
      </c>
      <c r="FS133" s="2" t="inlineStr">
        <is>
          <t>紧急不重要</t>
        </is>
      </c>
      <c r="FT133" s="2" t="inlineStr">
        <is>
          <t>高度标准化-有成熟SOP，照做即可</t>
        </is>
      </c>
      <c r="FU133" s="2" t="inlineStr">
        <is>
          <t>极少（&lt;5%）</t>
        </is>
      </c>
      <c r="FV133" s="2" t="inlineStr">
        <is>
          <t>责任/风险负荷</t>
        </is>
      </c>
      <c r="FW133" s="2" t="inlineStr">
        <is>
          <t>基本户口问题</t>
        </is>
      </c>
    </row>
    <row r="134">
      <c r="A134" s="2" t="inlineStr">
        <is>
          <t>2026-05-21 14:46:25</t>
        </is>
      </c>
      <c r="B134" s="2" t="inlineStr">
        <is>
          <t>王培培</t>
        </is>
      </c>
      <c r="C134" s="2" t="inlineStr">
        <is>
          <t>综合办公室</t>
        </is>
      </c>
      <c r="D134" s="2" t="inlineStr">
        <is>
          <t>女</t>
        </is>
      </c>
      <c r="E134" s="2" t="inlineStr">
        <is>
          <t>320923199404016041</t>
        </is>
      </c>
      <c r="F134" s="2" t="inlineStr">
        <is>
          <t>技术助理(一)</t>
        </is>
      </c>
      <c r="G134" s="2" t="inlineStr">
        <is>
          <t>2021-07</t>
        </is>
      </c>
      <c r="H134" s="2" t="inlineStr">
        <is>
          <t>无锡商业职业技术学院</t>
        </is>
      </c>
      <c r="I134" s="2" t="inlineStr">
        <is>
          <t>材料员</t>
        </is>
      </c>
      <c r="J134" s="2" t="inlineStr">
        <is>
          <t>大专</t>
        </is>
      </c>
      <c r="K134" s="2"/>
      <c r="L134" s="6">
        <f>HYPERLINK("https://www.h3yun.com/Form/Attachments/?schemacode=D1483577de63ede327d4760b10664bd57671d7e&amp;bizObjectId=fd308bca-5f93-42fa-b4d5-3903b93b6ba3&amp;name=F0000046","点击查看")</f>
        <v>0</v>
      </c>
      <c r="M134" s="2" t="inlineStr">
        <is>
          <t>无</t>
        </is>
      </c>
      <c r="N134" s="2" t="inlineStr">
        <is>
          <t>每日工作</t>
        </is>
      </c>
      <c r="O134" s="2" t="inlineStr">
        <is>
          <t>31-35岁</t>
        </is>
      </c>
      <c r="P134" s="2" t="inlineStr">
        <is>
          <t>C.已婚已育</t>
        </is>
      </c>
      <c r="Q134" s="2" t="inlineStr">
        <is>
          <t>B.是，主要照护子女</t>
        </is>
      </c>
      <c r="R134" s="2" t="inlineStr">
        <is>
          <t>B.有1名</t>
        </is>
      </c>
      <c r="S134" s="2" t="inlineStr">
        <is>
          <t>A.保持当前工作内容和节奏，收入相对稳定即可</t>
        </is>
      </c>
      <c r="T134" s="2" t="inlineStr">
        <is>
          <t>A.基本满意，希望保持</t>
        </is>
      </c>
      <c r="U134" s="2" t="inlineStr">
        <is>
          <t>C.增加弹性和稳定性</t>
        </is>
      </c>
      <c r="V134" s="2" t="inlineStr">
        <is>
          <t>A.没有</t>
        </is>
      </c>
      <c r="W134" s="2"/>
      <c r="X134" s="2" t="inlineStr">
        <is>
          <t>C.均衡 (80%-100%)</t>
        </is>
      </c>
      <c r="Y134" s="2" t="inlineStr">
        <is>
          <t>E.临时差旅、突发事件、会议加班;G.接收到任务分配单完成周期内要求的加班;K.无需加班</t>
        </is>
      </c>
      <c r="Z134" s="2" t="inlineStr">
        <is>
          <t>无</t>
        </is>
      </c>
      <c r="AA134" s="2" t="inlineStr">
        <is>
          <t>无</t>
        </is>
      </c>
      <c r="AB134" s="2" t="inlineStr">
        <is>
          <t>无</t>
        </is>
      </c>
      <c r="AC134" s="2" t="inlineStr">
        <is>
          <t>B.基本匹配（正常履行）</t>
        </is>
      </c>
      <c r="AD134" s="2" t="inlineStr">
        <is>
          <t>无</t>
        </is>
      </c>
      <c r="AE134" s="2"/>
      <c r="AF134" s="2"/>
      <c r="AG134" s="2"/>
      <c r="AH134" s="2"/>
      <c r="AI134" s="7" t="n">
        <v>8</v>
      </c>
      <c r="AJ134" s="7" t="n">
        <v>8</v>
      </c>
      <c r="AK134" s="7" t="n">
        <v>0</v>
      </c>
      <c r="AL134" s="7" t="n">
        <v>0</v>
      </c>
      <c r="AM134" s="7" t="n">
        <v>0</v>
      </c>
      <c r="AN134" s="7" t="n">
        <v>0</v>
      </c>
      <c r="AO134" s="7" t="n">
        <v>0</v>
      </c>
      <c r="AP134" s="7" t="n">
        <v>0</v>
      </c>
      <c r="AQ134" s="7" t="n">
        <v>0</v>
      </c>
      <c r="AR134" s="7" t="n">
        <v>0</v>
      </c>
      <c r="AS134" s="7" t="n">
        <v>8</v>
      </c>
      <c r="AT134" s="7" t="n">
        <v>8</v>
      </c>
      <c r="AU134" s="7" t="n">
        <v>8</v>
      </c>
      <c r="AV134" s="2" t="inlineStr">
        <is>
          <t>满负荷</t>
        </is>
      </c>
      <c r="AW134" s="2" t="inlineStr">
        <is>
          <t>不一致</t>
        </is>
      </c>
      <c r="AX134" s="2" t="inlineStr">
        <is>
          <t>fd308bca-5f93-42fa-b4d5-3903b93b6ba3</t>
        </is>
      </c>
      <c r="AY134" s="2" t="inlineStr">
        <is>
          <t>综合办公室    王培培</t>
        </is>
      </c>
      <c r="AZ134" s="2" t="inlineStr">
        <is>
          <t>Anonymous</t>
        </is>
      </c>
      <c r="BA134" s="2" t="inlineStr">
        <is>
          <t>Anonymous</t>
        </is>
      </c>
      <c r="BB134" s="2"/>
      <c r="BC134" s="2" t="inlineStr">
        <is>
          <t>2026-05-21 16:08:29</t>
        </is>
      </c>
      <c r="BD134" s="3" t="n">
        <v>1994</v>
      </c>
      <c r="BE134" s="3" t="n">
        <v>32</v>
      </c>
      <c r="BF134" s="2" t="inlineStr">
        <is>
          <t>A.无此需求</t>
        </is>
      </c>
      <c r="BG134" s="2" t="inlineStr">
        <is>
          <t>已生效</t>
        </is>
      </c>
      <c r="BH134" s="2" t="inlineStr">
        <is>
          <t>d1af232a-e908-4b5b-87e6-57a8e68c415c</t>
        </is>
      </c>
      <c r="BI134" s="3" t="n">
        <v>1</v>
      </c>
      <c r="BJ134" s="2"/>
      <c r="BK134" s="2"/>
      <c r="BL134" s="2"/>
      <c r="BM134" s="2"/>
      <c r="BN134" s="2"/>
      <c r="BO134" s="2"/>
      <c r="BP134" s="2"/>
      <c r="BQ134" s="2"/>
      <c r="BR134" s="2"/>
      <c r="BS134" s="2" t="inlineStr">
        <is>
          <t>d089efc6-3e76-4876-aa21-3ff4cf5f0957</t>
        </is>
      </c>
      <c r="BT134" s="3" t="n">
        <v>1</v>
      </c>
      <c r="BU134" s="2" t="inlineStr">
        <is>
          <t>其他</t>
        </is>
      </c>
      <c r="BV134" s="2" t="inlineStr">
        <is>
          <t>文书档案扫描并编辑</t>
        </is>
      </c>
      <c r="BW134" s="2" t="inlineStr">
        <is>
          <t>1次</t>
        </is>
      </c>
      <c r="BX134" s="3" t="n">
        <v>1</v>
      </c>
      <c r="BY134" s="3" t="n">
        <v>1</v>
      </c>
      <c r="BZ134" s="2" t="inlineStr">
        <is>
          <t>E.8小时以上</t>
        </is>
      </c>
      <c r="CA134" s="7" t="n">
        <v>8</v>
      </c>
      <c r="CB134" s="7" t="n">
        <v>8</v>
      </c>
      <c r="CC134" s="7" t="n">
        <v>8</v>
      </c>
      <c r="CD134" s="7" t="n">
        <v>8</v>
      </c>
      <c r="CE134" s="2" t="inlineStr">
        <is>
          <t>其他</t>
        </is>
      </c>
      <c r="CF134" s="2"/>
      <c r="CG134" s="2"/>
      <c r="CH134" s="2" t="inlineStr">
        <is>
          <t>部门计划</t>
        </is>
      </c>
      <c r="CI134" s="2" t="inlineStr">
        <is>
          <t>重要不紧急</t>
        </is>
      </c>
      <c r="CJ134" s="2" t="inlineStr">
        <is>
          <t>半标准化-有流程框架，需专业经验</t>
        </is>
      </c>
      <c r="CK134" s="2" t="inlineStr">
        <is>
          <t>极少（&lt;5%）</t>
        </is>
      </c>
      <c r="CL134" s="2" t="inlineStr">
        <is>
          <t>沟通/协调负荷</t>
        </is>
      </c>
      <c r="CM134" s="2"/>
      <c r="CN134" s="2" t="inlineStr">
        <is>
          <t>8478c99d-d44d-484e-9da9-2a658f0790f3</t>
        </is>
      </c>
      <c r="CO134" s="3" t="n">
        <v>1</v>
      </c>
      <c r="CP134" s="2"/>
      <c r="CQ134" s="2"/>
      <c r="CR134" s="2"/>
      <c r="CS134" s="3"/>
      <c r="CT134" s="3"/>
      <c r="CU134" s="2"/>
      <c r="CV134" s="3"/>
      <c r="CW134" s="3"/>
      <c r="CX134" s="7" t="n">
        <v>0</v>
      </c>
      <c r="CY134" s="7" t="n">
        <v>0</v>
      </c>
      <c r="CZ134" s="2"/>
      <c r="DA134" s="2"/>
      <c r="DB134" s="2"/>
      <c r="DC134" s="2"/>
      <c r="DD134" s="2"/>
      <c r="DE134" s="2"/>
      <c r="DF134" s="2"/>
      <c r="DG134" s="2"/>
      <c r="DH134" s="2"/>
      <c r="DI134" s="2" t="inlineStr">
        <is>
          <t>13b3a034-3c36-4339-afea-5f3d947956bf</t>
        </is>
      </c>
      <c r="DJ134" s="3" t="n">
        <v>1</v>
      </c>
      <c r="DK134" s="2"/>
      <c r="DL134" s="2"/>
      <c r="DM134" s="2"/>
      <c r="DN134" s="3"/>
      <c r="DO134" s="3"/>
      <c r="DP134" s="2"/>
      <c r="DQ134" s="3"/>
      <c r="DR134" s="3"/>
      <c r="DS134" s="7" t="n">
        <v>0</v>
      </c>
      <c r="DT134" s="7" t="n">
        <v>0</v>
      </c>
      <c r="DU134" s="2"/>
      <c r="DV134" s="2"/>
      <c r="DW134" s="2"/>
      <c r="DX134" s="2"/>
      <c r="DY134" s="2"/>
      <c r="DZ134" s="2"/>
      <c r="EA134" s="2"/>
      <c r="EB134" s="2"/>
      <c r="EC134" s="2"/>
      <c r="ED134" s="2" t="inlineStr">
        <is>
          <t>066daa0f-54f1-4897-b0dc-5a5eeba57104</t>
        </is>
      </c>
      <c r="EE134" s="3" t="n">
        <v>1</v>
      </c>
      <c r="EF134" s="2"/>
      <c r="EG134" s="2"/>
      <c r="EH134" s="2"/>
      <c r="EI134" s="3"/>
      <c r="EJ134" s="2"/>
      <c r="EK134" s="3"/>
      <c r="EL134" s="3"/>
      <c r="EM134" s="7" t="n">
        <v>0</v>
      </c>
      <c r="EN134" s="7" t="n">
        <v>0</v>
      </c>
      <c r="EO134" s="2"/>
      <c r="EP134" s="2"/>
      <c r="EQ134" s="2"/>
      <c r="ER134" s="2"/>
      <c r="ES134" s="2"/>
      <c r="ET134" s="2"/>
      <c r="EU134" s="2"/>
      <c r="EV134" s="2"/>
      <c r="EW134" s="2"/>
      <c r="EX134" s="2" t="inlineStr">
        <is>
          <t>4d30e94d-5841-4272-a0ad-e3f888e18aa7</t>
        </is>
      </c>
      <c r="EY134" s="3" t="n">
        <v>1</v>
      </c>
      <c r="EZ134" s="2"/>
      <c r="FA134" s="2"/>
      <c r="FB134" s="2"/>
      <c r="FC134" s="2"/>
      <c r="FD134" s="3"/>
      <c r="FE134" s="3"/>
      <c r="FF134" s="2"/>
      <c r="FG134" s="3"/>
      <c r="FH134" s="3"/>
      <c r="FI134" s="7" t="n">
        <v>0</v>
      </c>
      <c r="FJ134" s="7" t="n">
        <v>0</v>
      </c>
      <c r="FK134" s="7" t="n">
        <v>0</v>
      </c>
      <c r="FL134" s="7" t="n">
        <v>0</v>
      </c>
      <c r="FM134" s="7" t="n">
        <v>0</v>
      </c>
      <c r="FN134" s="7" t="n">
        <v>0</v>
      </c>
      <c r="FO134" s="2"/>
      <c r="FP134" s="2"/>
      <c r="FQ134" s="2"/>
      <c r="FR134" s="2"/>
      <c r="FS134" s="2"/>
      <c r="FT134" s="2"/>
      <c r="FU134" s="2"/>
      <c r="FV134" s="2"/>
      <c r="FW134" s="2"/>
    </row>
    <row r="135">
      <c r="A135" s="2" t="inlineStr">
        <is>
          <t>2026-05-21 14:32:00</t>
        </is>
      </c>
      <c r="B135" s="2" t="inlineStr">
        <is>
          <t>陈洁</t>
        </is>
      </c>
      <c r="C135" s="2" t="inlineStr">
        <is>
          <t>综合办公室</t>
        </is>
      </c>
      <c r="D135" s="2" t="inlineStr">
        <is>
          <t>女</t>
        </is>
      </c>
      <c r="E135" s="2" t="inlineStr">
        <is>
          <t>32128419880520022X</t>
        </is>
      </c>
      <c r="F135" s="2" t="inlineStr">
        <is>
          <t>专业工程师</t>
        </is>
      </c>
      <c r="G135" s="2" t="inlineStr">
        <is>
          <t>2010-08</t>
        </is>
      </c>
      <c r="H135" s="2" t="inlineStr">
        <is>
          <t>淮海工学院</t>
        </is>
      </c>
      <c r="I135" s="2" t="inlineStr">
        <is>
          <t>化机</t>
        </is>
      </c>
      <c r="J135" s="2" t="inlineStr">
        <is>
          <t>本科</t>
        </is>
      </c>
      <c r="K135" s="2" t="inlineStr">
        <is>
          <t>B.弹性兼顾型岗位-每天固定4-7工时</t>
        </is>
      </c>
      <c r="L135" s="6">
        <f>HYPERLINK("https://www.h3yun.com/Form/Attachments/?schemacode=D1483577de63ede327d4760b10664bd57671d7e&amp;bizObjectId=5e705fb6-0d33-4f8a-9ccb-2c6c885bec48&amp;name=F0000046","点击查看")</f>
        <v>0</v>
      </c>
      <c r="M135" s="2" t="inlineStr">
        <is>
          <t>资质证书借用和用印申请</t>
        </is>
      </c>
      <c r="N135" s="2" t="inlineStr">
        <is>
          <t>每日工作;每季度/阶段性工作;临时/突发工作</t>
        </is>
      </c>
      <c r="O135" s="2" t="inlineStr">
        <is>
          <t>30-40岁</t>
        </is>
      </c>
      <c r="P135" s="2" t="inlineStr">
        <is>
          <t>C.已婚已育</t>
        </is>
      </c>
      <c r="Q135" s="2" t="inlineStr">
        <is>
          <t>B.是，主要照护子女</t>
        </is>
      </c>
      <c r="R135" s="2" t="inlineStr">
        <is>
          <t>C.有2名及以上</t>
        </is>
      </c>
      <c r="S135" s="2" t="inlineStr">
        <is>
          <t>C.希望工作压力适中，但职责边界更清晰</t>
        </is>
      </c>
      <c r="T135" s="2" t="inlineStr">
        <is>
          <t>C.工作较稳定，但发展空间不足</t>
        </is>
      </c>
      <c r="U135" s="2" t="inlineStr">
        <is>
          <t>D.明确职责边界</t>
        </is>
      </c>
      <c r="V135" s="2" t="inlineStr">
        <is>
          <t>A.没有</t>
        </is>
      </c>
      <c r="W135" s="2"/>
      <c r="X135" s="2" t="inlineStr">
        <is>
          <t>D.欠饱和 (60%-80%)</t>
        </is>
      </c>
      <c r="Y135" s="2" t="inlineStr">
        <is>
          <t>K.无需加班</t>
        </is>
      </c>
      <c r="Z135" s="2" t="inlineStr">
        <is>
          <t>无</t>
        </is>
      </c>
      <c r="AA135" s="2" t="inlineStr">
        <is>
          <t>无</t>
        </is>
      </c>
      <c r="AB135" s="2" t="inlineStr">
        <is>
          <t>无</t>
        </is>
      </c>
      <c r="AC135" s="2" t="inlineStr">
        <is>
          <t>B.基本匹配（正常履行）</t>
        </is>
      </c>
      <c r="AD135" s="2" t="inlineStr">
        <is>
          <t>无</t>
        </is>
      </c>
      <c r="AE135" s="2" t="inlineStr">
        <is>
          <t>部门工作与问卷中部分类型无法匹配</t>
        </is>
      </c>
      <c r="AF135" s="2" t="inlineStr">
        <is>
          <t>暂无</t>
        </is>
      </c>
      <c r="AG135" s="2" t="inlineStr">
        <is>
          <t>A.配偶为公司家属，常驻南京，不影响</t>
        </is>
      </c>
      <c r="AH135" s="2" t="inlineStr">
        <is>
          <t>A.有强烈意向</t>
        </is>
      </c>
      <c r="AI135" s="7" t="n">
        <v>0.66</v>
      </c>
      <c r="AJ135" s="7" t="n">
        <v>1.65</v>
      </c>
      <c r="AK135" s="7" t="n">
        <v>0</v>
      </c>
      <c r="AL135" s="7" t="n">
        <v>0</v>
      </c>
      <c r="AM135" s="7" t="n">
        <v>0</v>
      </c>
      <c r="AN135" s="7" t="n">
        <v>0</v>
      </c>
      <c r="AO135" s="7" t="n">
        <v>0.1</v>
      </c>
      <c r="AP135" s="7" t="n">
        <v>0.1</v>
      </c>
      <c r="AQ135" s="7" t="n">
        <v>0</v>
      </c>
      <c r="AR135" s="7" t="n">
        <v>0</v>
      </c>
      <c r="AS135" s="7" t="n">
        <v>0.76</v>
      </c>
      <c r="AT135" s="7" t="n">
        <v>1.75</v>
      </c>
      <c r="AU135" s="7" t="n">
        <v>1.26</v>
      </c>
      <c r="AV135" s="2" t="inlineStr">
        <is>
          <t>非饱和</t>
        </is>
      </c>
      <c r="AW135" s="2" t="inlineStr">
        <is>
          <t>不一致</t>
        </is>
      </c>
      <c r="AX135" s="2" t="inlineStr">
        <is>
          <t>5e705fb6-0d33-4f8a-9ccb-2c6c885bec48</t>
        </is>
      </c>
      <c r="AY135" s="2" t="inlineStr">
        <is>
          <t>综合办公室    陈洁</t>
        </is>
      </c>
      <c r="AZ135" s="2" t="inlineStr">
        <is>
          <t>Anonymous</t>
        </is>
      </c>
      <c r="BA135" s="2" t="inlineStr">
        <is>
          <t>Anonymous</t>
        </is>
      </c>
      <c r="BB135" s="2"/>
      <c r="BC135" s="2" t="inlineStr">
        <is>
          <t>2026-05-21 16:14:27</t>
        </is>
      </c>
      <c r="BD135" s="3" t="n">
        <v>1988</v>
      </c>
      <c r="BE135" s="3" t="n">
        <v>38</v>
      </c>
      <c r="BF135" s="2" t="inlineStr">
        <is>
          <t>A.无此需求</t>
        </is>
      </c>
      <c r="BG135" s="2" t="inlineStr">
        <is>
          <t>已生效</t>
        </is>
      </c>
      <c r="BH135" s="2" t="inlineStr">
        <is>
          <t>8c87f794-27d7-4415-86b9-b62b50778226</t>
        </is>
      </c>
      <c r="BI135" s="3" t="n">
        <v>1</v>
      </c>
      <c r="BJ135" s="2" t="inlineStr">
        <is>
          <t>B.弹性兼顾型岗位-每天固定4-7工时</t>
        </is>
      </c>
      <c r="BK135" s="2" t="inlineStr">
        <is>
          <t>B.弹性兼顾型岗位-每天固定4-7工时</t>
        </is>
      </c>
      <c r="BL135" s="2" t="inlineStr">
        <is>
          <t>如适用于照看3-6周岁儿童</t>
        </is>
      </c>
      <c r="BM135" s="2" t="inlineStr">
        <is>
          <t>固定工作时段，灵活时间安排，每天或每周需到岗一定时间</t>
        </is>
      </c>
      <c r="BN135" s="2" t="inlineStr">
        <is>
          <t>按完成任务量计酬</t>
        </is>
      </c>
      <c r="BO135" s="2" t="inlineStr">
        <is>
          <t>社会保险或商业保险</t>
        </is>
      </c>
      <c r="BP135" s="2" t="inlineStr">
        <is>
          <t>劳动合同或劳务协议</t>
        </is>
      </c>
      <c r="BQ135" s="2" t="inlineStr">
        <is>
          <t xml:space="preserve">基础技能
特定技能
</t>
        </is>
      </c>
      <c r="BR135" s="2" t="inlineStr">
        <is>
          <t>固定到岗一定时间，剩余时间灵活安排的保险、房产销售类“妈妈岗”</t>
        </is>
      </c>
      <c r="BS135" s="2" t="inlineStr">
        <is>
          <t>b82d105c-6528-4483-9a87-1ef03d212650</t>
        </is>
      </c>
      <c r="BT135" s="3" t="n">
        <v>1</v>
      </c>
      <c r="BU135" s="2" t="inlineStr">
        <is>
          <t>流程审批类</t>
        </is>
      </c>
      <c r="BV135" s="2" t="inlineStr">
        <is>
          <t>证书借用归还，档案借阅归还，作废印章借用归还，特殊载体如奖状照片等借用归还，各类档案接收登记整理。</t>
        </is>
      </c>
      <c r="BW135" s="2" t="inlineStr">
        <is>
          <t>2-5次</t>
        </is>
      </c>
      <c r="BX135" s="3" t="n">
        <v>2</v>
      </c>
      <c r="BY135" s="3" t="n">
        <v>5</v>
      </c>
      <c r="BZ135" s="2" t="inlineStr">
        <is>
          <t>A.20分钟以内</t>
        </is>
      </c>
      <c r="CA135" s="7" t="n">
        <v>0.33</v>
      </c>
      <c r="CB135" s="7" t="n">
        <v>0.33</v>
      </c>
      <c r="CC135" s="7" t="n">
        <v>0.66</v>
      </c>
      <c r="CD135" s="7" t="n">
        <v>1.65</v>
      </c>
      <c r="CE135" s="2" t="inlineStr">
        <is>
          <t>流程审批类</t>
        </is>
      </c>
      <c r="CF135" s="2"/>
      <c r="CG135" s="2" t="inlineStr">
        <is>
          <t>协同办公流程</t>
        </is>
      </c>
      <c r="CH135" s="2" t="inlineStr">
        <is>
          <t>岗位职责</t>
        </is>
      </c>
      <c r="CI135" s="2" t="inlineStr">
        <is>
          <t>重要不紧急</t>
        </is>
      </c>
      <c r="CJ135" s="2" t="inlineStr">
        <is>
          <t>半标准化-有流程框架，需专业经验</t>
        </is>
      </c>
      <c r="CK135" s="2" t="inlineStr">
        <is>
          <t>极少（&lt;5%）</t>
        </is>
      </c>
      <c r="CL135" s="2" t="inlineStr">
        <is>
          <t>时效/强度负荷</t>
        </is>
      </c>
      <c r="CM135" s="2"/>
      <c r="CN135" s="2" t="inlineStr">
        <is>
          <t>3f482b6a-d624-4a4c-9f87-ad766aed4a3f</t>
        </is>
      </c>
      <c r="CO135" s="3" t="n">
        <v>1</v>
      </c>
      <c r="CP135" s="2"/>
      <c r="CQ135" s="2"/>
      <c r="CR135" s="2"/>
      <c r="CS135" s="3"/>
      <c r="CT135" s="3"/>
      <c r="CU135" s="2"/>
      <c r="CV135" s="3"/>
      <c r="CW135" s="3"/>
      <c r="CX135" s="7" t="n">
        <v>0</v>
      </c>
      <c r="CY135" s="7" t="n">
        <v>0</v>
      </c>
      <c r="CZ135" s="2"/>
      <c r="DA135" s="2"/>
      <c r="DB135" s="2"/>
      <c r="DC135" s="2"/>
      <c r="DD135" s="2"/>
      <c r="DE135" s="2"/>
      <c r="DF135" s="2"/>
      <c r="DG135" s="2"/>
      <c r="DH135" s="2"/>
      <c r="DI135" s="2" t="inlineStr">
        <is>
          <t>6e012e32-4476-4ef1-adaa-585db8adcba5</t>
        </is>
      </c>
      <c r="DJ135" s="3" t="n">
        <v>1</v>
      </c>
      <c r="DK135" s="2"/>
      <c r="DL135" s="2"/>
      <c r="DM135" s="2"/>
      <c r="DN135" s="3"/>
      <c r="DO135" s="3"/>
      <c r="DP135" s="2"/>
      <c r="DQ135" s="3"/>
      <c r="DR135" s="3"/>
      <c r="DS135" s="7" t="n">
        <v>0</v>
      </c>
      <c r="DT135" s="7" t="n">
        <v>0</v>
      </c>
      <c r="DU135" s="2"/>
      <c r="DV135" s="2"/>
      <c r="DW135" s="2"/>
      <c r="DX135" s="2"/>
      <c r="DY135" s="2"/>
      <c r="DZ135" s="2"/>
      <c r="EA135" s="2"/>
      <c r="EB135" s="2"/>
      <c r="EC135" s="2"/>
      <c r="ED135" s="2" t="inlineStr">
        <is>
          <t>ad10de60-b8e4-4af7-a70b-40c945311ae7</t>
        </is>
      </c>
      <c r="EE135" s="3" t="n">
        <v>1</v>
      </c>
      <c r="EF135" s="2"/>
      <c r="EG135" s="2" t="inlineStr">
        <is>
          <t>二级单位综合考评相关，服务器电子版档案季度备份。档案数字化转型探索。年度档案整编收集。各类档案接收整理。</t>
        </is>
      </c>
      <c r="EH135" s="2" t="inlineStr">
        <is>
          <t>3次及以上</t>
        </is>
      </c>
      <c r="EI135" s="3" t="n">
        <v>3</v>
      </c>
      <c r="EJ135" s="2" t="inlineStr">
        <is>
          <t>E.8小时以上</t>
        </is>
      </c>
      <c r="EK135" s="7" t="n">
        <v>8</v>
      </c>
      <c r="EL135" s="7" t="n">
        <v>8</v>
      </c>
      <c r="EM135" s="7" t="n">
        <v>24</v>
      </c>
      <c r="EN135" s="7" t="n">
        <v>24</v>
      </c>
      <c r="EO135" s="2" t="inlineStr">
        <is>
          <t>协调沟通类</t>
        </is>
      </c>
      <c r="EP135" s="2"/>
      <c r="EQ135" s="2" t="inlineStr">
        <is>
          <t>接口协调</t>
        </is>
      </c>
      <c r="ER135" s="2" t="inlineStr">
        <is>
          <t>部门计划</t>
        </is>
      </c>
      <c r="ES135" s="2" t="inlineStr">
        <is>
          <t>重要不紧急</t>
        </is>
      </c>
      <c r="ET135" s="2" t="inlineStr">
        <is>
          <t>半标准化-有流程框架，需专业经验</t>
        </is>
      </c>
      <c r="EU135" s="2" t="inlineStr">
        <is>
          <t>极少（&lt;5%）</t>
        </is>
      </c>
      <c r="EV135" s="2" t="inlineStr">
        <is>
          <t>沟通/协调负荷</t>
        </is>
      </c>
      <c r="EW135" s="2"/>
      <c r="EX135" s="2" t="inlineStr">
        <is>
          <t>ee793181-f766-4396-95c0-dd610f26e6d5</t>
        </is>
      </c>
      <c r="EY135" s="3" t="n">
        <v>1</v>
      </c>
      <c r="EZ135" s="2"/>
      <c r="FA135" s="2" t="inlineStr">
        <is>
          <t>活动帮助，股权管理办公室杂事帮助，食堂采购帮助</t>
        </is>
      </c>
      <c r="FB135" s="2" t="inlineStr">
        <is>
          <t>也有可能不发生</t>
        </is>
      </c>
      <c r="FC135" s="2" t="inlineStr">
        <is>
          <t>无</t>
        </is>
      </c>
      <c r="FD135" s="3" t="n">
        <v>0</v>
      </c>
      <c r="FE135" s="3" t="n">
        <v>0</v>
      </c>
      <c r="FF135" s="2" t="inlineStr">
        <is>
          <t>B.2小时以内</t>
        </is>
      </c>
      <c r="FG135" s="7" t="n">
        <v>2</v>
      </c>
      <c r="FH135" s="7" t="n">
        <v>2</v>
      </c>
      <c r="FI135" s="7" t="n">
        <v>0</v>
      </c>
      <c r="FJ135" s="7" t="n">
        <v>0</v>
      </c>
      <c r="FK135" s="7" t="n">
        <v>0</v>
      </c>
      <c r="FL135" s="7" t="n">
        <v>0</v>
      </c>
      <c r="FM135" s="7" t="n">
        <v>0</v>
      </c>
      <c r="FN135" s="7" t="n">
        <v>0</v>
      </c>
      <c r="FO135" s="2" t="inlineStr">
        <is>
          <t>协调沟通类</t>
        </is>
      </c>
      <c r="FP135" s="2"/>
      <c r="FQ135" s="2" t="inlineStr">
        <is>
          <t>接口协调</t>
        </is>
      </c>
      <c r="FR135" s="2" t="inlineStr">
        <is>
          <t>跨部门协同</t>
        </is>
      </c>
      <c r="FS135" s="2" t="inlineStr">
        <is>
          <t>紧急不重要</t>
        </is>
      </c>
      <c r="FT135" s="2" t="inlineStr">
        <is>
          <t>非标准化-无先例参考，需创新协调</t>
        </is>
      </c>
      <c r="FU135" s="2" t="inlineStr">
        <is>
          <t>极少（&lt;5%）</t>
        </is>
      </c>
      <c r="FV135" s="2" t="inlineStr">
        <is>
          <t>时效/强度负荷</t>
        </is>
      </c>
      <c r="FW135" s="2"/>
    </row>
    <row r="136">
      <c r="A136" s="2" t="inlineStr">
        <is>
          <t>2026-05-21 14:29:42</t>
        </is>
      </c>
      <c r="B136" s="2" t="inlineStr">
        <is>
          <t>于波</t>
        </is>
      </c>
      <c r="C136" s="2" t="inlineStr">
        <is>
          <t>综合办公室</t>
        </is>
      </c>
      <c r="D136" s="2" t="inlineStr">
        <is>
          <t>女</t>
        </is>
      </c>
      <c r="E136" s="2" t="inlineStr">
        <is>
          <t>210521198911080780</t>
        </is>
      </c>
      <c r="F136" s="2" t="inlineStr">
        <is>
          <t>业务主管</t>
        </is>
      </c>
      <c r="G136" s="2" t="inlineStr">
        <is>
          <t>2018-03</t>
        </is>
      </c>
      <c r="H136" s="2" t="inlineStr">
        <is>
          <t>江苏科技大学</t>
        </is>
      </c>
      <c r="I136" s="2" t="inlineStr">
        <is>
          <t>其他</t>
        </is>
      </c>
      <c r="J136" s="2" t="inlineStr">
        <is>
          <t>本科</t>
        </is>
      </c>
      <c r="K136" s="2" t="inlineStr">
        <is>
          <t>A.安心工作型岗位-每天固定8工时，有事请假</t>
        </is>
      </c>
      <c r="L136" s="6">
        <f>HYPERLINK("https://www.h3yun.com/Form/Attachments/?schemacode=D1483577de63ede327d4760b10664bd57671d7e&amp;bizObjectId=ee347e9a-cf1e-4871-9dba-50060445e649&amp;name=F0000046","点击查看")</f>
        <v>0</v>
      </c>
      <c r="M136" s="2" t="inlineStr">
        <is>
          <t>无</t>
        </is>
      </c>
      <c r="N136" s="2" t="inlineStr">
        <is>
          <t>每日工作</t>
        </is>
      </c>
      <c r="O136" s="2" t="inlineStr">
        <is>
          <t>30-40岁</t>
        </is>
      </c>
      <c r="P136" s="2" t="inlineStr">
        <is>
          <t>C.已婚已育</t>
        </is>
      </c>
      <c r="Q136" s="2" t="inlineStr">
        <is>
          <t>D.是，同时照护子女和老人</t>
        </is>
      </c>
      <c r="R136" s="2" t="inlineStr">
        <is>
          <t>C.有2名及以上</t>
        </is>
      </c>
      <c r="S136" s="2" t="inlineStr">
        <is>
          <t>A.保持当前工作内容和节奏，收入相对稳定即可</t>
        </is>
      </c>
      <c r="T136" s="2" t="inlineStr">
        <is>
          <t>A.基本满意，希望保持</t>
        </is>
      </c>
      <c r="U136" s="2" t="inlineStr">
        <is>
          <t>B.减少无效流转和返工</t>
        </is>
      </c>
      <c r="V136" s="2" t="inlineStr">
        <is>
          <t>A.没有</t>
        </is>
      </c>
      <c r="W136" s="2"/>
      <c r="X136" s="2" t="inlineStr">
        <is>
          <t>C.均衡 (80%-100%)</t>
        </is>
      </c>
      <c r="Y136" s="2" t="inlineStr">
        <is>
          <t>E.临时差旅、突发事件、会议加班;G.接收到任务分配单完成周期内要求的加班</t>
        </is>
      </c>
      <c r="Z136" s="2" t="inlineStr">
        <is>
          <t>无</t>
        </is>
      </c>
      <c r="AA136" s="2" t="inlineStr">
        <is>
          <t>无</t>
        </is>
      </c>
      <c r="AB136" s="2" t="inlineStr">
        <is>
          <t>无</t>
        </is>
      </c>
      <c r="AC136" s="2" t="inlineStr">
        <is>
          <t>A.高度匹配（得心应手）</t>
        </is>
      </c>
      <c r="AD136" s="2" t="inlineStr">
        <is>
          <t>无</t>
        </is>
      </c>
      <c r="AE136" s="2"/>
      <c r="AF136" s="2"/>
      <c r="AG136" s="2" t="inlineStr">
        <is>
          <t>B.配偶为公司家属，常驻项目，个人承担更多</t>
        </is>
      </c>
      <c r="AH136" s="2" t="inlineStr">
        <is>
          <t>B.有意向，但是不迫切，需考虑</t>
        </is>
      </c>
      <c r="AI136" s="7" t="n">
        <v>3.3</v>
      </c>
      <c r="AJ136" s="7" t="n">
        <v>3.3</v>
      </c>
      <c r="AK136" s="7" t="n">
        <v>0</v>
      </c>
      <c r="AL136" s="7" t="n">
        <v>0</v>
      </c>
      <c r="AM136" s="7" t="n">
        <v>0</v>
      </c>
      <c r="AN136" s="7" t="n">
        <v>0</v>
      </c>
      <c r="AO136" s="7" t="n">
        <v>0</v>
      </c>
      <c r="AP136" s="7" t="n">
        <v>0</v>
      </c>
      <c r="AQ136" s="7" t="n">
        <v>0</v>
      </c>
      <c r="AR136" s="7" t="n">
        <v>0</v>
      </c>
      <c r="AS136" s="7" t="n">
        <v>3.3</v>
      </c>
      <c r="AT136" s="7" t="n">
        <v>3.3</v>
      </c>
      <c r="AU136" s="7" t="n">
        <v>3.3</v>
      </c>
      <c r="AV136" s="2" t="inlineStr">
        <is>
          <t>非饱和</t>
        </is>
      </c>
      <c r="AW136" s="2" t="inlineStr">
        <is>
          <t>不一致</t>
        </is>
      </c>
      <c r="AX136" s="2" t="inlineStr">
        <is>
          <t>ee347e9a-cf1e-4871-9dba-50060445e649</t>
        </is>
      </c>
      <c r="AY136" s="2" t="inlineStr">
        <is>
          <t>综合办公室    于波</t>
        </is>
      </c>
      <c r="AZ136" s="2" t="inlineStr">
        <is>
          <t>Anonymous</t>
        </is>
      </c>
      <c r="BA136" s="2" t="inlineStr">
        <is>
          <t>Anonymous</t>
        </is>
      </c>
      <c r="BB136" s="2"/>
      <c r="BC136" s="2" t="inlineStr">
        <is>
          <t>2026-05-21 15:41:56</t>
        </is>
      </c>
      <c r="BD136" s="3" t="n">
        <v>1989</v>
      </c>
      <c r="BE136" s="3" t="n">
        <v>37</v>
      </c>
      <c r="BF136" s="2" t="inlineStr">
        <is>
          <t>A.无此需求</t>
        </is>
      </c>
      <c r="BG136" s="2" t="inlineStr">
        <is>
          <t>已生效</t>
        </is>
      </c>
      <c r="BH136" s="2" t="inlineStr">
        <is>
          <t>cfbcb734-95c5-4a13-b653-dc4cd063d550</t>
        </is>
      </c>
      <c r="BI136" s="3" t="n">
        <v>1</v>
      </c>
      <c r="BJ136" s="2" t="inlineStr">
        <is>
          <t>A.安心工作型岗位-每天固定8工时，有事请假</t>
        </is>
      </c>
      <c r="BK136" s="2" t="inlineStr">
        <is>
          <t>A.安心工作型岗位-每天固定8工时，有事请假</t>
        </is>
      </c>
      <c r="BL136" s="2" t="inlineStr">
        <is>
          <t>如适用于照看6-12周岁儿童</t>
        </is>
      </c>
      <c r="BM136" s="2" t="inlineStr">
        <is>
          <t>固定时间、地点，允许按需请假，灵活调整</t>
        </is>
      </c>
      <c r="BN136" s="2" t="inlineStr">
        <is>
          <t>按月计酬</t>
        </is>
      </c>
      <c r="BO136" s="2" t="inlineStr">
        <is>
          <t>社会保险</t>
        </is>
      </c>
      <c r="BP136" s="2" t="inlineStr">
        <is>
          <t>劳动合同</t>
        </is>
      </c>
      <c r="BQ136" s="2" t="inlineStr">
        <is>
          <t xml:space="preserve">基础技能
特定技能
</t>
        </is>
      </c>
      <c r="BR136" s="2" t="inlineStr">
        <is>
          <t>用人单位提供托育保障服务，允许带娃上班或帮忙带娃的全职类“妈妈岗”</t>
        </is>
      </c>
      <c r="BS136" s="2" t="inlineStr">
        <is>
          <t>dfd90941-47da-439d-b65c-683b8bb09f58</t>
        </is>
      </c>
      <c r="BT136" s="3" t="n">
        <v>1</v>
      </c>
      <c r="BU136" s="2" t="inlineStr">
        <is>
          <t>流程审批类</t>
        </is>
      </c>
      <c r="BV136" s="2" t="inlineStr">
        <is>
          <t>日常用印</t>
        </is>
      </c>
      <c r="BW136" s="2" t="inlineStr">
        <is>
          <t>10次以上</t>
        </is>
      </c>
      <c r="BX136" s="3" t="n">
        <v>10</v>
      </c>
      <c r="BY136" s="3" t="n">
        <v>10</v>
      </c>
      <c r="BZ136" s="2" t="inlineStr">
        <is>
          <t>A.20分钟以内</t>
        </is>
      </c>
      <c r="CA136" s="7" t="n">
        <v>0.33</v>
      </c>
      <c r="CB136" s="7" t="n">
        <v>0.33</v>
      </c>
      <c r="CC136" s="7" t="n">
        <v>3.3</v>
      </c>
      <c r="CD136" s="7" t="n">
        <v>3.3</v>
      </c>
      <c r="CE136" s="2" t="inlineStr">
        <is>
          <t>流程审批类</t>
        </is>
      </c>
      <c r="CF136" s="2"/>
      <c r="CG136" s="2" t="inlineStr">
        <is>
          <t>协同办公流程</t>
        </is>
      </c>
      <c r="CH136" s="2" t="inlineStr">
        <is>
          <t>跨部门协同</t>
        </is>
      </c>
      <c r="CI136" s="2" t="inlineStr">
        <is>
          <t>重要不紧急</t>
        </is>
      </c>
      <c r="CJ136" s="2" t="inlineStr">
        <is>
          <t>高度标准化-有成熟SOP，照做即可</t>
        </is>
      </c>
      <c r="CK136" s="2" t="inlineStr">
        <is>
          <t>极少（&lt;5%）</t>
        </is>
      </c>
      <c r="CL136" s="2" t="inlineStr">
        <is>
          <t>责任/风险负荷</t>
        </is>
      </c>
      <c r="CM136" s="2"/>
      <c r="CN136" s="2" t="inlineStr">
        <is>
          <t>ab013a2e-e1e7-4553-8594-2aaefc4ee30f</t>
        </is>
      </c>
      <c r="CO136" s="3" t="n">
        <v>1</v>
      </c>
      <c r="CP136" s="2"/>
      <c r="CQ136" s="2"/>
      <c r="CR136" s="2"/>
      <c r="CS136" s="3"/>
      <c r="CT136" s="3"/>
      <c r="CU136" s="2"/>
      <c r="CV136" s="3"/>
      <c r="CW136" s="3"/>
      <c r="CX136" s="7" t="n">
        <v>0</v>
      </c>
      <c r="CY136" s="7" t="n">
        <v>0</v>
      </c>
      <c r="CZ136" s="2"/>
      <c r="DA136" s="2"/>
      <c r="DB136" s="2"/>
      <c r="DC136" s="2"/>
      <c r="DD136" s="2"/>
      <c r="DE136" s="2"/>
      <c r="DF136" s="2"/>
      <c r="DG136" s="2"/>
      <c r="DH136" s="2"/>
      <c r="DI136" s="2" t="inlineStr">
        <is>
          <t>0a943f82-0718-4b16-9993-f559c9a0b507</t>
        </is>
      </c>
      <c r="DJ136" s="3" t="n">
        <v>1</v>
      </c>
      <c r="DK136" s="2"/>
      <c r="DL136" s="2"/>
      <c r="DM136" s="2"/>
      <c r="DN136" s="3"/>
      <c r="DO136" s="3"/>
      <c r="DP136" s="2"/>
      <c r="DQ136" s="3"/>
      <c r="DR136" s="3"/>
      <c r="DS136" s="7" t="n">
        <v>0</v>
      </c>
      <c r="DT136" s="7" t="n">
        <v>0</v>
      </c>
      <c r="DU136" s="2"/>
      <c r="DV136" s="2"/>
      <c r="DW136" s="2"/>
      <c r="DX136" s="2"/>
      <c r="DY136" s="2"/>
      <c r="DZ136" s="2"/>
      <c r="EA136" s="2"/>
      <c r="EB136" s="2"/>
      <c r="EC136" s="2"/>
      <c r="ED136" s="2" t="inlineStr">
        <is>
          <t>35b23a20-7d73-4bec-907d-5622e5b40233</t>
        </is>
      </c>
      <c r="EE136" s="3" t="n">
        <v>1</v>
      </c>
      <c r="EF136" s="2"/>
      <c r="EG136" s="2"/>
      <c r="EH136" s="2"/>
      <c r="EI136" s="3"/>
      <c r="EJ136" s="2"/>
      <c r="EK136" s="3"/>
      <c r="EL136" s="3"/>
      <c r="EM136" s="7" t="n">
        <v>0</v>
      </c>
      <c r="EN136" s="7" t="n">
        <v>0</v>
      </c>
      <c r="EO136" s="2"/>
      <c r="EP136" s="2"/>
      <c r="EQ136" s="2"/>
      <c r="ER136" s="2"/>
      <c r="ES136" s="2"/>
      <c r="ET136" s="2"/>
      <c r="EU136" s="2"/>
      <c r="EV136" s="2"/>
      <c r="EW136" s="2"/>
      <c r="EX136" s="2" t="inlineStr">
        <is>
          <t>514550e0-b7cf-40a3-8e90-0bada0c5612b</t>
        </is>
      </c>
      <c r="EY136" s="3" t="n">
        <v>1</v>
      </c>
      <c r="EZ136" s="2"/>
      <c r="FA136" s="2"/>
      <c r="FB136" s="2"/>
      <c r="FC136" s="2"/>
      <c r="FD136" s="3"/>
      <c r="FE136" s="3"/>
      <c r="FF136" s="2"/>
      <c r="FG136" s="3"/>
      <c r="FH136" s="3"/>
      <c r="FI136" s="7" t="n">
        <v>0</v>
      </c>
      <c r="FJ136" s="7" t="n">
        <v>0</v>
      </c>
      <c r="FK136" s="7" t="n">
        <v>0</v>
      </c>
      <c r="FL136" s="7" t="n">
        <v>0</v>
      </c>
      <c r="FM136" s="7" t="n">
        <v>0</v>
      </c>
      <c r="FN136" s="7" t="n">
        <v>0</v>
      </c>
      <c r="FO136" s="2"/>
      <c r="FP136" s="2"/>
      <c r="FQ136" s="2"/>
      <c r="FR136" s="2"/>
      <c r="FS136" s="2"/>
      <c r="FT136" s="2"/>
      <c r="FU136" s="2"/>
      <c r="FV136" s="2"/>
      <c r="FW136" s="2"/>
    </row>
    <row r="137">
      <c r="A137" s="2" t="inlineStr">
        <is>
          <t>2026-05-21 09:37:28</t>
        </is>
      </c>
      <c r="B137" s="2" t="inlineStr">
        <is>
          <t>殷嘉敏</t>
        </is>
      </c>
      <c r="C137" s="2" t="inlineStr">
        <is>
          <t>审计部</t>
        </is>
      </c>
      <c r="D137" s="2" t="inlineStr">
        <is>
          <t>女</t>
        </is>
      </c>
      <c r="E137" s="2" t="inlineStr">
        <is>
          <t>32112120000607254X</t>
        </is>
      </c>
      <c r="F137" s="2" t="inlineStr">
        <is>
          <t>技术助理(二)</t>
        </is>
      </c>
      <c r="G137" s="2" t="inlineStr">
        <is>
          <t>2023-08</t>
        </is>
      </c>
      <c r="H137" s="2" t="inlineStr">
        <is>
          <t>南京审计大学</t>
        </is>
      </c>
      <c r="I137" s="2" t="inlineStr">
        <is>
          <t>会计</t>
        </is>
      </c>
      <c r="J137" s="2" t="inlineStr">
        <is>
          <t>本科</t>
        </is>
      </c>
      <c r="K137" s="2"/>
      <c r="L137" s="6">
        <f>HYPERLINK("https://www.h3yun.com/Form/Attachments/?schemacode=D1483577de63ede327d4760b10664bd57671d7e&amp;bizObjectId=b36b5345-a9ff-46fa-a80e-344dc223a3ff&amp;name=F0000046","点击查看")</f>
        <v>0</v>
      </c>
      <c r="M137" s="2" t="inlineStr">
        <is>
          <t>无</t>
        </is>
      </c>
      <c r="N137" s="2" t="inlineStr">
        <is>
          <t>每日工作;每周工作;每月工作;每季度/阶段性工作</t>
        </is>
      </c>
      <c r="O137" s="2" t="inlineStr">
        <is>
          <t>26-30岁</t>
        </is>
      </c>
      <c r="P137" s="2" t="inlineStr">
        <is>
          <t>A.未婚</t>
        </is>
      </c>
      <c r="Q137" s="2" t="inlineStr">
        <is>
          <t>A.否</t>
        </is>
      </c>
      <c r="R137" s="2" t="inlineStr">
        <is>
          <t>A.否</t>
        </is>
      </c>
      <c r="S137" s="2" t="inlineStr">
        <is>
          <t>D.希望承担更有挑战性的工作，并争取更大发展空间</t>
        </is>
      </c>
      <c r="T137" s="2" t="inlineStr">
        <is>
          <t>C.工作较稳定，但发展空间不足</t>
        </is>
      </c>
      <c r="U137" s="2" t="inlineStr">
        <is>
          <t>F.提高支持资源或人员配置</t>
        </is>
      </c>
      <c r="V137" s="2" t="inlineStr">
        <is>
          <t>A.没有</t>
        </is>
      </c>
      <c r="W137" s="2"/>
      <c r="X137" s="2" t="inlineStr">
        <is>
          <t>C.均衡 (80%-100%)</t>
        </is>
      </c>
      <c r="Y137" s="2" t="inlineStr">
        <is>
          <t>I.因正常工作任务截止日遇上节假日所需加班</t>
        </is>
      </c>
      <c r="Z137" s="2" t="inlineStr">
        <is>
          <t>无</t>
        </is>
      </c>
      <c r="AA137" s="2" t="inlineStr">
        <is>
          <t>无</t>
        </is>
      </c>
      <c r="AB137" s="2" t="inlineStr">
        <is>
          <t>跨部门对接</t>
        </is>
      </c>
      <c r="AC137" s="2" t="inlineStr">
        <is>
          <t>B.基本匹配（正常履行）</t>
        </is>
      </c>
      <c r="AD137" s="2" t="inlineStr">
        <is>
          <t>无</t>
        </is>
      </c>
      <c r="AE137" s="2"/>
      <c r="AF137" s="2"/>
      <c r="AG137" s="2"/>
      <c r="AH137" s="2"/>
      <c r="AI137" s="7" t="n">
        <v>4</v>
      </c>
      <c r="AJ137" s="7" t="n">
        <v>10</v>
      </c>
      <c r="AK137" s="7" t="n">
        <v>0.8</v>
      </c>
      <c r="AL137" s="7" t="n">
        <v>2.4</v>
      </c>
      <c r="AM137" s="7" t="n">
        <v>0.36</v>
      </c>
      <c r="AN137" s="7" t="n">
        <v>1.09</v>
      </c>
      <c r="AO137" s="7" t="n">
        <v>0.03</v>
      </c>
      <c r="AP137" s="7" t="n">
        <v>0.06</v>
      </c>
      <c r="AQ137" s="7" t="n">
        <v>0</v>
      </c>
      <c r="AR137" s="7" t="n">
        <v>0</v>
      </c>
      <c r="AS137" s="7" t="n">
        <v>5.19</v>
      </c>
      <c r="AT137" s="7" t="n">
        <v>13.55</v>
      </c>
      <c r="AU137" s="7" t="n">
        <v>9.37</v>
      </c>
      <c r="AV137" s="2" t="inlineStr">
        <is>
          <t>满负荷</t>
        </is>
      </c>
      <c r="AW137" s="2" t="inlineStr">
        <is>
          <t>不一致</t>
        </is>
      </c>
      <c r="AX137" s="2" t="inlineStr">
        <is>
          <t>b36b5345-a9ff-46fa-a80e-344dc223a3ff</t>
        </is>
      </c>
      <c r="AY137" s="2" t="inlineStr">
        <is>
          <t>审计部    殷嘉敏</t>
        </is>
      </c>
      <c r="AZ137" s="2" t="inlineStr">
        <is>
          <t>Anonymous</t>
        </is>
      </c>
      <c r="BA137" s="2" t="inlineStr">
        <is>
          <t>Anonymous</t>
        </is>
      </c>
      <c r="BB137" s="2"/>
      <c r="BC137" s="2" t="inlineStr">
        <is>
          <t>2026-05-21 09:39:53</t>
        </is>
      </c>
      <c r="BD137" s="3" t="n">
        <v>2000</v>
      </c>
      <c r="BE137" s="3" t="n">
        <v>26</v>
      </c>
      <c r="BF137" s="2" t="inlineStr">
        <is>
          <t>A.无此需求</t>
        </is>
      </c>
      <c r="BG137" s="2" t="inlineStr">
        <is>
          <t>已生效</t>
        </is>
      </c>
      <c r="BH137" s="2" t="inlineStr">
        <is>
          <t>bbf98610-fe4f-46ec-95ec-7ea3fd5689bc</t>
        </is>
      </c>
      <c r="BI137" s="3" t="n">
        <v>1</v>
      </c>
      <c r="BJ137" s="2"/>
      <c r="BK137" s="2"/>
      <c r="BL137" s="2"/>
      <c r="BM137" s="2"/>
      <c r="BN137" s="2"/>
      <c r="BO137" s="2"/>
      <c r="BP137" s="2"/>
      <c r="BQ137" s="2"/>
      <c r="BR137" s="2"/>
      <c r="BS137" s="2" t="inlineStr">
        <is>
          <t>05dac5e1-169b-4da0-8faf-e038137d7fcb</t>
        </is>
      </c>
      <c r="BT137" s="3" t="n">
        <v>1</v>
      </c>
      <c r="BU137" s="2" t="inlineStr">
        <is>
          <t>专业技术类</t>
        </is>
      </c>
      <c r="BV137" s="2" t="inlineStr">
        <is>
          <t>审计资料整理，核对工程凭证付款单据及项目现场资料</t>
        </is>
      </c>
      <c r="BW137" s="2" t="inlineStr">
        <is>
          <t>2-5次</t>
        </is>
      </c>
      <c r="BX137" s="3" t="n">
        <v>2</v>
      </c>
      <c r="BY137" s="3" t="n">
        <v>5</v>
      </c>
      <c r="BZ137" s="2" t="inlineStr">
        <is>
          <t>B.2小时以内</t>
        </is>
      </c>
      <c r="CA137" s="7" t="n">
        <v>2</v>
      </c>
      <c r="CB137" s="7" t="n">
        <v>2</v>
      </c>
      <c r="CC137" s="7" t="n">
        <v>4</v>
      </c>
      <c r="CD137" s="7" t="n">
        <v>10</v>
      </c>
      <c r="CE137" s="2" t="inlineStr">
        <is>
          <t>专业技术类</t>
        </is>
      </c>
      <c r="CF137" s="2"/>
      <c r="CG137" s="2" t="inlineStr">
        <is>
          <t>技术方案审查</t>
        </is>
      </c>
      <c r="CH137" s="2" t="inlineStr">
        <is>
          <t>部门计划</t>
        </is>
      </c>
      <c r="CI137" s="2" t="inlineStr">
        <is>
          <t>重要不紧急</t>
        </is>
      </c>
      <c r="CJ137" s="2" t="inlineStr">
        <is>
          <t>半标准化-有流程框架，需专业经验</t>
        </is>
      </c>
      <c r="CK137" s="2" t="inlineStr">
        <is>
          <t>极少（&lt;5%）</t>
        </is>
      </c>
      <c r="CL137" s="2" t="inlineStr">
        <is>
          <t>脑力/复杂度负荷</t>
        </is>
      </c>
      <c r="CM137" s="2"/>
      <c r="CN137" s="2" t="inlineStr">
        <is>
          <t>d4d0ae8a-9efc-47a8-9f01-624e07c64a11</t>
        </is>
      </c>
      <c r="CO137" s="3" t="n">
        <v>1</v>
      </c>
      <c r="CP137" s="2"/>
      <c r="CQ137" s="2" t="inlineStr">
        <is>
          <t>对审计资料交叉核对，项目成本费用支出异常初步排查登记</t>
        </is>
      </c>
      <c r="CR137" s="2" t="inlineStr">
        <is>
          <t>2-3次</t>
        </is>
      </c>
      <c r="CS137" s="3" t="n">
        <v>2</v>
      </c>
      <c r="CT137" s="3" t="n">
        <v>3</v>
      </c>
      <c r="CU137" s="2" t="inlineStr">
        <is>
          <t>C.2-4小时</t>
        </is>
      </c>
      <c r="CV137" s="7" t="n">
        <v>2</v>
      </c>
      <c r="CW137" s="7" t="n">
        <v>4</v>
      </c>
      <c r="CX137" s="7" t="n">
        <v>4</v>
      </c>
      <c r="CY137" s="7" t="n">
        <v>12</v>
      </c>
      <c r="CZ137" s="2" t="inlineStr">
        <is>
          <t>专业技术类</t>
        </is>
      </c>
      <c r="DA137" s="2"/>
      <c r="DB137" s="2" t="inlineStr">
        <is>
          <t>专业问题协调</t>
        </is>
      </c>
      <c r="DC137" s="2" t="inlineStr">
        <is>
          <t>部门计划</t>
        </is>
      </c>
      <c r="DD137" s="2" t="inlineStr">
        <is>
          <t>重要不紧急</t>
        </is>
      </c>
      <c r="DE137" s="2" t="inlineStr">
        <is>
          <t>半标准化-有流程框架，需专业经验</t>
        </is>
      </c>
      <c r="DF137" s="2" t="inlineStr">
        <is>
          <t>极少（&lt;5%）</t>
        </is>
      </c>
      <c r="DG137" s="2" t="inlineStr">
        <is>
          <t>脑力/复杂度负荷</t>
        </is>
      </c>
      <c r="DH137" s="2"/>
      <c r="DI137" s="2" t="inlineStr">
        <is>
          <t>e1bf932d-3386-4c1c-9659-9e8a42be0ecd</t>
        </is>
      </c>
      <c r="DJ137" s="3" t="n">
        <v>1</v>
      </c>
      <c r="DK137" s="2"/>
      <c r="DL137" s="2" t="inlineStr">
        <is>
          <t>月度成本费用归集与付款流程合规性抽查、月度分包材料采购付款台账与合同条款核对、月度审计工作各项数据统计</t>
        </is>
      </c>
      <c r="DM137" s="2" t="inlineStr">
        <is>
          <t>2-3次</t>
        </is>
      </c>
      <c r="DN137" s="3" t="n">
        <v>2</v>
      </c>
      <c r="DO137" s="3" t="n">
        <v>3</v>
      </c>
      <c r="DP137" s="2" t="inlineStr">
        <is>
          <t>D.4-8小时</t>
        </is>
      </c>
      <c r="DQ137" s="7" t="n">
        <v>4</v>
      </c>
      <c r="DR137" s="7" t="n">
        <v>8</v>
      </c>
      <c r="DS137" s="7" t="n">
        <v>8</v>
      </c>
      <c r="DT137" s="7" t="n">
        <v>24</v>
      </c>
      <c r="DU137" s="2" t="inlineStr">
        <is>
          <t>专业技术类</t>
        </is>
      </c>
      <c r="DV137" s="2"/>
      <c r="DW137" s="2" t="inlineStr">
        <is>
          <t>技术方案审查</t>
        </is>
      </c>
      <c r="DX137" s="2" t="inlineStr">
        <is>
          <t>部门计划</t>
        </is>
      </c>
      <c r="DY137" s="2" t="inlineStr">
        <is>
          <t>重要不紧急</t>
        </is>
      </c>
      <c r="DZ137" s="2" t="inlineStr">
        <is>
          <t>半标准化-有流程框架，需专业经验</t>
        </is>
      </c>
      <c r="EA137" s="2" t="inlineStr">
        <is>
          <t>极少（&lt;5%）</t>
        </is>
      </c>
      <c r="EB137" s="2" t="inlineStr">
        <is>
          <t>脑力/复杂度负荷</t>
        </is>
      </c>
      <c r="EC137" s="2"/>
      <c r="ED137" s="2" t="inlineStr">
        <is>
          <t>5d2636ff-15da-4cf9-a34f-b9d57000f6fd</t>
        </is>
      </c>
      <c r="EE137" s="3" t="n">
        <v>1</v>
      </c>
      <c r="EF137" s="2"/>
      <c r="EG137" s="2" t="inlineStr">
        <is>
          <t>项目阶段性审计底稿整理、复核归档、工程分包合同、材料采购合同合规性专业核对已发现审计问题的整改跟进核对与反馈</t>
        </is>
      </c>
      <c r="EH137" s="2" t="inlineStr">
        <is>
          <t>2次</t>
        </is>
      </c>
      <c r="EI137" s="3" t="n">
        <v>2</v>
      </c>
      <c r="EJ137" s="2" t="inlineStr">
        <is>
          <t>D.4-8小时</t>
        </is>
      </c>
      <c r="EK137" s="7" t="n">
        <v>4</v>
      </c>
      <c r="EL137" s="7" t="n">
        <v>8</v>
      </c>
      <c r="EM137" s="7" t="n">
        <v>8</v>
      </c>
      <c r="EN137" s="7" t="n">
        <v>16</v>
      </c>
      <c r="EO137" s="2" t="inlineStr">
        <is>
          <t>专业技术类</t>
        </is>
      </c>
      <c r="EP137" s="2"/>
      <c r="EQ137" s="2" t="inlineStr">
        <is>
          <t>技术方案审查</t>
        </is>
      </c>
      <c r="ER137" s="2" t="inlineStr">
        <is>
          <t>部门计划</t>
        </is>
      </c>
      <c r="ES137" s="2" t="inlineStr">
        <is>
          <t>重要不紧急</t>
        </is>
      </c>
      <c r="ET137" s="2" t="inlineStr">
        <is>
          <t>半标准化-有流程框架，需专业经验</t>
        </is>
      </c>
      <c r="EU137" s="2" t="inlineStr">
        <is>
          <t>极少（&lt;5%）</t>
        </is>
      </c>
      <c r="EV137" s="2" t="inlineStr">
        <is>
          <t>脑力/复杂度负荷</t>
        </is>
      </c>
      <c r="EW137" s="2"/>
      <c r="EX137" s="2" t="inlineStr">
        <is>
          <t>2e279803-e922-4052-a91f-c6ce7a660961</t>
        </is>
      </c>
      <c r="EY137" s="3" t="n">
        <v>1</v>
      </c>
      <c r="EZ137" s="2"/>
      <c r="FA137" s="2"/>
      <c r="FB137" s="2"/>
      <c r="FC137" s="2"/>
      <c r="FD137" s="3"/>
      <c r="FE137" s="3"/>
      <c r="FF137" s="2"/>
      <c r="FG137" s="3"/>
      <c r="FH137" s="3"/>
      <c r="FI137" s="7" t="n">
        <v>0</v>
      </c>
      <c r="FJ137" s="7" t="n">
        <v>0</v>
      </c>
      <c r="FK137" s="7" t="n">
        <v>0</v>
      </c>
      <c r="FL137" s="7" t="n">
        <v>0</v>
      </c>
      <c r="FM137" s="7" t="n">
        <v>0</v>
      </c>
      <c r="FN137" s="7" t="n">
        <v>0</v>
      </c>
      <c r="FO137" s="2"/>
      <c r="FP137" s="2"/>
      <c r="FQ137" s="2"/>
      <c r="FR137" s="2"/>
      <c r="FS137" s="2"/>
      <c r="FT137" s="2"/>
      <c r="FU137" s="2"/>
      <c r="FV137" s="2"/>
      <c r="FW137" s="2"/>
    </row>
    <row r="138">
      <c r="A138" s="2" t="inlineStr">
        <is>
          <t>2026-05-18 16:21:25</t>
        </is>
      </c>
      <c r="B138" s="2" t="inlineStr">
        <is>
          <t>虞婷</t>
        </is>
      </c>
      <c r="C138" s="2" t="inlineStr">
        <is>
          <t>技术质量部</t>
        </is>
      </c>
      <c r="D138" s="2" t="inlineStr">
        <is>
          <t>女</t>
        </is>
      </c>
      <c r="E138" s="2" t="inlineStr">
        <is>
          <t>320102198604260022</t>
        </is>
      </c>
      <c r="F138" s="2" t="inlineStr">
        <is>
          <t>专业工程师</t>
        </is>
      </c>
      <c r="G138" s="2" t="inlineStr">
        <is>
          <t>2009-08</t>
        </is>
      </c>
      <c r="H138" s="2" t="inlineStr">
        <is>
          <t>江苏省广播电视大学</t>
        </is>
      </c>
      <c r="I138" s="2" t="inlineStr">
        <is>
          <t>土建</t>
        </is>
      </c>
      <c r="J138" s="2" t="inlineStr">
        <is>
          <t>大专</t>
        </is>
      </c>
      <c r="K138" s="2"/>
      <c r="L138" s="6">
        <f>HYPERLINK("https://www.h3yun.com/Form/Attachments/?schemacode=D1483577de63ede327d4760b10664bd57671d7e&amp;bizObjectId=23266a35-c3e7-49c8-91f4-368e0b3a99dd&amp;name=F0000046","点击查看")</f>
        <v>0</v>
      </c>
      <c r="M138" s="2" t="inlineStr">
        <is>
          <t>无</t>
        </is>
      </c>
      <c r="N138" s="2" t="inlineStr">
        <is>
          <t>每日工作;每周工作;每月工作;每季度/阶段性工作;临时/突发工作</t>
        </is>
      </c>
      <c r="O138" s="2" t="inlineStr">
        <is>
          <t>30-40岁</t>
        </is>
      </c>
      <c r="P138" s="2" t="inlineStr">
        <is>
          <t>C.已婚已育</t>
        </is>
      </c>
      <c r="Q138" s="2" t="inlineStr">
        <is>
          <t>B.是，主要照护子女</t>
        </is>
      </c>
      <c r="R138" s="2" t="inlineStr">
        <is>
          <t>C.有2名及以上</t>
        </is>
      </c>
      <c r="S138" s="2" t="inlineStr">
        <is>
          <t>A.保持当前工作内容和节奏，收入相对稳定即可</t>
        </is>
      </c>
      <c r="T138" s="2" t="inlineStr">
        <is>
          <t>A.基本满意，希望保持</t>
        </is>
      </c>
      <c r="U138" s="2" t="inlineStr">
        <is>
          <t>D.明确职责边界</t>
        </is>
      </c>
      <c r="V138" s="2" t="inlineStr">
        <is>
          <t>C.推动过局部优化</t>
        </is>
      </c>
      <c r="W138" s="2" t="inlineStr">
        <is>
          <t>D.系统/技术条件不具备</t>
        </is>
      </c>
      <c r="X138" s="2" t="inlineStr">
        <is>
          <t>C.均衡 (80%-100%)</t>
        </is>
      </c>
      <c r="Y138" s="2" t="inlineStr">
        <is>
          <t>E.临时差旅、突发事件、会议加班</t>
        </is>
      </c>
      <c r="Z138" s="2" t="inlineStr">
        <is>
          <t>无</t>
        </is>
      </c>
      <c r="AA138" s="2" t="inlineStr">
        <is>
          <t>无</t>
        </is>
      </c>
      <c r="AB138" s="2" t="inlineStr">
        <is>
          <t>无</t>
        </is>
      </c>
      <c r="AC138" s="2" t="inlineStr">
        <is>
          <t>A.高度匹配（得心应手）</t>
        </is>
      </c>
      <c r="AD138" s="2" t="inlineStr">
        <is>
          <t>无</t>
        </is>
      </c>
      <c r="AE138" s="2"/>
      <c r="AF138" s="2"/>
      <c r="AG138" s="2"/>
      <c r="AH138" s="2"/>
      <c r="AI138" s="7" t="n">
        <v>5.98</v>
      </c>
      <c r="AJ138" s="7" t="n">
        <v>13.3</v>
      </c>
      <c r="AK138" s="7" t="n">
        <v>0.8</v>
      </c>
      <c r="AL138" s="7" t="n">
        <v>1.2</v>
      </c>
      <c r="AM138" s="7" t="n">
        <v>0.53</v>
      </c>
      <c r="AN138" s="7" t="n">
        <v>0.86</v>
      </c>
      <c r="AO138" s="7" t="n">
        <v>0.35</v>
      </c>
      <c r="AP138" s="7" t="n">
        <v>0.37</v>
      </c>
      <c r="AQ138" s="7" t="n">
        <v>0.06</v>
      </c>
      <c r="AR138" s="7" t="n">
        <v>0.13</v>
      </c>
      <c r="AS138" s="7" t="n">
        <v>7.72</v>
      </c>
      <c r="AT138" s="7" t="n">
        <v>15.86</v>
      </c>
      <c r="AU138" s="7" t="n">
        <v>11.79</v>
      </c>
      <c r="AV138" s="2" t="inlineStr">
        <is>
          <t>超负荷</t>
        </is>
      </c>
      <c r="AW138" s="2" t="inlineStr">
        <is>
          <t>不一致</t>
        </is>
      </c>
      <c r="AX138" s="2" t="inlineStr">
        <is>
          <t>23266a35-c3e7-49c8-91f4-368e0b3a99dd</t>
        </is>
      </c>
      <c r="AY138" s="2" t="inlineStr">
        <is>
          <t>技术质量部    虞婷</t>
        </is>
      </c>
      <c r="AZ138" s="2" t="inlineStr">
        <is>
          <t>Anonymous</t>
        </is>
      </c>
      <c r="BA138" s="2" t="inlineStr">
        <is>
          <t>Anonymous</t>
        </is>
      </c>
      <c r="BB138" s="2"/>
      <c r="BC138" s="2" t="inlineStr">
        <is>
          <t>2026-05-21 08:43:22</t>
        </is>
      </c>
      <c r="BD138" s="3" t="n">
        <v>1986</v>
      </c>
      <c r="BE138" s="3" t="n">
        <v>40</v>
      </c>
      <c r="BF138" s="2" t="inlineStr">
        <is>
          <t>A.无此需求</t>
        </is>
      </c>
      <c r="BG138" s="2" t="inlineStr">
        <is>
          <t>已生效</t>
        </is>
      </c>
      <c r="BH138" s="2" t="inlineStr">
        <is>
          <t>84d3adef-b749-48e7-a94b-0d8ef4b8138b</t>
        </is>
      </c>
      <c r="BI138" s="3" t="n">
        <v>1</v>
      </c>
      <c r="BJ138" s="2"/>
      <c r="BK138" s="2"/>
      <c r="BL138" s="2"/>
      <c r="BM138" s="2"/>
      <c r="BN138" s="2"/>
      <c r="BO138" s="2"/>
      <c r="BP138" s="2"/>
      <c r="BQ138" s="2"/>
      <c r="BR138" s="2"/>
      <c r="BS138" s="2" t="inlineStr">
        <is>
          <t>cf8793f9-88de-4feb-bde8-b19509280d8a</t>
        </is>
      </c>
      <c r="BT138" s="3" t="n">
        <v>1</v>
      </c>
      <c r="BU138" s="2" t="inlineStr">
        <is>
          <t>流程审批类</t>
        </is>
      </c>
      <c r="BV138" s="2" t="inlineStr">
        <is>
          <t>负责质量月报流程审批</t>
        </is>
      </c>
      <c r="BW138" s="2" t="inlineStr">
        <is>
          <t>6-10次</t>
        </is>
      </c>
      <c r="BX138" s="3" t="n">
        <v>6</v>
      </c>
      <c r="BY138" s="3" t="n">
        <v>10</v>
      </c>
      <c r="BZ138" s="2" t="inlineStr">
        <is>
          <t>A.20分钟以内</t>
        </is>
      </c>
      <c r="CA138" s="7" t="n">
        <v>0.33</v>
      </c>
      <c r="CB138" s="7" t="n">
        <v>0.33</v>
      </c>
      <c r="CC138" s="7" t="n">
        <v>1.98</v>
      </c>
      <c r="CD138" s="7" t="n">
        <v>3.3</v>
      </c>
      <c r="CE138" s="2" t="inlineStr">
        <is>
          <t>流程审批类</t>
        </is>
      </c>
      <c r="CF138" s="2"/>
      <c r="CG138" s="2" t="inlineStr">
        <is>
          <t>技术质量管理</t>
        </is>
      </c>
      <c r="CH138" s="2" t="inlineStr">
        <is>
          <t>岗位职责</t>
        </is>
      </c>
      <c r="CI138" s="2" t="inlineStr">
        <is>
          <t>重要且紧急</t>
        </is>
      </c>
      <c r="CJ138" s="2" t="inlineStr">
        <is>
          <t>半标准化-有流程框架，需专业经验</t>
        </is>
      </c>
      <c r="CK138" s="2" t="inlineStr">
        <is>
          <t>极少（&lt;5%）</t>
        </is>
      </c>
      <c r="CL138" s="2" t="inlineStr">
        <is>
          <t>责任/风险负荷</t>
        </is>
      </c>
      <c r="CM138" s="2"/>
      <c r="CN138" s="2" t="inlineStr">
        <is>
          <t>bb8b7cec-5daa-4774-a888-71b399e17978</t>
        </is>
      </c>
      <c r="CO138" s="3" t="n">
        <v>1</v>
      </c>
      <c r="CP138" s="2"/>
      <c r="CQ138" s="2" t="inlineStr">
        <is>
          <t>负责收集顾客满意度调查表和质量回访记录表</t>
        </is>
      </c>
      <c r="CR138" s="2" t="inlineStr">
        <is>
          <t>2-3次</t>
        </is>
      </c>
      <c r="CS138" s="3" t="n">
        <v>2</v>
      </c>
      <c r="CT138" s="3" t="n">
        <v>3</v>
      </c>
      <c r="CU138" s="2" t="inlineStr">
        <is>
          <t>B.2小时以内</t>
        </is>
      </c>
      <c r="CV138" s="7" t="n">
        <v>2</v>
      </c>
      <c r="CW138" s="7" t="n">
        <v>2</v>
      </c>
      <c r="CX138" s="7" t="n">
        <v>4</v>
      </c>
      <c r="CY138" s="7" t="n">
        <v>6</v>
      </c>
      <c r="CZ138" s="2" t="inlineStr">
        <is>
          <t>监督检查类</t>
        </is>
      </c>
      <c r="DA138" s="2"/>
      <c r="DB138" s="2" t="inlineStr">
        <is>
          <t>考核通报</t>
        </is>
      </c>
      <c r="DC138" s="2" t="inlineStr">
        <is>
          <t>部门计划</t>
        </is>
      </c>
      <c r="DD138" s="2" t="inlineStr">
        <is>
          <t>重要且紧急</t>
        </is>
      </c>
      <c r="DE138" s="2" t="inlineStr">
        <is>
          <t>高度标准化-有成熟SOP，照做即可</t>
        </is>
      </c>
      <c r="DF138" s="2" t="inlineStr">
        <is>
          <t>极少（&lt;5%）</t>
        </is>
      </c>
      <c r="DG138" s="2" t="inlineStr">
        <is>
          <t>责任/风险负荷</t>
        </is>
      </c>
      <c r="DH138" s="2"/>
      <c r="DI138" s="2" t="inlineStr">
        <is>
          <t>c9b8c257-9014-41c6-9f1a-d79d56129587</t>
        </is>
      </c>
      <c r="DJ138" s="3" t="n">
        <v>1</v>
      </c>
      <c r="DK138" s="2"/>
      <c r="DL138" s="2" t="inlineStr">
        <is>
          <t>负责部门员工考勤工作</t>
        </is>
      </c>
      <c r="DM138" s="2" t="inlineStr">
        <is>
          <t>1次</t>
        </is>
      </c>
      <c r="DN138" s="3" t="n">
        <v>1</v>
      </c>
      <c r="DO138" s="3" t="n">
        <v>1</v>
      </c>
      <c r="DP138" s="2" t="inlineStr">
        <is>
          <t>B.2小时以内</t>
        </is>
      </c>
      <c r="DQ138" s="7" t="n">
        <v>2</v>
      </c>
      <c r="DR138" s="7" t="n">
        <v>2</v>
      </c>
      <c r="DS138" s="7" t="n">
        <v>2</v>
      </c>
      <c r="DT138" s="7" t="n">
        <v>2</v>
      </c>
      <c r="DU138" s="2" t="inlineStr">
        <is>
          <t>行政事务类</t>
        </is>
      </c>
      <c r="DV138" s="2"/>
      <c r="DW138" s="2" t="inlineStr">
        <is>
          <t>日常台账</t>
        </is>
      </c>
      <c r="DX138" s="2" t="inlineStr">
        <is>
          <t>岗位职责</t>
        </is>
      </c>
      <c r="DY138" s="2" t="inlineStr">
        <is>
          <t>重要不紧急</t>
        </is>
      </c>
      <c r="DZ138" s="2" t="inlineStr">
        <is>
          <t>高度标准化-有成熟SOP，照做即可</t>
        </is>
      </c>
      <c r="EA138" s="2" t="inlineStr">
        <is>
          <t>极少（&lt;5%）</t>
        </is>
      </c>
      <c r="EB138" s="2" t="inlineStr">
        <is>
          <t>脑力/复杂度负荷</t>
        </is>
      </c>
      <c r="EC138" s="2"/>
      <c r="ED138" s="2" t="inlineStr">
        <is>
          <t>609be478-e167-42ec-b686-d5d808de717a</t>
        </is>
      </c>
      <c r="EE138" s="3" t="n">
        <v>1</v>
      </c>
      <c r="EF138" s="2"/>
      <c r="EG138" s="2" t="inlineStr">
        <is>
          <t>负责公司QC成果申报、组织发布工作</t>
        </is>
      </c>
      <c r="EH138" s="2" t="inlineStr">
        <is>
          <t>1次</t>
        </is>
      </c>
      <c r="EI138" s="3" t="n">
        <v>1</v>
      </c>
      <c r="EJ138" s="2" t="inlineStr">
        <is>
          <t>E.8小时以上</t>
        </is>
      </c>
      <c r="EK138" s="7" t="n">
        <v>8</v>
      </c>
      <c r="EL138" s="7" t="n">
        <v>8</v>
      </c>
      <c r="EM138" s="7" t="n">
        <v>8</v>
      </c>
      <c r="EN138" s="7" t="n">
        <v>8</v>
      </c>
      <c r="EO138" s="2" t="inlineStr">
        <is>
          <t>综合管理类</t>
        </is>
      </c>
      <c r="EP138" s="2"/>
      <c r="EQ138" s="2" t="inlineStr">
        <is>
          <t>专题工作推进</t>
        </is>
      </c>
      <c r="ER138" s="2" t="inlineStr">
        <is>
          <t>岗位职责</t>
        </is>
      </c>
      <c r="ES138" s="2" t="inlineStr">
        <is>
          <t>重要且紧急</t>
        </is>
      </c>
      <c r="ET138" s="2" t="inlineStr">
        <is>
          <t>半标准化-有流程框架，需专业经验</t>
        </is>
      </c>
      <c r="EU138" s="2" t="inlineStr">
        <is>
          <t>极少（&lt;5%）</t>
        </is>
      </c>
      <c r="EV138" s="2" t="inlineStr">
        <is>
          <t>脑力/复杂度负荷</t>
        </is>
      </c>
      <c r="EW138" s="2"/>
      <c r="EX138" s="2" t="inlineStr">
        <is>
          <t>1c513385-4143-4d43-aac1-6a41952e3101</t>
        </is>
      </c>
      <c r="EY138" s="3" t="n">
        <v>1</v>
      </c>
      <c r="EZ138" s="2"/>
      <c r="FA138" s="2" t="inlineStr">
        <is>
          <t>领导根据部门需要安排考取新证</t>
        </is>
      </c>
      <c r="FB138" s="2" t="inlineStr">
        <is>
          <t>每年1-2次</t>
        </is>
      </c>
      <c r="FC138" s="2" t="inlineStr">
        <is>
          <t>年</t>
        </is>
      </c>
      <c r="FD138" s="3" t="n">
        <v>1</v>
      </c>
      <c r="FE138" s="3" t="n">
        <v>2</v>
      </c>
      <c r="FF138" s="2" t="inlineStr">
        <is>
          <t>E.8小时以上</t>
        </is>
      </c>
      <c r="FG138" s="7" t="n">
        <v>8</v>
      </c>
      <c r="FH138" s="7" t="n">
        <v>8</v>
      </c>
      <c r="FI138" s="7" t="n">
        <v>0</v>
      </c>
      <c r="FJ138" s="7" t="n">
        <v>0</v>
      </c>
      <c r="FK138" s="7" t="n">
        <v>0</v>
      </c>
      <c r="FL138" s="7" t="n">
        <v>0</v>
      </c>
      <c r="FM138" s="7" t="n">
        <v>8</v>
      </c>
      <c r="FN138" s="7" t="n">
        <v>16</v>
      </c>
      <c r="FO138" s="2" t="inlineStr">
        <is>
          <t>专业技术类</t>
        </is>
      </c>
      <c r="FP138" s="2"/>
      <c r="FQ138" s="2" t="inlineStr">
        <is>
          <t>专业问题协调</t>
        </is>
      </c>
      <c r="FR138" s="2" t="inlineStr">
        <is>
          <t>部门计划</t>
        </is>
      </c>
      <c r="FS138" s="2" t="inlineStr">
        <is>
          <t>重要且紧急</t>
        </is>
      </c>
      <c r="FT138" s="2" t="inlineStr">
        <is>
          <t>高度标准化-有成熟SOP，照做即可</t>
        </is>
      </c>
      <c r="FU138" s="2" t="inlineStr">
        <is>
          <t>极少（&lt;5%）</t>
        </is>
      </c>
      <c r="FV138" s="2" t="inlineStr">
        <is>
          <t>脑力/复杂度负荷</t>
        </is>
      </c>
      <c r="FW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t="inlineStr">
        <is>
          <t>63c3e401-b41e-4b5c-b116-5b0a1de35a58</t>
        </is>
      </c>
      <c r="BT139" s="3" t="n">
        <v>2</v>
      </c>
      <c r="BU139" s="2" t="inlineStr">
        <is>
          <t>监督检查类</t>
        </is>
      </c>
      <c r="BV139" s="2" t="inlineStr">
        <is>
          <t>负责沟通、处理质量月报中的问题</t>
        </is>
      </c>
      <c r="BW139" s="2" t="inlineStr">
        <is>
          <t>2-5次</t>
        </is>
      </c>
      <c r="BX139" s="3" t="n">
        <v>2</v>
      </c>
      <c r="BY139" s="3" t="n">
        <v>5</v>
      </c>
      <c r="BZ139" s="2" t="inlineStr">
        <is>
          <t>B.2小时以内</t>
        </is>
      </c>
      <c r="CA139" s="7" t="n">
        <v>2</v>
      </c>
      <c r="CB139" s="7" t="n">
        <v>2</v>
      </c>
      <c r="CC139" s="7" t="n">
        <v>4</v>
      </c>
      <c r="CD139" s="7" t="n">
        <v>10</v>
      </c>
      <c r="CE139" s="2" t="inlineStr">
        <is>
          <t>监督检查类</t>
        </is>
      </c>
      <c r="CF139" s="2"/>
      <c r="CG139" s="2" t="inlineStr">
        <is>
          <t>考核通报</t>
        </is>
      </c>
      <c r="CH139" s="2" t="inlineStr">
        <is>
          <t>自主发起</t>
        </is>
      </c>
      <c r="CI139" s="2" t="inlineStr">
        <is>
          <t>重要且紧急</t>
        </is>
      </c>
      <c r="CJ139" s="2" t="inlineStr">
        <is>
          <t>高度标准化-有成熟SOP，照做即可</t>
        </is>
      </c>
      <c r="CK139" s="2" t="inlineStr">
        <is>
          <t>极少（&lt;5%）</t>
        </is>
      </c>
      <c r="CL139" s="2" t="inlineStr">
        <is>
          <t>沟通/协调负荷</t>
        </is>
      </c>
      <c r="CM139" s="2"/>
      <c r="CN139" s="2"/>
      <c r="CO139" s="2"/>
      <c r="CP139" s="2"/>
      <c r="CQ139" s="2"/>
      <c r="CR139" s="2"/>
      <c r="CS139" s="2"/>
      <c r="CT139" s="2"/>
      <c r="CU139" s="2"/>
      <c r="CV139" s="2"/>
      <c r="CW139" s="2"/>
      <c r="CX139" s="2"/>
      <c r="CY139" s="2"/>
      <c r="CZ139" s="2"/>
      <c r="DA139" s="2"/>
      <c r="DB139" s="2"/>
      <c r="DC139" s="2"/>
      <c r="DD139" s="2"/>
      <c r="DE139" s="2"/>
      <c r="DF139" s="2"/>
      <c r="DG139" s="2"/>
      <c r="DH139" s="2"/>
      <c r="DI139" s="2" t="inlineStr">
        <is>
          <t>0a1d0d5d-83b3-4482-9887-dceeffb3b757</t>
        </is>
      </c>
      <c r="DJ139" s="3" t="n">
        <v>2</v>
      </c>
      <c r="DK139" s="2"/>
      <c r="DL139" s="2" t="inlineStr">
        <is>
          <t>负责组织开展技术质量工作月会</t>
        </is>
      </c>
      <c r="DM139" s="2" t="inlineStr">
        <is>
          <t>1次</t>
        </is>
      </c>
      <c r="DN139" s="3" t="n">
        <v>1</v>
      </c>
      <c r="DO139" s="3" t="n">
        <v>1</v>
      </c>
      <c r="DP139" s="2" t="inlineStr">
        <is>
          <t>A.20分钟以内</t>
        </is>
      </c>
      <c r="DQ139" s="7" t="n">
        <v>0.33</v>
      </c>
      <c r="DR139" s="7" t="n">
        <v>0.33</v>
      </c>
      <c r="DS139" s="7" t="n">
        <v>0.33</v>
      </c>
      <c r="DT139" s="7" t="n">
        <v>0.33</v>
      </c>
      <c r="DU139" s="2" t="inlineStr">
        <is>
          <t>行政事务类</t>
        </is>
      </c>
      <c r="DV139" s="2"/>
      <c r="DW139" s="2" t="inlineStr">
        <is>
          <t>会议安排</t>
        </is>
      </c>
      <c r="DX139" s="2" t="inlineStr">
        <is>
          <t>部门计划</t>
        </is>
      </c>
      <c r="DY139" s="2" t="inlineStr">
        <is>
          <t>重要且紧急</t>
        </is>
      </c>
      <c r="DZ139" s="2" t="inlineStr">
        <is>
          <t>高度标准化-有成熟SOP，照做即可</t>
        </is>
      </c>
      <c r="EA139" s="2" t="inlineStr">
        <is>
          <t>极少（&lt;5%）</t>
        </is>
      </c>
      <c r="EB139" s="2" t="inlineStr">
        <is>
          <t>时效/强度负荷</t>
        </is>
      </c>
      <c r="EC139" s="2"/>
      <c r="ED139" s="2" t="inlineStr">
        <is>
          <t>68362bf4-96ba-40ac-aa80-c29165026d98</t>
        </is>
      </c>
      <c r="EE139" s="3" t="n">
        <v>2</v>
      </c>
      <c r="EF139" s="2"/>
      <c r="EG139" s="2" t="inlineStr">
        <is>
          <t>负责指导公司QC小组活动注册、开展、记录、总结</t>
        </is>
      </c>
      <c r="EH139" s="2" t="inlineStr">
        <is>
          <t>2次</t>
        </is>
      </c>
      <c r="EI139" s="3" t="n">
        <v>2</v>
      </c>
      <c r="EJ139" s="2" t="inlineStr">
        <is>
          <t>E.8小时以上</t>
        </is>
      </c>
      <c r="EK139" s="7" t="n">
        <v>8</v>
      </c>
      <c r="EL139" s="7" t="n">
        <v>8</v>
      </c>
      <c r="EM139" s="7" t="n">
        <v>16</v>
      </c>
      <c r="EN139" s="7" t="n">
        <v>16</v>
      </c>
      <c r="EO139" s="2" t="inlineStr">
        <is>
          <t>协调沟通类</t>
        </is>
      </c>
      <c r="EP139" s="2"/>
      <c r="EQ139" s="2" t="inlineStr">
        <is>
          <t>接口协调</t>
        </is>
      </c>
      <c r="ER139" s="2" t="inlineStr">
        <is>
          <t>岗位职责</t>
        </is>
      </c>
      <c r="ES139" s="2" t="inlineStr">
        <is>
          <t>重要不紧急</t>
        </is>
      </c>
      <c r="ET139" s="2" t="inlineStr">
        <is>
          <t>高度标准化-有成熟SOP，照做即可</t>
        </is>
      </c>
      <c r="EU139" s="2" t="inlineStr">
        <is>
          <t>极少（&lt;5%）</t>
        </is>
      </c>
      <c r="EV139" s="2" t="inlineStr">
        <is>
          <t>沟通/协调负荷</t>
        </is>
      </c>
      <c r="EW139" s="2"/>
      <c r="EX139" s="2" t="inlineStr">
        <is>
          <t>f8815886-9855-438e-b51b-bf26b53fa1fa</t>
        </is>
      </c>
      <c r="EY139" s="3" t="n">
        <v>2</v>
      </c>
      <c r="EZ139" s="2"/>
      <c r="FA139" s="2" t="inlineStr">
        <is>
          <t>上级协会征集材料的统计、申报</t>
        </is>
      </c>
      <c r="FB139" s="2" t="inlineStr">
        <is>
          <t>每年1-2次</t>
        </is>
      </c>
      <c r="FC139" s="2" t="inlineStr">
        <is>
          <t>年</t>
        </is>
      </c>
      <c r="FD139" s="3" t="n">
        <v>1</v>
      </c>
      <c r="FE139" s="3" t="n">
        <v>2</v>
      </c>
      <c r="FF139" s="2" t="inlineStr">
        <is>
          <t>E.8小时以上</t>
        </is>
      </c>
      <c r="FG139" s="7" t="n">
        <v>8</v>
      </c>
      <c r="FH139" s="7" t="n">
        <v>8</v>
      </c>
      <c r="FI139" s="7" t="n">
        <v>0</v>
      </c>
      <c r="FJ139" s="7" t="n">
        <v>0</v>
      </c>
      <c r="FK139" s="7" t="n">
        <v>0</v>
      </c>
      <c r="FL139" s="7" t="n">
        <v>0</v>
      </c>
      <c r="FM139" s="7" t="n">
        <v>8</v>
      </c>
      <c r="FN139" s="7" t="n">
        <v>16</v>
      </c>
      <c r="FO139" s="2" t="inlineStr">
        <is>
          <t>综合管理类</t>
        </is>
      </c>
      <c r="FP139" s="2"/>
      <c r="FQ139" s="2" t="inlineStr">
        <is>
          <t>综合性汇报组织</t>
        </is>
      </c>
      <c r="FR139" s="2" t="inlineStr">
        <is>
          <t>上级指令</t>
        </is>
      </c>
      <c r="FS139" s="2" t="inlineStr">
        <is>
          <t>重要且紧急</t>
        </is>
      </c>
      <c r="FT139" s="2" t="inlineStr">
        <is>
          <t>半标准化-有流程框架，需专业经验</t>
        </is>
      </c>
      <c r="FU139" s="2" t="inlineStr">
        <is>
          <t>极少（&lt;5%）</t>
        </is>
      </c>
      <c r="FV139" s="2" t="inlineStr">
        <is>
          <t>责任/风险负荷</t>
        </is>
      </c>
      <c r="FW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t="inlineStr">
        <is>
          <t>2181c79a-a054-41c0-88af-5a2bdefbabd6</t>
        </is>
      </c>
      <c r="DJ140" s="3" t="n">
        <v>3</v>
      </c>
      <c r="DK140" s="2"/>
      <c r="DL140" s="2" t="inlineStr">
        <is>
          <t>负责撰写部门总结和计划、会议纪要，邮件发送</t>
        </is>
      </c>
      <c r="DM140" s="2" t="inlineStr">
        <is>
          <t>1次</t>
        </is>
      </c>
      <c r="DN140" s="3" t="n">
        <v>1</v>
      </c>
      <c r="DO140" s="3" t="n">
        <v>1</v>
      </c>
      <c r="DP140" s="2" t="inlineStr">
        <is>
          <t>B.2小时以内</t>
        </is>
      </c>
      <c r="DQ140" s="7" t="n">
        <v>2</v>
      </c>
      <c r="DR140" s="7" t="n">
        <v>2</v>
      </c>
      <c r="DS140" s="7" t="n">
        <v>2</v>
      </c>
      <c r="DT140" s="7" t="n">
        <v>2</v>
      </c>
      <c r="DU140" s="2" t="inlineStr">
        <is>
          <t>行政事务类</t>
        </is>
      </c>
      <c r="DV140" s="2"/>
      <c r="DW140" s="2" t="inlineStr">
        <is>
          <t>通知起草</t>
        </is>
      </c>
      <c r="DX140" s="2" t="inlineStr">
        <is>
          <t>部门计划</t>
        </is>
      </c>
      <c r="DY140" s="2" t="inlineStr">
        <is>
          <t>重要且紧急</t>
        </is>
      </c>
      <c r="DZ140" s="2" t="inlineStr">
        <is>
          <t>非标准化-无先例参考，需创新协调</t>
        </is>
      </c>
      <c r="EA140" s="2" t="inlineStr">
        <is>
          <t>极少（&lt;5%）</t>
        </is>
      </c>
      <c r="EB140" s="2" t="inlineStr">
        <is>
          <t>责任/风险负荷</t>
        </is>
      </c>
      <c r="EC140" s="2"/>
      <c r="ED140" s="2" t="inlineStr">
        <is>
          <t>48599700-ff4f-4677-b73c-64d547830a47</t>
        </is>
      </c>
      <c r="EE140" s="3" t="n">
        <v>3</v>
      </c>
      <c r="EF140" s="2"/>
      <c r="EG140" s="2" t="inlineStr">
        <is>
          <t>负责公司管理体系文件的修订、管理、装订、上传系统工作</t>
        </is>
      </c>
      <c r="EH140" s="2" t="inlineStr">
        <is>
          <t>1次</t>
        </is>
      </c>
      <c r="EI140" s="3" t="n">
        <v>1</v>
      </c>
      <c r="EJ140" s="2" t="inlineStr">
        <is>
          <t>E.8小时以上</t>
        </is>
      </c>
      <c r="EK140" s="7" t="n">
        <v>8</v>
      </c>
      <c r="EL140" s="7" t="n">
        <v>8</v>
      </c>
      <c r="EM140" s="7" t="n">
        <v>8</v>
      </c>
      <c r="EN140" s="7" t="n">
        <v>8</v>
      </c>
      <c r="EO140" s="2" t="inlineStr">
        <is>
          <t>其他</t>
        </is>
      </c>
      <c r="EP140" s="2" t="inlineStr">
        <is>
          <t>健全公司体系管理</t>
        </is>
      </c>
      <c r="EQ140" s="2"/>
      <c r="ER140" s="2" t="inlineStr">
        <is>
          <t>岗位职责</t>
        </is>
      </c>
      <c r="ES140" s="2" t="inlineStr">
        <is>
          <t>重要且紧急</t>
        </is>
      </c>
      <c r="ET140" s="2" t="inlineStr">
        <is>
          <t>高度标准化-有成熟SOP，照做即可</t>
        </is>
      </c>
      <c r="EU140" s="2" t="inlineStr">
        <is>
          <t>极少（&lt;5%）</t>
        </is>
      </c>
      <c r="EV140" s="2" t="inlineStr">
        <is>
          <t>时效/强度负荷</t>
        </is>
      </c>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t="inlineStr">
        <is>
          <t>caf766a3-f0ce-4206-a9d6-4ba7befdc56b</t>
        </is>
      </c>
      <c r="DJ141" s="3" t="n">
        <v>4</v>
      </c>
      <c r="DK141" s="2"/>
      <c r="DL141" s="2" t="inlineStr">
        <is>
          <t>负责收集、统计二级单位技术质量管理考核数据和资料</t>
        </is>
      </c>
      <c r="DM141" s="2" t="inlineStr">
        <is>
          <t>1次</t>
        </is>
      </c>
      <c r="DN141" s="3" t="n">
        <v>1</v>
      </c>
      <c r="DO141" s="3" t="n">
        <v>1</v>
      </c>
      <c r="DP141" s="2" t="inlineStr">
        <is>
          <t>D.4-8小时</t>
        </is>
      </c>
      <c r="DQ141" s="7" t="n">
        <v>4</v>
      </c>
      <c r="DR141" s="7" t="n">
        <v>8</v>
      </c>
      <c r="DS141" s="7" t="n">
        <v>4</v>
      </c>
      <c r="DT141" s="7" t="n">
        <v>8</v>
      </c>
      <c r="DU141" s="2" t="inlineStr">
        <is>
          <t>数据报表类</t>
        </is>
      </c>
      <c r="DV141" s="2"/>
      <c r="DW141" s="2" t="inlineStr">
        <is>
          <t>月报</t>
        </is>
      </c>
      <c r="DX141" s="2" t="inlineStr">
        <is>
          <t>岗位职责</t>
        </is>
      </c>
      <c r="DY141" s="2" t="inlineStr">
        <is>
          <t>重要且紧急</t>
        </is>
      </c>
      <c r="DZ141" s="2" t="inlineStr">
        <is>
          <t>半标准化-有流程框架，需专业经验</t>
        </is>
      </c>
      <c r="EA141" s="2" t="inlineStr">
        <is>
          <t>极少（&lt;5%）</t>
        </is>
      </c>
      <c r="EB141" s="2" t="inlineStr">
        <is>
          <t>脑力/复杂度负荷</t>
        </is>
      </c>
      <c r="EC141" s="2"/>
      <c r="ED141" s="2" t="inlineStr">
        <is>
          <t>9f4591d9-9af9-4045-80d4-f7de66054eac</t>
        </is>
      </c>
      <c r="EE141" s="3" t="n">
        <v>4</v>
      </c>
      <c r="EF141" s="2"/>
      <c r="EG141" s="2" t="inlineStr">
        <is>
          <t>负责公司特种设备作业人员台账维护（取证、复审）工作</t>
        </is>
      </c>
      <c r="EH141" s="2" t="inlineStr">
        <is>
          <t>3次及以上</t>
        </is>
      </c>
      <c r="EI141" s="3" t="n">
        <v>3</v>
      </c>
      <c r="EJ141" s="2" t="inlineStr">
        <is>
          <t>E.8小时以上</t>
        </is>
      </c>
      <c r="EK141" s="7" t="n">
        <v>8</v>
      </c>
      <c r="EL141" s="7" t="n">
        <v>8</v>
      </c>
      <c r="EM141" s="7" t="n">
        <v>24</v>
      </c>
      <c r="EN141" s="7" t="n">
        <v>24</v>
      </c>
      <c r="EO141" s="2" t="inlineStr">
        <is>
          <t>数据报表类</t>
        </is>
      </c>
      <c r="EP141" s="2"/>
      <c r="EQ141" s="2" t="inlineStr">
        <is>
          <t>专项统计</t>
        </is>
      </c>
      <c r="ER141" s="2" t="inlineStr">
        <is>
          <t>岗位职责</t>
        </is>
      </c>
      <c r="ES141" s="2" t="inlineStr">
        <is>
          <t>重要且紧急</t>
        </is>
      </c>
      <c r="ET141" s="2" t="inlineStr">
        <is>
          <t>高度标准化-有成熟SOP，照做即可</t>
        </is>
      </c>
      <c r="EU141" s="2" t="inlineStr">
        <is>
          <t>极少（&lt;5%）</t>
        </is>
      </c>
      <c r="EV141" s="2" t="inlineStr">
        <is>
          <t>时效/强度负荷</t>
        </is>
      </c>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t="inlineStr">
        <is>
          <t>eb27908e-ec1d-4bbd-8199-070faf331a6a</t>
        </is>
      </c>
      <c r="DJ142" s="3" t="n">
        <v>5</v>
      </c>
      <c r="DK142" s="2"/>
      <c r="DL142" s="2" t="inlineStr">
        <is>
          <t>负责技术质量内部培训资料整理、评价</t>
        </is>
      </c>
      <c r="DM142" s="2" t="inlineStr">
        <is>
          <t>1次</t>
        </is>
      </c>
      <c r="DN142" s="3" t="n">
        <v>1</v>
      </c>
      <c r="DO142" s="3" t="n">
        <v>1</v>
      </c>
      <c r="DP142" s="2" t="inlineStr">
        <is>
          <t>C.2-4小时</t>
        </is>
      </c>
      <c r="DQ142" s="7" t="n">
        <v>2</v>
      </c>
      <c r="DR142" s="7" t="n">
        <v>4</v>
      </c>
      <c r="DS142" s="7" t="n">
        <v>2</v>
      </c>
      <c r="DT142" s="7" t="n">
        <v>4</v>
      </c>
      <c r="DU142" s="2" t="inlineStr">
        <is>
          <t>监督检查类</t>
        </is>
      </c>
      <c r="DV142" s="2"/>
      <c r="DW142" s="2" t="inlineStr">
        <is>
          <t>合规监督</t>
        </is>
      </c>
      <c r="DX142" s="2" t="inlineStr">
        <is>
          <t>部门计划</t>
        </is>
      </c>
      <c r="DY142" s="2" t="inlineStr">
        <is>
          <t>重要不紧急</t>
        </is>
      </c>
      <c r="DZ142" s="2" t="inlineStr">
        <is>
          <t>高度标准化-有成熟SOP，照做即可</t>
        </is>
      </c>
      <c r="EA142" s="2" t="inlineStr">
        <is>
          <t>极少（&lt;5%）</t>
        </is>
      </c>
      <c r="EB142" s="2" t="inlineStr">
        <is>
          <t>责任/风险负荷</t>
        </is>
      </c>
      <c r="EC142" s="2"/>
      <c r="ED142" s="2" t="inlineStr">
        <is>
          <t>8302a1fa-332a-4578-a2a6-db6f03e78164</t>
        </is>
      </c>
      <c r="EE142" s="3" t="n">
        <v>5</v>
      </c>
      <c r="EF142" s="2"/>
      <c r="EG142" s="2" t="inlineStr">
        <is>
          <t>负责参与质量管理体系内审工作</t>
        </is>
      </c>
      <c r="EH142" s="2" t="inlineStr">
        <is>
          <t>3次及以上</t>
        </is>
      </c>
      <c r="EI142" s="3" t="n">
        <v>3</v>
      </c>
      <c r="EJ142" s="2" t="inlineStr">
        <is>
          <t>E.8小时以上</t>
        </is>
      </c>
      <c r="EK142" s="7" t="n">
        <v>8</v>
      </c>
      <c r="EL142" s="7" t="n">
        <v>8</v>
      </c>
      <c r="EM142" s="7" t="n">
        <v>24</v>
      </c>
      <c r="EN142" s="7" t="n">
        <v>24</v>
      </c>
      <c r="EO142" s="2" t="inlineStr">
        <is>
          <t>监督检查类</t>
        </is>
      </c>
      <c r="EP142" s="2"/>
      <c r="EQ142" s="2" t="inlineStr">
        <is>
          <t>合规监督</t>
        </is>
      </c>
      <c r="ER142" s="2" t="inlineStr">
        <is>
          <t>岗位职责</t>
        </is>
      </c>
      <c r="ES142" s="2" t="inlineStr">
        <is>
          <t>重要且紧急</t>
        </is>
      </c>
      <c r="ET142" s="2" t="inlineStr">
        <is>
          <t>高度标准化-有成熟SOP，照做即可</t>
        </is>
      </c>
      <c r="EU142" s="2" t="inlineStr">
        <is>
          <t>极少（&lt;5%）</t>
        </is>
      </c>
      <c r="EV142" s="2" t="inlineStr">
        <is>
          <t>责任/风险负荷</t>
        </is>
      </c>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t="inlineStr">
        <is>
          <t>862d507b-57d1-4b86-b1c8-648e3a8e16f3</t>
        </is>
      </c>
      <c r="DJ143" s="3" t="n">
        <v>6</v>
      </c>
      <c r="DK143" s="2"/>
      <c r="DL143" s="2" t="inlineStr">
        <is>
          <t>负责沟通、反馈分公司、项目部技术质量管理数据统计中的问题</t>
        </is>
      </c>
      <c r="DM143" s="2" t="inlineStr">
        <is>
          <t>4-8次</t>
        </is>
      </c>
      <c r="DN143" s="3" t="n">
        <v>4</v>
      </c>
      <c r="DO143" s="3" t="n">
        <v>8</v>
      </c>
      <c r="DP143" s="2" t="inlineStr">
        <is>
          <t>A.20分钟以内</t>
        </is>
      </c>
      <c r="DQ143" s="7" t="n">
        <v>0.33</v>
      </c>
      <c r="DR143" s="7" t="n">
        <v>0.33</v>
      </c>
      <c r="DS143" s="7" t="n">
        <v>1.32</v>
      </c>
      <c r="DT143" s="7" t="n">
        <v>2.64</v>
      </c>
      <c r="DU143" s="2" t="inlineStr">
        <is>
          <t>监督检查类</t>
        </is>
      </c>
      <c r="DV143" s="2"/>
      <c r="DW143" s="2" t="inlineStr">
        <is>
          <t>整改闭环</t>
        </is>
      </c>
      <c r="DX143" s="2" t="inlineStr">
        <is>
          <t>部门计划</t>
        </is>
      </c>
      <c r="DY143" s="2" t="inlineStr">
        <is>
          <t>重要且紧急</t>
        </is>
      </c>
      <c r="DZ143" s="2" t="inlineStr">
        <is>
          <t>高度标准化-有成熟SOP，照做即可</t>
        </is>
      </c>
      <c r="EA143" s="2" t="inlineStr">
        <is>
          <t>极少（&lt;5%）</t>
        </is>
      </c>
      <c r="EB143" s="2" t="inlineStr">
        <is>
          <t>沟通/协调负荷</t>
        </is>
      </c>
      <c r="EC143" s="2"/>
      <c r="ED143" s="2" t="inlineStr">
        <is>
          <t>a148c4f1-ef37-41b0-a401-f91953920c9f</t>
        </is>
      </c>
      <c r="EE143" s="3" t="n">
        <v>6</v>
      </c>
      <c r="EF143" s="2"/>
      <c r="EG143" s="2" t="inlineStr">
        <is>
          <t>负责质量管理体系外审陪审工作</t>
        </is>
      </c>
      <c r="EH143" s="2" t="inlineStr">
        <is>
          <t>1次</t>
        </is>
      </c>
      <c r="EI143" s="3" t="n">
        <v>1</v>
      </c>
      <c r="EJ143" s="2" t="inlineStr">
        <is>
          <t>C.2-4小时</t>
        </is>
      </c>
      <c r="EK143" s="7" t="n">
        <v>2</v>
      </c>
      <c r="EL143" s="7" t="n">
        <v>4</v>
      </c>
      <c r="EM143" s="7" t="n">
        <v>2</v>
      </c>
      <c r="EN143" s="7" t="n">
        <v>4</v>
      </c>
      <c r="EO143" s="2" t="inlineStr">
        <is>
          <t>行政事务类</t>
        </is>
      </c>
      <c r="EP143" s="2"/>
      <c r="EQ143" s="2" t="inlineStr">
        <is>
          <t>接待保障</t>
        </is>
      </c>
      <c r="ER143" s="2" t="inlineStr">
        <is>
          <t>上级指令</t>
        </is>
      </c>
      <c r="ES143" s="2" t="inlineStr">
        <is>
          <t>重要且紧急</t>
        </is>
      </c>
      <c r="ET143" s="2" t="inlineStr">
        <is>
          <t>高度标准化-有成熟SOP，照做即可</t>
        </is>
      </c>
      <c r="EU143" s="2" t="inlineStr">
        <is>
          <t>极少（&lt;5%）</t>
        </is>
      </c>
      <c r="EV143" s="2" t="inlineStr">
        <is>
          <t>责任/风险负荷</t>
        </is>
      </c>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t="inlineStr">
        <is>
          <t>0d7dc9d9-023d-4ea9-bcd3-0bf3b387539c</t>
        </is>
      </c>
      <c r="EE144" s="3" t="n">
        <v>7</v>
      </c>
      <c r="EF144" s="2"/>
      <c r="EG144" s="2" t="inlineStr">
        <is>
          <t>负责质量回访和顾客满意度数据统计分析</t>
        </is>
      </c>
      <c r="EH144" s="2" t="inlineStr">
        <is>
          <t>1次</t>
        </is>
      </c>
      <c r="EI144" s="3" t="n">
        <v>1</v>
      </c>
      <c r="EJ144" s="2" t="inlineStr">
        <is>
          <t>D.4-8小时</t>
        </is>
      </c>
      <c r="EK144" s="7" t="n">
        <v>4</v>
      </c>
      <c r="EL144" s="7" t="n">
        <v>8</v>
      </c>
      <c r="EM144" s="7" t="n">
        <v>4</v>
      </c>
      <c r="EN144" s="7" t="n">
        <v>8</v>
      </c>
      <c r="EO144" s="2" t="inlineStr">
        <is>
          <t>数据报表类</t>
        </is>
      </c>
      <c r="EP144" s="2"/>
      <c r="EQ144" s="2" t="inlineStr">
        <is>
          <t>专项统计</t>
        </is>
      </c>
      <c r="ER144" s="2" t="inlineStr">
        <is>
          <t>部门计划</t>
        </is>
      </c>
      <c r="ES144" s="2" t="inlineStr">
        <is>
          <t>重要不紧急</t>
        </is>
      </c>
      <c r="ET144" s="2" t="inlineStr">
        <is>
          <t>高度标准化-有成熟SOP，照做即可</t>
        </is>
      </c>
      <c r="EU144" s="2" t="inlineStr">
        <is>
          <t>极少（&lt;5%）</t>
        </is>
      </c>
      <c r="EV144" s="2" t="inlineStr">
        <is>
          <t>责任/风险负荷</t>
        </is>
      </c>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row>
    <row r="145">
      <c r="A145" s="2" t="inlineStr">
        <is>
          <t>2026-05-18 16:20:54</t>
        </is>
      </c>
      <c r="B145" s="2" t="inlineStr">
        <is>
          <t>俞桂萍</t>
        </is>
      </c>
      <c r="C145" s="2" t="inlineStr">
        <is>
          <t>技术质量部</t>
        </is>
      </c>
      <c r="D145" s="2" t="inlineStr">
        <is>
          <t>女</t>
        </is>
      </c>
      <c r="E145" s="2" t="inlineStr">
        <is>
          <t>420114197908145423</t>
        </is>
      </c>
      <c r="F145" s="2" t="inlineStr">
        <is>
          <t>辅助工种中级工</t>
        </is>
      </c>
      <c r="G145" s="2" t="inlineStr">
        <is>
          <t>1998-03</t>
        </is>
      </c>
      <c r="H145" s="2"/>
      <c r="I145" s="2" t="inlineStr">
        <is>
          <t>其他</t>
        </is>
      </c>
      <c r="J145" s="2" t="inlineStr">
        <is>
          <t>中专</t>
        </is>
      </c>
      <c r="K145" s="2"/>
      <c r="L145" s="6">
        <f>HYPERLINK("https://www.h3yun.com/Form/Attachments/?schemacode=D1483577de63ede327d4760b10664bd57671d7e&amp;bizObjectId=e20f0a80-9ecf-4754-9c47-009fe0c55537&amp;name=F0000046","点击查看")</f>
        <v>0</v>
      </c>
      <c r="M145" s="2" t="inlineStr">
        <is>
          <t>无</t>
        </is>
      </c>
      <c r="N145" s="2" t="inlineStr">
        <is>
          <t>每日工作;每周工作;每月工作</t>
        </is>
      </c>
      <c r="O145" s="2" t="inlineStr">
        <is>
          <t>46岁及以上</t>
        </is>
      </c>
      <c r="P145" s="2" t="inlineStr">
        <is>
          <t>C.已婚已育</t>
        </is>
      </c>
      <c r="Q145" s="2" t="inlineStr">
        <is>
          <t>A.否</t>
        </is>
      </c>
      <c r="R145" s="2" t="inlineStr">
        <is>
          <t>A.否</t>
        </is>
      </c>
      <c r="S145" s="2" t="inlineStr">
        <is>
          <t>A.保持当前工作内容和节奏，收入相对稳定即可</t>
        </is>
      </c>
      <c r="T145" s="2" t="inlineStr">
        <is>
          <t>A.基本满意，希望保持</t>
        </is>
      </c>
      <c r="U145" s="2" t="inlineStr">
        <is>
          <t>A.减少重复性事务</t>
        </is>
      </c>
      <c r="V145" s="2" t="inlineStr">
        <is>
          <t>A.没有</t>
        </is>
      </c>
      <c r="W145" s="2"/>
      <c r="X145" s="2" t="inlineStr">
        <is>
          <t>C.均衡 (80%-100%)</t>
        </is>
      </c>
      <c r="Y145" s="2" t="inlineStr">
        <is>
          <t>E.临时差旅、突发事件、会议加班</t>
        </is>
      </c>
      <c r="Z145" s="2" t="inlineStr">
        <is>
          <t>无</t>
        </is>
      </c>
      <c r="AA145" s="2" t="inlineStr">
        <is>
          <t>无</t>
        </is>
      </c>
      <c r="AB145" s="2" t="inlineStr">
        <is>
          <t>无</t>
        </is>
      </c>
      <c r="AC145" s="2" t="inlineStr">
        <is>
          <t>B.基本匹配（正常履行）</t>
        </is>
      </c>
      <c r="AD145" s="2" t="inlineStr">
        <is>
          <t>无</t>
        </is>
      </c>
      <c r="AE145" s="2"/>
      <c r="AF145" s="2"/>
      <c r="AG145" s="2" t="inlineStr">
        <is>
          <t>C.配偶为公司家属，常驻项目，但暂无照顾家庭的任务</t>
        </is>
      </c>
      <c r="AH145" s="2"/>
      <c r="AI145" s="7" t="n">
        <v>14</v>
      </c>
      <c r="AJ145" s="7" t="n">
        <v>32</v>
      </c>
      <c r="AK145" s="7" t="n">
        <v>2.4</v>
      </c>
      <c r="AL145" s="7" t="n">
        <v>3.6</v>
      </c>
      <c r="AM145" s="7" t="n">
        <v>0.55</v>
      </c>
      <c r="AN145" s="7" t="n">
        <v>0.82</v>
      </c>
      <c r="AO145" s="7" t="n">
        <v>0</v>
      </c>
      <c r="AP145" s="7" t="n">
        <v>0</v>
      </c>
      <c r="AQ145" s="7" t="n">
        <v>0</v>
      </c>
      <c r="AR145" s="7" t="n">
        <v>0</v>
      </c>
      <c r="AS145" s="7" t="n">
        <v>16.95</v>
      </c>
      <c r="AT145" s="7" t="n">
        <v>36.42</v>
      </c>
      <c r="AU145" s="7" t="n">
        <v>26.68</v>
      </c>
      <c r="AV145" s="2" t="inlineStr">
        <is>
          <t>超负荷</t>
        </is>
      </c>
      <c r="AW145" s="2" t="inlineStr">
        <is>
          <t>不一致</t>
        </is>
      </c>
      <c r="AX145" s="2" t="inlineStr">
        <is>
          <t>e20f0a80-9ecf-4754-9c47-009fe0c55537</t>
        </is>
      </c>
      <c r="AY145" s="2" t="inlineStr">
        <is>
          <t>技术质量部    俞桂萍</t>
        </is>
      </c>
      <c r="AZ145" s="2" t="inlineStr">
        <is>
          <t>Anonymous</t>
        </is>
      </c>
      <c r="BA145" s="2" t="inlineStr">
        <is>
          <t>Anonymous</t>
        </is>
      </c>
      <c r="BB145" s="2"/>
      <c r="BC145" s="2" t="inlineStr">
        <is>
          <t>2026-05-21 08:43:22</t>
        </is>
      </c>
      <c r="BD145" s="3" t="n">
        <v>1979</v>
      </c>
      <c r="BE145" s="3" t="n">
        <v>47</v>
      </c>
      <c r="BF145" s="2" t="inlineStr">
        <is>
          <t>A.无此需求</t>
        </is>
      </c>
      <c r="BG145" s="2" t="inlineStr">
        <is>
          <t>已生效</t>
        </is>
      </c>
      <c r="BH145" s="2" t="inlineStr">
        <is>
          <t>182ae3fa-1a36-4372-a042-a889a3bd0b38</t>
        </is>
      </c>
      <c r="BI145" s="3" t="n">
        <v>1</v>
      </c>
      <c r="BJ145" s="2"/>
      <c r="BK145" s="2"/>
      <c r="BL145" s="2"/>
      <c r="BM145" s="2"/>
      <c r="BN145" s="2"/>
      <c r="BO145" s="2"/>
      <c r="BP145" s="2"/>
      <c r="BQ145" s="2"/>
      <c r="BR145" s="2"/>
      <c r="BS145" s="2" t="inlineStr">
        <is>
          <t>fb6ef3f7-04bd-4a1e-90ed-c965d346ba7f</t>
        </is>
      </c>
      <c r="BT145" s="3" t="n">
        <v>1</v>
      </c>
      <c r="BU145" s="2" t="inlineStr">
        <is>
          <t>数据报表类</t>
        </is>
      </c>
      <c r="BV145" s="2" t="inlineStr">
        <is>
          <t>登录公司官网标准规范库，核查标准新增、增绑、更新、作废信息，及时记录移动内容</t>
        </is>
      </c>
      <c r="BW145" s="2" t="inlineStr">
        <is>
          <t>2-5次</t>
        </is>
      </c>
      <c r="BX145" s="3" t="n">
        <v>2</v>
      </c>
      <c r="BY145" s="3" t="n">
        <v>5</v>
      </c>
      <c r="BZ145" s="2" t="inlineStr">
        <is>
          <t>B.2小时以内</t>
        </is>
      </c>
      <c r="CA145" s="7" t="n">
        <v>2</v>
      </c>
      <c r="CB145" s="7" t="n">
        <v>2</v>
      </c>
      <c r="CC145" s="7" t="n">
        <v>4</v>
      </c>
      <c r="CD145" s="7" t="n">
        <v>10</v>
      </c>
      <c r="CE145" s="2" t="inlineStr">
        <is>
          <t>数据报表类</t>
        </is>
      </c>
      <c r="CF145" s="2"/>
      <c r="CG145" s="2" t="inlineStr">
        <is>
          <t>专项统计</t>
        </is>
      </c>
      <c r="CH145" s="2" t="inlineStr">
        <is>
          <t>岗位职责</t>
        </is>
      </c>
      <c r="CI145" s="2" t="inlineStr">
        <is>
          <t>重要不紧急</t>
        </is>
      </c>
      <c r="CJ145" s="2" t="inlineStr">
        <is>
          <t>高度标准化-有成熟SOP，照做即可</t>
        </is>
      </c>
      <c r="CK145" s="2" t="inlineStr">
        <is>
          <t>极少（&lt;5%）</t>
        </is>
      </c>
      <c r="CL145" s="2" t="inlineStr">
        <is>
          <t>时效/强度负荷</t>
        </is>
      </c>
      <c r="CM145" s="2"/>
      <c r="CN145" s="2" t="inlineStr">
        <is>
          <t>0c9ab51b-99a7-45a9-9c3a-e65e1b9e035a</t>
        </is>
      </c>
      <c r="CO145" s="3" t="n">
        <v>1</v>
      </c>
      <c r="CP145" s="2"/>
      <c r="CQ145" s="2" t="inlineStr">
        <is>
          <t>负责与上级有关标准管理部门保持联系，及时了解有关标准发行、修订的情况，并组织订购工作</t>
        </is>
      </c>
      <c r="CR145" s="2" t="inlineStr">
        <is>
          <t>2-3次</t>
        </is>
      </c>
      <c r="CS145" s="3" t="n">
        <v>2</v>
      </c>
      <c r="CT145" s="3" t="n">
        <v>3</v>
      </c>
      <c r="CU145" s="2" t="inlineStr">
        <is>
          <t>B.2小时以内</t>
        </is>
      </c>
      <c r="CV145" s="7" t="n">
        <v>2</v>
      </c>
      <c r="CW145" s="7" t="n">
        <v>2</v>
      </c>
      <c r="CX145" s="7" t="n">
        <v>4</v>
      </c>
      <c r="CY145" s="7" t="n">
        <v>6</v>
      </c>
      <c r="CZ145" s="2" t="inlineStr">
        <is>
          <t>协调沟通类</t>
        </is>
      </c>
      <c r="DA145" s="2"/>
      <c r="DB145" s="2" t="inlineStr">
        <is>
          <t>外部联络</t>
        </is>
      </c>
      <c r="DC145" s="2" t="inlineStr">
        <is>
          <t>岗位职责</t>
        </is>
      </c>
      <c r="DD145" s="2" t="inlineStr">
        <is>
          <t>重要不紧急</t>
        </is>
      </c>
      <c r="DE145" s="2" t="inlineStr">
        <is>
          <t>高度标准化-有成熟SOP，照做即可</t>
        </is>
      </c>
      <c r="DF145" s="2" t="inlineStr">
        <is>
          <t>极少（&lt;5%）</t>
        </is>
      </c>
      <c r="DG145" s="2" t="inlineStr">
        <is>
          <t>沟通/协调负荷</t>
        </is>
      </c>
      <c r="DH145" s="2"/>
      <c r="DI145" s="2" t="inlineStr">
        <is>
          <t>a305c1f0-f3e2-4aaf-94c9-7b2e448bbc5c</t>
        </is>
      </c>
      <c r="DJ145" s="3" t="n">
        <v>1</v>
      </c>
      <c r="DK145" s="2"/>
      <c r="DL145" s="2" t="inlineStr">
        <is>
          <t>统计汇总受控标准、规范、法律法规，全面核对台账、做好工作总结报备</t>
        </is>
      </c>
      <c r="DM145" s="2" t="inlineStr">
        <is>
          <t>2-3次</t>
        </is>
      </c>
      <c r="DN145" s="3" t="n">
        <v>2</v>
      </c>
      <c r="DO145" s="3" t="n">
        <v>3</v>
      </c>
      <c r="DP145" s="2" t="inlineStr">
        <is>
          <t>B.2小时以内</t>
        </is>
      </c>
      <c r="DQ145" s="7" t="n">
        <v>2</v>
      </c>
      <c r="DR145" s="7" t="n">
        <v>2</v>
      </c>
      <c r="DS145" s="7" t="n">
        <v>4</v>
      </c>
      <c r="DT145" s="7" t="n">
        <v>6</v>
      </c>
      <c r="DU145" s="2" t="inlineStr">
        <is>
          <t>数据报表类</t>
        </is>
      </c>
      <c r="DV145" s="2"/>
      <c r="DW145" s="2" t="inlineStr">
        <is>
          <t>月报</t>
        </is>
      </c>
      <c r="DX145" s="2" t="inlineStr">
        <is>
          <t>岗位职责</t>
        </is>
      </c>
      <c r="DY145" s="2" t="inlineStr">
        <is>
          <t>重要不紧急</t>
        </is>
      </c>
      <c r="DZ145" s="2" t="inlineStr">
        <is>
          <t>高度标准化-有成熟SOP，照做即可</t>
        </is>
      </c>
      <c r="EA145" s="2" t="inlineStr">
        <is>
          <t>极少（&lt;5%）</t>
        </is>
      </c>
      <c r="EB145" s="2" t="inlineStr">
        <is>
          <t>时效/强度负荷</t>
        </is>
      </c>
      <c r="EC145" s="2"/>
      <c r="ED145" s="2" t="inlineStr">
        <is>
          <t>01edb675-a037-4845-aa61-28f7c4e81df3</t>
        </is>
      </c>
      <c r="EE145" s="3" t="n">
        <v>1</v>
      </c>
      <c r="EF145" s="2"/>
      <c r="EG145" s="2"/>
      <c r="EH145" s="2"/>
      <c r="EI145" s="3"/>
      <c r="EJ145" s="2"/>
      <c r="EK145" s="3"/>
      <c r="EL145" s="3"/>
      <c r="EM145" s="3"/>
      <c r="EN145" s="3"/>
      <c r="EO145" s="2"/>
      <c r="EP145" s="2"/>
      <c r="EQ145" s="2"/>
      <c r="ER145" s="2"/>
      <c r="ES145" s="2"/>
      <c r="ET145" s="2"/>
      <c r="EU145" s="2"/>
      <c r="EV145" s="2"/>
      <c r="EW145" s="2"/>
      <c r="EX145" s="2" t="inlineStr">
        <is>
          <t>ff40c41c-8a2c-46c4-b542-c2fef827a63b</t>
        </is>
      </c>
      <c r="EY145" s="3" t="n">
        <v>1</v>
      </c>
      <c r="EZ145" s="2"/>
      <c r="FA145" s="2"/>
      <c r="FB145" s="2"/>
      <c r="FC145" s="2"/>
      <c r="FD145" s="3"/>
      <c r="FE145" s="3"/>
      <c r="FF145" s="2"/>
      <c r="FG145" s="3"/>
      <c r="FH145" s="3"/>
      <c r="FI145" s="7" t="n">
        <v>0</v>
      </c>
      <c r="FJ145" s="7" t="n">
        <v>0</v>
      </c>
      <c r="FK145" s="7" t="n">
        <v>0</v>
      </c>
      <c r="FL145" s="7" t="n">
        <v>0</v>
      </c>
      <c r="FM145" s="7" t="n">
        <v>0</v>
      </c>
      <c r="FN145" s="7" t="n">
        <v>0</v>
      </c>
      <c r="FO145" s="2"/>
      <c r="FP145" s="2"/>
      <c r="FQ145" s="2"/>
      <c r="FR145" s="2"/>
      <c r="FS145" s="2"/>
      <c r="FT145" s="2"/>
      <c r="FU145" s="2"/>
      <c r="FV145" s="2"/>
      <c r="FW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t="inlineStr">
        <is>
          <t>a0f80637-16cb-4e65-b360-1e0e4c81e76f</t>
        </is>
      </c>
      <c r="BT146" s="3" t="n">
        <v>2</v>
      </c>
      <c r="BU146" s="2" t="inlineStr">
        <is>
          <t>综合管理类</t>
        </is>
      </c>
      <c r="BV146" s="2" t="inlineStr">
        <is>
          <t>办理标准图书资料日常借阅、发放、归还登记</t>
        </is>
      </c>
      <c r="BW146" s="2" t="inlineStr">
        <is>
          <t>2-5次</t>
        </is>
      </c>
      <c r="BX146" s="3" t="n">
        <v>2</v>
      </c>
      <c r="BY146" s="3" t="n">
        <v>5</v>
      </c>
      <c r="BZ146" s="2" t="inlineStr">
        <is>
          <t>B.2小时以内</t>
        </is>
      </c>
      <c r="CA146" s="7" t="n">
        <v>2</v>
      </c>
      <c r="CB146" s="7" t="n">
        <v>2</v>
      </c>
      <c r="CC146" s="7" t="n">
        <v>4</v>
      </c>
      <c r="CD146" s="7" t="n">
        <v>10</v>
      </c>
      <c r="CE146" s="2" t="inlineStr">
        <is>
          <t>综合管理类</t>
        </is>
      </c>
      <c r="CF146" s="2"/>
      <c r="CG146" s="2" t="inlineStr">
        <is>
          <t>专题工作推进</t>
        </is>
      </c>
      <c r="CH146" s="2" t="inlineStr">
        <is>
          <t>岗位职责</t>
        </is>
      </c>
      <c r="CI146" s="2" t="inlineStr">
        <is>
          <t>重要不紧急</t>
        </is>
      </c>
      <c r="CJ146" s="2" t="inlineStr">
        <is>
          <t>高度标准化-有成熟SOP，照做即可</t>
        </is>
      </c>
      <c r="CK146" s="2" t="inlineStr">
        <is>
          <t>极少（&lt;5%）</t>
        </is>
      </c>
      <c r="CL146" s="2" t="inlineStr">
        <is>
          <t>沟通/协调负荷</t>
        </is>
      </c>
      <c r="CM146" s="2"/>
      <c r="CN146" s="2" t="inlineStr">
        <is>
          <t>8dfdb5bf-6426-4f74-89de-79a0b3fe2e74</t>
        </is>
      </c>
      <c r="CO146" s="3" t="n">
        <v>2</v>
      </c>
      <c r="CP146" s="2"/>
      <c r="CQ146" s="2" t="inlineStr">
        <is>
          <t>完成网站标准库增补录入、资料整理归架</t>
        </is>
      </c>
      <c r="CR146" s="2" t="inlineStr">
        <is>
          <t>2-3次</t>
        </is>
      </c>
      <c r="CS146" s="3" t="n">
        <v>2</v>
      </c>
      <c r="CT146" s="3" t="n">
        <v>3</v>
      </c>
      <c r="CU146" s="2" t="inlineStr">
        <is>
          <t>B.2小时以内</t>
        </is>
      </c>
      <c r="CV146" s="7" t="n">
        <v>2</v>
      </c>
      <c r="CW146" s="7" t="n">
        <v>2</v>
      </c>
      <c r="CX146" s="7" t="n">
        <v>4</v>
      </c>
      <c r="CY146" s="7" t="n">
        <v>6</v>
      </c>
      <c r="CZ146" s="2" t="inlineStr">
        <is>
          <t>数据报表类</t>
        </is>
      </c>
      <c r="DA146" s="2"/>
      <c r="DB146" s="2" t="inlineStr">
        <is>
          <t>专项统计</t>
        </is>
      </c>
      <c r="DC146" s="2" t="inlineStr">
        <is>
          <t>岗位职责</t>
        </is>
      </c>
      <c r="DD146" s="2" t="inlineStr">
        <is>
          <t>重要不紧急</t>
        </is>
      </c>
      <c r="DE146" s="2" t="inlineStr">
        <is>
          <t>高度标准化-有成熟SOP，照做即可</t>
        </is>
      </c>
      <c r="DF146" s="2" t="inlineStr">
        <is>
          <t>极少（&lt;5%）</t>
        </is>
      </c>
      <c r="DG146" s="2" t="inlineStr">
        <is>
          <t>时效/强度负荷</t>
        </is>
      </c>
      <c r="DH146" s="2"/>
      <c r="DI146" s="2" t="inlineStr">
        <is>
          <t>7305198e-0dd2-4fd3-9d84-2a4ddf99f525</t>
        </is>
      </c>
      <c r="DJ146" s="3" t="n">
        <v>2</v>
      </c>
      <c r="DK146" s="2"/>
      <c r="DL146" s="2" t="inlineStr">
        <is>
          <t>办理部门固定资产登记、转移、报废手续</t>
        </is>
      </c>
      <c r="DM146" s="2" t="inlineStr">
        <is>
          <t>2-3次</t>
        </is>
      </c>
      <c r="DN146" s="3" t="n">
        <v>2</v>
      </c>
      <c r="DO146" s="3" t="n">
        <v>3</v>
      </c>
      <c r="DP146" s="2" t="inlineStr">
        <is>
          <t>B.2小时以内</t>
        </is>
      </c>
      <c r="DQ146" s="7" t="n">
        <v>2</v>
      </c>
      <c r="DR146" s="7" t="n">
        <v>2</v>
      </c>
      <c r="DS146" s="7" t="n">
        <v>4</v>
      </c>
      <c r="DT146" s="7" t="n">
        <v>6</v>
      </c>
      <c r="DU146" s="2" t="inlineStr">
        <is>
          <t>其他</t>
        </is>
      </c>
      <c r="DV146" s="2"/>
      <c r="DW146" s="2"/>
      <c r="DX146" s="2" t="inlineStr">
        <is>
          <t>岗位职责</t>
        </is>
      </c>
      <c r="DY146" s="2" t="inlineStr">
        <is>
          <t>重要不紧急</t>
        </is>
      </c>
      <c r="DZ146" s="2" t="inlineStr">
        <is>
          <t>高度标准化-有成熟SOP，照做即可</t>
        </is>
      </c>
      <c r="EA146" s="2" t="inlineStr">
        <is>
          <t>极少（&lt;5%）</t>
        </is>
      </c>
      <c r="EB146" s="2" t="inlineStr">
        <is>
          <t>沟通/协调负荷</t>
        </is>
      </c>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t="inlineStr">
        <is>
          <t>ecd46e33-3c49-453a-bb67-e72b462109f0</t>
        </is>
      </c>
      <c r="BT147" s="3" t="n">
        <v>3</v>
      </c>
      <c r="BU147" s="2" t="inlineStr">
        <is>
          <t>综合管理类</t>
        </is>
      </c>
      <c r="BV147" s="2" t="inlineStr">
        <is>
          <t>负责部门办公用品的申领、差旅费的报销、文件合同及其他资料的寄送、日常行政跑腿等基础内勤事务，完成领导当日交办临时工作。</t>
        </is>
      </c>
      <c r="BW147" s="2" t="inlineStr">
        <is>
          <t>2-5次</t>
        </is>
      </c>
      <c r="BX147" s="3" t="n">
        <v>2</v>
      </c>
      <c r="BY147" s="3" t="n">
        <v>5</v>
      </c>
      <c r="BZ147" s="2" t="inlineStr">
        <is>
          <t>B.2小时以内</t>
        </is>
      </c>
      <c r="CA147" s="7" t="n">
        <v>2</v>
      </c>
      <c r="CB147" s="7" t="n">
        <v>2</v>
      </c>
      <c r="CC147" s="7" t="n">
        <v>4</v>
      </c>
      <c r="CD147" s="7" t="n">
        <v>10</v>
      </c>
      <c r="CE147" s="2" t="inlineStr">
        <is>
          <t>综合管理类</t>
        </is>
      </c>
      <c r="CF147" s="2"/>
      <c r="CG147" s="2" t="inlineStr">
        <is>
          <t>专题工作推进</t>
        </is>
      </c>
      <c r="CH147" s="2" t="inlineStr">
        <is>
          <t>岗位职责</t>
        </is>
      </c>
      <c r="CI147" s="2" t="inlineStr">
        <is>
          <t>重要不紧急</t>
        </is>
      </c>
      <c r="CJ147" s="2" t="inlineStr">
        <is>
          <t>高度标准化-有成熟SOP，照做即可</t>
        </is>
      </c>
      <c r="CK147" s="2" t="inlineStr">
        <is>
          <t>极少（&lt;5%）</t>
        </is>
      </c>
      <c r="CL147" s="2" t="inlineStr">
        <is>
          <t>沟通/协调负荷</t>
        </is>
      </c>
      <c r="CM147" s="2"/>
      <c r="CN147" s="2" t="inlineStr">
        <is>
          <t>0fd408eb-501d-4a88-ad6f-539d597ab6f0</t>
        </is>
      </c>
      <c r="CO147" s="3" t="n">
        <v>3</v>
      </c>
      <c r="CP147" s="2"/>
      <c r="CQ147" s="2" t="inlineStr">
        <is>
          <t>整理归集报销单据</t>
        </is>
      </c>
      <c r="CR147" s="2" t="inlineStr">
        <is>
          <t>2-3次</t>
        </is>
      </c>
      <c r="CS147" s="3" t="n">
        <v>2</v>
      </c>
      <c r="CT147" s="3" t="n">
        <v>3</v>
      </c>
      <c r="CU147" s="2" t="inlineStr">
        <is>
          <t>B.2小时以内</t>
        </is>
      </c>
      <c r="CV147" s="7" t="n">
        <v>2</v>
      </c>
      <c r="CW147" s="7" t="n">
        <v>2</v>
      </c>
      <c r="CX147" s="7" t="n">
        <v>4</v>
      </c>
      <c r="CY147" s="7" t="n">
        <v>6</v>
      </c>
      <c r="CZ147" s="2" t="inlineStr">
        <is>
          <t>其他</t>
        </is>
      </c>
      <c r="DA147" s="2"/>
      <c r="DB147" s="2"/>
      <c r="DC147" s="2" t="inlineStr">
        <is>
          <t>岗位职责</t>
        </is>
      </c>
      <c r="DD147" s="2" t="inlineStr">
        <is>
          <t>重要不紧急</t>
        </is>
      </c>
      <c r="DE147" s="2" t="inlineStr">
        <is>
          <t>高度标准化-有成熟SOP，照做即可</t>
        </is>
      </c>
      <c r="DF147" s="2" t="inlineStr">
        <is>
          <t>极少（&lt;5%）</t>
        </is>
      </c>
      <c r="DG147" s="2" t="inlineStr">
        <is>
          <t>沟通/协调负荷</t>
        </is>
      </c>
      <c r="DH147" s="2"/>
      <c r="DI147" s="2" t="inlineStr">
        <is>
          <t>bdb33ae1-4fec-4e15-8cc5-15350fef9c80</t>
        </is>
      </c>
      <c r="DJ147" s="3" t="n">
        <v>3</v>
      </c>
      <c r="DK147" s="2"/>
      <c r="DL147" s="2" t="inlineStr">
        <is>
          <t>统一采购标准及科技图书，完成分类编目上架</t>
        </is>
      </c>
      <c r="DM147" s="2" t="inlineStr">
        <is>
          <t>2-3次</t>
        </is>
      </c>
      <c r="DN147" s="3" t="n">
        <v>2</v>
      </c>
      <c r="DO147" s="3" t="n">
        <v>3</v>
      </c>
      <c r="DP147" s="2" t="inlineStr">
        <is>
          <t>B.2小时以内</t>
        </is>
      </c>
      <c r="DQ147" s="7" t="n">
        <v>2</v>
      </c>
      <c r="DR147" s="7" t="n">
        <v>2</v>
      </c>
      <c r="DS147" s="7" t="n">
        <v>4</v>
      </c>
      <c r="DT147" s="7" t="n">
        <v>6</v>
      </c>
      <c r="DU147" s="2" t="inlineStr">
        <is>
          <t>数据报表类</t>
        </is>
      </c>
      <c r="DV147" s="2"/>
      <c r="DW147" s="2" t="inlineStr">
        <is>
          <t>月报</t>
        </is>
      </c>
      <c r="DX147" s="2" t="inlineStr">
        <is>
          <t>岗位职责</t>
        </is>
      </c>
      <c r="DY147" s="2" t="inlineStr">
        <is>
          <t>重要不紧急</t>
        </is>
      </c>
      <c r="DZ147" s="2" t="inlineStr">
        <is>
          <t>高度标准化-有成熟SOP，照做即可</t>
        </is>
      </c>
      <c r="EA147" s="2" t="inlineStr">
        <is>
          <t>极少（&lt;5%）</t>
        </is>
      </c>
      <c r="EB147" s="2" t="inlineStr">
        <is>
          <t>沟通/协调负荷</t>
        </is>
      </c>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t="inlineStr">
        <is>
          <t>0033da75-392a-4b30-9519-236b499ae42b</t>
        </is>
      </c>
      <c r="BT148" s="3" t="n">
        <v>4</v>
      </c>
      <c r="BU148" s="2" t="inlineStr">
        <is>
          <t>其他</t>
        </is>
      </c>
      <c r="BV148" s="2" t="inlineStr">
        <is>
          <t>做好资料室日常整洁巡查。</t>
        </is>
      </c>
      <c r="BW148" s="2" t="inlineStr">
        <is>
          <t>1次</t>
        </is>
      </c>
      <c r="BX148" s="3" t="n">
        <v>1</v>
      </c>
      <c r="BY148" s="3" t="n">
        <v>1</v>
      </c>
      <c r="BZ148" s="2" t="inlineStr">
        <is>
          <t>B.2小时以内</t>
        </is>
      </c>
      <c r="CA148" s="7" t="n">
        <v>2</v>
      </c>
      <c r="CB148" s="7" t="n">
        <v>2</v>
      </c>
      <c r="CC148" s="7" t="n">
        <v>2</v>
      </c>
      <c r="CD148" s="7" t="n">
        <v>2</v>
      </c>
      <c r="CE148" s="2" t="inlineStr">
        <is>
          <t>其他</t>
        </is>
      </c>
      <c r="CF148" s="2" t="inlineStr">
        <is>
          <t>清洁打扫</t>
        </is>
      </c>
      <c r="CG148" s="2"/>
      <c r="CH148" s="2" t="inlineStr">
        <is>
          <t>岗位职责</t>
        </is>
      </c>
      <c r="CI148" s="2" t="inlineStr">
        <is>
          <t>重要不紧急</t>
        </is>
      </c>
      <c r="CJ148" s="2" t="inlineStr">
        <is>
          <t>高度标准化-有成熟SOP，照做即可</t>
        </is>
      </c>
      <c r="CK148" s="2" t="inlineStr">
        <is>
          <t>极少（&lt;5%）</t>
        </is>
      </c>
      <c r="CL148" s="2" t="inlineStr">
        <is>
          <t>责任/风险负荷</t>
        </is>
      </c>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row>
    <row r="149">
      <c r="A149" s="2" t="inlineStr">
        <is>
          <t>2026-05-18 16:10:00</t>
        </is>
      </c>
      <c r="B149" s="2" t="inlineStr">
        <is>
          <t>熊宇彤</t>
        </is>
      </c>
      <c r="C149" s="2" t="inlineStr">
        <is>
          <t>HSE部</t>
        </is>
      </c>
      <c r="D149" s="2" t="inlineStr">
        <is>
          <t>男</t>
        </is>
      </c>
      <c r="E149" s="2" t="inlineStr">
        <is>
          <t>340826200111274410</t>
        </is>
      </c>
      <c r="F149" s="2" t="inlineStr">
        <is>
          <t>技术助理(三)</t>
        </is>
      </c>
      <c r="G149" s="2" t="inlineStr">
        <is>
          <t>2024-08</t>
        </is>
      </c>
      <c r="H149" s="2" t="inlineStr">
        <is>
          <t>安徽文达信息工程学院</t>
        </is>
      </c>
      <c r="I149" s="2" t="inlineStr">
        <is>
          <t>其他</t>
        </is>
      </c>
      <c r="J149" s="2" t="inlineStr">
        <is>
          <t>本科</t>
        </is>
      </c>
      <c r="K149" s="2"/>
      <c r="L149" s="6">
        <f>HYPERLINK("https://www.h3yun.com/Form/Attachments/?schemacode=D1483577de63ede327d4760b10664bd57671d7e&amp;bizObjectId=2946ab3c-04aa-46ac-b9aa-e2be8229f82e&amp;name=F0000046","点击查看")</f>
        <v>0</v>
      </c>
      <c r="M149" s="2" t="inlineStr">
        <is>
          <t>无</t>
        </is>
      </c>
      <c r="N149" s="2" t="inlineStr">
        <is>
          <t>每日工作;每周工作;每月工作</t>
        </is>
      </c>
      <c r="O149" s="2" t="inlineStr">
        <is>
          <t>25岁及以下</t>
        </is>
      </c>
      <c r="P149" s="2" t="inlineStr">
        <is>
          <t>A.未婚</t>
        </is>
      </c>
      <c r="Q149" s="2" t="inlineStr">
        <is>
          <t>A.否</t>
        </is>
      </c>
      <c r="R149" s="2" t="inlineStr">
        <is>
          <t>A.否</t>
        </is>
      </c>
      <c r="S149" s="2" t="inlineStr">
        <is>
          <t>C.希望工作压力适中，但职责边界更清晰</t>
        </is>
      </c>
      <c r="T149" s="2" t="inlineStr">
        <is>
          <t>C.工作较稳定，但发展空间不足</t>
        </is>
      </c>
      <c r="U149" s="2" t="inlineStr">
        <is>
          <t>A.减少重复性事务</t>
        </is>
      </c>
      <c r="V149" s="2" t="inlineStr">
        <is>
          <t>A.没有</t>
        </is>
      </c>
      <c r="W149" s="2"/>
      <c r="X149" s="2" t="inlineStr">
        <is>
          <t>C.均衡 (80%-100%)</t>
        </is>
      </c>
      <c r="Y149" s="2" t="inlineStr">
        <is>
          <t>G.接收到任务分配单完成周期内要求的加班</t>
        </is>
      </c>
      <c r="Z149" s="2" t="inlineStr">
        <is>
          <t>外部联络</t>
        </is>
      </c>
      <c r="AA149" s="2" t="inlineStr">
        <is>
          <t>无</t>
        </is>
      </c>
      <c r="AB149" s="2" t="inlineStr">
        <is>
          <t>无</t>
        </is>
      </c>
      <c r="AC149" s="2" t="inlineStr">
        <is>
          <t>B.基本匹配（正常履行）</t>
        </is>
      </c>
      <c r="AD149" s="2" t="inlineStr">
        <is>
          <t>根据具体工作情况调整打卡地点</t>
        </is>
      </c>
      <c r="AE149" s="2"/>
      <c r="AF149" s="2"/>
      <c r="AG149" s="2"/>
      <c r="AH149" s="2"/>
      <c r="AI149" s="7" t="n">
        <v>2</v>
      </c>
      <c r="AJ149" s="7" t="n">
        <v>2</v>
      </c>
      <c r="AK149" s="7" t="n">
        <v>2</v>
      </c>
      <c r="AL149" s="7" t="n">
        <v>4</v>
      </c>
      <c r="AM149" s="7" t="n">
        <v>0.09</v>
      </c>
      <c r="AN149" s="7" t="n">
        <v>0.09</v>
      </c>
      <c r="AO149" s="7" t="n">
        <v>0</v>
      </c>
      <c r="AP149" s="7" t="n">
        <v>0</v>
      </c>
      <c r="AQ149" s="7" t="n">
        <v>0</v>
      </c>
      <c r="AR149" s="7" t="n">
        <v>0</v>
      </c>
      <c r="AS149" s="7" t="n">
        <v>4.09</v>
      </c>
      <c r="AT149" s="7" t="n">
        <v>6.09</v>
      </c>
      <c r="AU149" s="7" t="n">
        <v>5.09</v>
      </c>
      <c r="AV149" s="2" t="inlineStr">
        <is>
          <t>欠饱和</t>
        </is>
      </c>
      <c r="AW149" s="2" t="inlineStr">
        <is>
          <t>不一致</t>
        </is>
      </c>
      <c r="AX149" s="2" t="inlineStr">
        <is>
          <t>2946ab3c-04aa-46ac-b9aa-e2be8229f82e</t>
        </is>
      </c>
      <c r="AY149" s="2" t="inlineStr">
        <is>
          <t>HSE部    熊宇彤</t>
        </is>
      </c>
      <c r="AZ149" s="2" t="inlineStr">
        <is>
          <t>Anonymous</t>
        </is>
      </c>
      <c r="BA149" s="2" t="inlineStr">
        <is>
          <t>Anonymous</t>
        </is>
      </c>
      <c r="BB149" s="2"/>
      <c r="BC149" s="2" t="inlineStr">
        <is>
          <t>2026-05-21 08:43:22</t>
        </is>
      </c>
      <c r="BD149" s="3" t="n">
        <v>2001</v>
      </c>
      <c r="BE149" s="3" t="n">
        <v>25</v>
      </c>
      <c r="BF149" s="2" t="inlineStr">
        <is>
          <t>A.无此需求</t>
        </is>
      </c>
      <c r="BG149" s="2" t="inlineStr">
        <is>
          <t>已生效</t>
        </is>
      </c>
      <c r="BH149" s="2" t="inlineStr">
        <is>
          <t>433c209b-b3c2-416f-a894-5dd08098f4af</t>
        </is>
      </c>
      <c r="BI149" s="3" t="n">
        <v>1</v>
      </c>
      <c r="BJ149" s="2"/>
      <c r="BK149" s="2"/>
      <c r="BL149" s="2"/>
      <c r="BM149" s="2"/>
      <c r="BN149" s="2"/>
      <c r="BO149" s="2"/>
      <c r="BP149" s="2"/>
      <c r="BQ149" s="2"/>
      <c r="BR149" s="2"/>
      <c r="BS149" s="2" t="inlineStr">
        <is>
          <t>2df94e32-b5dc-4e05-a210-e6887a30cb17</t>
        </is>
      </c>
      <c r="BT149" s="3" t="n">
        <v>1</v>
      </c>
      <c r="BU149" s="2" t="inlineStr">
        <is>
          <t>数据报表类</t>
        </is>
      </c>
      <c r="BV149" s="2" t="inlineStr">
        <is>
          <t>每日安全检查问题汇总、作业人数及作业票统计汇总</t>
        </is>
      </c>
      <c r="BW149" s="2" t="inlineStr">
        <is>
          <t>1次</t>
        </is>
      </c>
      <c r="BX149" s="3" t="n">
        <v>1</v>
      </c>
      <c r="BY149" s="3" t="n">
        <v>1</v>
      </c>
      <c r="BZ149" s="2" t="inlineStr">
        <is>
          <t>B.2小时以内</t>
        </is>
      </c>
      <c r="CA149" s="7" t="n">
        <v>2</v>
      </c>
      <c r="CB149" s="7" t="n">
        <v>2</v>
      </c>
      <c r="CC149" s="7" t="n">
        <v>2</v>
      </c>
      <c r="CD149" s="7" t="n">
        <v>2</v>
      </c>
      <c r="CE149" s="2" t="inlineStr">
        <is>
          <t>数据报表类</t>
        </is>
      </c>
      <c r="CF149" s="2"/>
      <c r="CG149" s="2" t="inlineStr">
        <is>
          <t>专项统计</t>
        </is>
      </c>
      <c r="CH149" s="2" t="inlineStr">
        <is>
          <t>上级指令</t>
        </is>
      </c>
      <c r="CI149" s="2" t="inlineStr">
        <is>
          <t>重要不紧急</t>
        </is>
      </c>
      <c r="CJ149" s="2" t="inlineStr">
        <is>
          <t>半标准化-有流程框架，需专业经验</t>
        </is>
      </c>
      <c r="CK149" s="2" t="inlineStr">
        <is>
          <t>极少（&lt;5%）</t>
        </is>
      </c>
      <c r="CL149" s="2" t="inlineStr">
        <is>
          <t>时效/强度负荷</t>
        </is>
      </c>
      <c r="CM149" s="2"/>
      <c r="CN149" s="2" t="inlineStr">
        <is>
          <t>528b68f6-f083-491c-9d4d-912ab2a5a9c0</t>
        </is>
      </c>
      <c r="CO149" s="3" t="n">
        <v>1</v>
      </c>
      <c r="CP149" s="2"/>
      <c r="CQ149" s="2" t="inlineStr">
        <is>
          <t>入场安全教育培训及台账、承包商管理系统维护、互联网➕系统维护、劳保用品发放、入场工机具报验监理、代缴罚款、特殊工种台账管理</t>
        </is>
      </c>
      <c r="CR149" s="2" t="inlineStr">
        <is>
          <t>5次以上</t>
        </is>
      </c>
      <c r="CS149" s="3" t="n">
        <v>5</v>
      </c>
      <c r="CT149" s="3" t="n">
        <v>5</v>
      </c>
      <c r="CU149" s="2" t="inlineStr">
        <is>
          <t>C.2-4小时</t>
        </is>
      </c>
      <c r="CV149" s="7" t="n">
        <v>2</v>
      </c>
      <c r="CW149" s="7" t="n">
        <v>4</v>
      </c>
      <c r="CX149" s="7" t="n">
        <v>10</v>
      </c>
      <c r="CY149" s="7" t="n">
        <v>20</v>
      </c>
      <c r="CZ149" s="2" t="inlineStr">
        <is>
          <t>协调沟通类</t>
        </is>
      </c>
      <c r="DA149" s="2"/>
      <c r="DB149" s="2" t="inlineStr">
        <is>
          <t>外部联络</t>
        </is>
      </c>
      <c r="DC149" s="2" t="inlineStr">
        <is>
          <t>上级指令</t>
        </is>
      </c>
      <c r="DD149" s="2" t="inlineStr">
        <is>
          <t>重要且紧急</t>
        </is>
      </c>
      <c r="DE149" s="2" t="inlineStr">
        <is>
          <t>半标准化-有流程框架，需专业经验</t>
        </is>
      </c>
      <c r="DF149" s="2" t="inlineStr">
        <is>
          <t>极少（&lt;5%）</t>
        </is>
      </c>
      <c r="DG149" s="2" t="inlineStr">
        <is>
          <t>时效/强度负荷</t>
        </is>
      </c>
      <c r="DH149" s="2"/>
      <c r="DI149" s="2" t="inlineStr">
        <is>
          <t>ba52d0ab-606e-4010-af7d-58fc74816ed8</t>
        </is>
      </c>
      <c r="DJ149" s="3" t="n">
        <v>1</v>
      </c>
      <c r="DK149" s="2"/>
      <c r="DL149" s="2" t="inlineStr">
        <is>
          <t>参加安全月度会议</t>
        </is>
      </c>
      <c r="DM149" s="2" t="inlineStr">
        <is>
          <t>1次</t>
        </is>
      </c>
      <c r="DN149" s="3" t="n">
        <v>1</v>
      </c>
      <c r="DO149" s="3" t="n">
        <v>1</v>
      </c>
      <c r="DP149" s="2" t="inlineStr">
        <is>
          <t>B.2小时以内</t>
        </is>
      </c>
      <c r="DQ149" s="7" t="n">
        <v>2</v>
      </c>
      <c r="DR149" s="7" t="n">
        <v>2</v>
      </c>
      <c r="DS149" s="7" t="n">
        <v>2</v>
      </c>
      <c r="DT149" s="7" t="n">
        <v>2</v>
      </c>
      <c r="DU149" s="2" t="inlineStr">
        <is>
          <t>其他</t>
        </is>
      </c>
      <c r="DV149" s="2"/>
      <c r="DW149" s="2"/>
      <c r="DX149" s="2" t="inlineStr">
        <is>
          <t>上级指令</t>
        </is>
      </c>
      <c r="DY149" s="2" t="inlineStr">
        <is>
          <t>重要且紧急</t>
        </is>
      </c>
      <c r="DZ149" s="2" t="inlineStr">
        <is>
          <t>非标准化-无先例参考，需创新协调</t>
        </is>
      </c>
      <c r="EA149" s="2" t="inlineStr">
        <is>
          <t>极少（&lt;5%）</t>
        </is>
      </c>
      <c r="EB149" s="2" t="inlineStr">
        <is>
          <t>时效/强度负荷</t>
        </is>
      </c>
      <c r="EC149" s="2"/>
      <c r="ED149" s="2" t="inlineStr">
        <is>
          <t>2d661bd1-e4e7-4b4e-ac65-29d00498cd35</t>
        </is>
      </c>
      <c r="EE149" s="3" t="n">
        <v>1</v>
      </c>
      <c r="EF149" s="2"/>
      <c r="EG149" s="2"/>
      <c r="EH149" s="2"/>
      <c r="EI149" s="3"/>
      <c r="EJ149" s="2"/>
      <c r="EK149" s="3"/>
      <c r="EL149" s="3"/>
      <c r="EM149" s="3"/>
      <c r="EN149" s="3"/>
      <c r="EO149" s="2"/>
      <c r="EP149" s="2"/>
      <c r="EQ149" s="2"/>
      <c r="ER149" s="2"/>
      <c r="ES149" s="2"/>
      <c r="ET149" s="2"/>
      <c r="EU149" s="2"/>
      <c r="EV149" s="2"/>
      <c r="EW149" s="2"/>
      <c r="EX149" s="2" t="inlineStr">
        <is>
          <t>563a60f5-7614-4d32-a678-3708f8f4930b</t>
        </is>
      </c>
      <c r="EY149" s="3" t="n">
        <v>1</v>
      </c>
      <c r="EZ149" s="2"/>
      <c r="FA149" s="2"/>
      <c r="FB149" s="2"/>
      <c r="FC149" s="2"/>
      <c r="FD149" s="3"/>
      <c r="FE149" s="3"/>
      <c r="FF149" s="2"/>
      <c r="FG149" s="3"/>
      <c r="FH149" s="3"/>
      <c r="FI149" s="7" t="n">
        <v>0</v>
      </c>
      <c r="FJ149" s="7" t="n">
        <v>0</v>
      </c>
      <c r="FK149" s="7" t="n">
        <v>0</v>
      </c>
      <c r="FL149" s="7" t="n">
        <v>0</v>
      </c>
      <c r="FM149" s="7" t="n">
        <v>0</v>
      </c>
      <c r="FN149" s="7" t="n">
        <v>0</v>
      </c>
      <c r="FO149" s="2"/>
      <c r="FP149" s="2"/>
      <c r="FQ149" s="2"/>
      <c r="FR149" s="2"/>
      <c r="FS149" s="2"/>
      <c r="FT149" s="2"/>
      <c r="FU149" s="2"/>
      <c r="FV149" s="2"/>
      <c r="FW149" s="2"/>
    </row>
    <row r="150">
      <c r="A150" s="2" t="inlineStr">
        <is>
          <t>2026-05-18 15:57:14</t>
        </is>
      </c>
      <c r="B150" s="2" t="inlineStr">
        <is>
          <t>唐骥文</t>
        </is>
      </c>
      <c r="C150" s="2" t="inlineStr">
        <is>
          <t>技术质量部</t>
        </is>
      </c>
      <c r="D150" s="2" t="inlineStr">
        <is>
          <t>男</t>
        </is>
      </c>
      <c r="E150" s="2" t="inlineStr">
        <is>
          <t>320925199705287411</t>
        </is>
      </c>
      <c r="F150" s="2" t="inlineStr">
        <is>
          <t>技术助理(一)</t>
        </is>
      </c>
      <c r="G150" s="2" t="inlineStr">
        <is>
          <t>2019-08</t>
        </is>
      </c>
      <c r="H150" s="2" t="inlineStr">
        <is>
          <t>常州工学院</t>
        </is>
      </c>
      <c r="I150" s="2" t="inlineStr">
        <is>
          <t>电气</t>
        </is>
      </c>
      <c r="J150" s="2" t="inlineStr">
        <is>
          <t>本科</t>
        </is>
      </c>
      <c r="K150" s="2"/>
      <c r="L150" s="6">
        <f>HYPERLINK("https://www.h3yun.com/Form/Attachments/?schemacode=D1483577de63ede327d4760b10664bd57671d7e&amp;bizObjectId=a80d775b-5111-4f34-bf22-773dfa55db69&amp;name=F0000046","点击查看")</f>
        <v>0</v>
      </c>
      <c r="M150" s="2" t="inlineStr">
        <is>
          <t>无</t>
        </is>
      </c>
      <c r="N150" s="2" t="inlineStr">
        <is>
          <t>每日工作;每季度/阶段性工作</t>
        </is>
      </c>
      <c r="O150" s="2" t="inlineStr">
        <is>
          <t>26-30岁</t>
        </is>
      </c>
      <c r="P150" s="2" t="inlineStr">
        <is>
          <t>A.未婚</t>
        </is>
      </c>
      <c r="Q150" s="2" t="inlineStr">
        <is>
          <t>A.否</t>
        </is>
      </c>
      <c r="R150" s="2" t="inlineStr">
        <is>
          <t>A.否</t>
        </is>
      </c>
      <c r="S150" s="2" t="inlineStr">
        <is>
          <t>A.保持当前工作内容和节奏，收入相对稳定即可</t>
        </is>
      </c>
      <c r="T150" s="2" t="inlineStr">
        <is>
          <t>A.基本满意，希望保持</t>
        </is>
      </c>
      <c r="U150" s="2" t="inlineStr">
        <is>
          <t>D.明确职责边界</t>
        </is>
      </c>
      <c r="V150" s="2" t="inlineStr">
        <is>
          <t>A.没有</t>
        </is>
      </c>
      <c r="W150" s="2"/>
      <c r="X150" s="2" t="inlineStr">
        <is>
          <t>C.均衡 (80%-100%)</t>
        </is>
      </c>
      <c r="Y150" s="2" t="inlineStr">
        <is>
          <t>G.接收到任务分配单完成周期内要求的加班</t>
        </is>
      </c>
      <c r="Z150" s="2" t="inlineStr">
        <is>
          <t>专题工作推进</t>
        </is>
      </c>
      <c r="AA150" s="2" t="inlineStr">
        <is>
          <t>无</t>
        </is>
      </c>
      <c r="AB150" s="2" t="inlineStr">
        <is>
          <t>无</t>
        </is>
      </c>
      <c r="AC150" s="2" t="inlineStr">
        <is>
          <t>A.高度匹配（得心应手）</t>
        </is>
      </c>
      <c r="AD150" s="2" t="inlineStr">
        <is>
          <t>无</t>
        </is>
      </c>
      <c r="AE150" s="2"/>
      <c r="AF150" s="2"/>
      <c r="AG150" s="2"/>
      <c r="AH150" s="2"/>
      <c r="AI150" s="7" t="n">
        <v>12</v>
      </c>
      <c r="AJ150" s="7" t="n">
        <v>20</v>
      </c>
      <c r="AK150" s="7" t="n">
        <v>0</v>
      </c>
      <c r="AL150" s="7" t="n">
        <v>0</v>
      </c>
      <c r="AM150" s="7" t="n">
        <v>0</v>
      </c>
      <c r="AN150" s="7" t="n">
        <v>0</v>
      </c>
      <c r="AO150" s="7" t="n">
        <v>0.24</v>
      </c>
      <c r="AP150" s="7" t="n">
        <v>0.24</v>
      </c>
      <c r="AQ150" s="7" t="n">
        <v>0</v>
      </c>
      <c r="AR150" s="7" t="n">
        <v>0</v>
      </c>
      <c r="AS150" s="7" t="n">
        <v>12.24</v>
      </c>
      <c r="AT150" s="7" t="n">
        <v>20.24</v>
      </c>
      <c r="AU150" s="7" t="n">
        <v>16.24</v>
      </c>
      <c r="AV150" s="2" t="inlineStr">
        <is>
          <t>超负荷</t>
        </is>
      </c>
      <c r="AW150" s="2" t="inlineStr">
        <is>
          <t>不一致</t>
        </is>
      </c>
      <c r="AX150" s="2" t="inlineStr">
        <is>
          <t>a80d775b-5111-4f34-bf22-773dfa55db69</t>
        </is>
      </c>
      <c r="AY150" s="2" t="inlineStr">
        <is>
          <t>技术质量部    唐骥文</t>
        </is>
      </c>
      <c r="AZ150" s="2" t="inlineStr">
        <is>
          <t>Anonymous</t>
        </is>
      </c>
      <c r="BA150" s="2" t="inlineStr">
        <is>
          <t>Anonymous</t>
        </is>
      </c>
      <c r="BB150" s="2"/>
      <c r="BC150" s="2" t="inlineStr">
        <is>
          <t>2026-05-21 08:43:22</t>
        </is>
      </c>
      <c r="BD150" s="3" t="n">
        <v>1997</v>
      </c>
      <c r="BE150" s="3" t="n">
        <v>29</v>
      </c>
      <c r="BF150" s="2" t="inlineStr">
        <is>
          <t>A.无此需求</t>
        </is>
      </c>
      <c r="BG150" s="2" t="inlineStr">
        <is>
          <t>已生效</t>
        </is>
      </c>
      <c r="BH150" s="2" t="inlineStr">
        <is>
          <t>06e512ab-a6c1-4518-a962-f9e4094250f4</t>
        </is>
      </c>
      <c r="BI150" s="3" t="n">
        <v>1</v>
      </c>
      <c r="BJ150" s="2"/>
      <c r="BK150" s="2"/>
      <c r="BL150" s="2"/>
      <c r="BM150" s="2"/>
      <c r="BN150" s="2"/>
      <c r="BO150" s="2"/>
      <c r="BP150" s="2"/>
      <c r="BQ150" s="2"/>
      <c r="BR150" s="2"/>
      <c r="BS150" s="2" t="inlineStr">
        <is>
          <t>6c5c41a4-b09b-43bc-8efc-ee511d16a693</t>
        </is>
      </c>
      <c r="BT150" s="3" t="n">
        <v>1</v>
      </c>
      <c r="BU150" s="2" t="inlineStr">
        <is>
          <t>专业技术类</t>
        </is>
      </c>
      <c r="BV150" s="2" t="inlineStr">
        <is>
          <t>负责完善高新企业申报资料</t>
        </is>
      </c>
      <c r="BW150" s="2" t="inlineStr">
        <is>
          <t>6-10次</t>
        </is>
      </c>
      <c r="BX150" s="3" t="n">
        <v>6</v>
      </c>
      <c r="BY150" s="3" t="n">
        <v>10</v>
      </c>
      <c r="BZ150" s="2" t="inlineStr">
        <is>
          <t>B.2小时以内</t>
        </is>
      </c>
      <c r="CA150" s="7" t="n">
        <v>2</v>
      </c>
      <c r="CB150" s="7" t="n">
        <v>2</v>
      </c>
      <c r="CC150" s="7" t="n">
        <v>12</v>
      </c>
      <c r="CD150" s="7" t="n">
        <v>20</v>
      </c>
      <c r="CE150" s="2" t="inlineStr">
        <is>
          <t>专业技术类</t>
        </is>
      </c>
      <c r="CF150" s="2"/>
      <c r="CG150" s="2" t="inlineStr">
        <is>
          <t>探索研发类工作</t>
        </is>
      </c>
      <c r="CH150" s="2" t="inlineStr">
        <is>
          <t>岗位职责</t>
        </is>
      </c>
      <c r="CI150" s="2" t="inlineStr">
        <is>
          <t>重要且紧急</t>
        </is>
      </c>
      <c r="CJ150" s="2" t="inlineStr">
        <is>
          <t>半标准化-有流程框架，需专业经验</t>
        </is>
      </c>
      <c r="CK150" s="2" t="inlineStr">
        <is>
          <t>极少（&lt;5%）</t>
        </is>
      </c>
      <c r="CL150" s="2" t="inlineStr">
        <is>
          <t>脑力/复杂度负荷</t>
        </is>
      </c>
      <c r="CM150" s="2"/>
      <c r="CN150" s="2" t="inlineStr">
        <is>
          <t>017c0724-dcc8-4481-bf0e-44aefb876b1d</t>
        </is>
      </c>
      <c r="CO150" s="3" t="n">
        <v>1</v>
      </c>
      <c r="CP150" s="2"/>
      <c r="CQ150" s="2"/>
      <c r="CR150" s="2"/>
      <c r="CS150" s="3"/>
      <c r="CT150" s="3"/>
      <c r="CU150" s="2"/>
      <c r="CV150" s="3"/>
      <c r="CW150" s="3"/>
      <c r="CX150" s="3"/>
      <c r="CY150" s="3"/>
      <c r="CZ150" s="2"/>
      <c r="DA150" s="2"/>
      <c r="DB150" s="2"/>
      <c r="DC150" s="2"/>
      <c r="DD150" s="2"/>
      <c r="DE150" s="2"/>
      <c r="DF150" s="2"/>
      <c r="DG150" s="2"/>
      <c r="DH150" s="2"/>
      <c r="DI150" s="2" t="inlineStr">
        <is>
          <t>09f14775-f8aa-4377-9f03-e22c77d00147</t>
        </is>
      </c>
      <c r="DJ150" s="3" t="n">
        <v>1</v>
      </c>
      <c r="DK150" s="2"/>
      <c r="DL150" s="2"/>
      <c r="DM150" s="2"/>
      <c r="DN150" s="3"/>
      <c r="DO150" s="3"/>
      <c r="DP150" s="2"/>
      <c r="DQ150" s="3"/>
      <c r="DR150" s="3"/>
      <c r="DS150" s="3"/>
      <c r="DT150" s="3"/>
      <c r="DU150" s="2"/>
      <c r="DV150" s="2"/>
      <c r="DW150" s="2"/>
      <c r="DX150" s="2"/>
      <c r="DY150" s="2"/>
      <c r="DZ150" s="2"/>
      <c r="EA150" s="2"/>
      <c r="EB150" s="2"/>
      <c r="EC150" s="2"/>
      <c r="ED150" s="2" t="inlineStr">
        <is>
          <t>515ae632-fc11-47b8-9b28-1237bd453c8c</t>
        </is>
      </c>
      <c r="EE150" s="3" t="n">
        <v>1</v>
      </c>
      <c r="EF150" s="2"/>
      <c r="EG150" s="2" t="inlineStr">
        <is>
          <t>负责高新技术企业申报及维护资质填报工作，包含立项计划书定项、批复、填写、加计扣除材料填写、立项使用设备折旧材料的填报、立项计划验收文件的填写工作等</t>
        </is>
      </c>
      <c r="EH150" s="2" t="inlineStr">
        <is>
          <t>3次及以上</t>
        </is>
      </c>
      <c r="EI150" s="3" t="n">
        <v>3</v>
      </c>
      <c r="EJ150" s="2" t="inlineStr">
        <is>
          <t>E.8小时以上</t>
        </is>
      </c>
      <c r="EK150" s="7" t="n">
        <v>8</v>
      </c>
      <c r="EL150" s="7" t="n">
        <v>8</v>
      </c>
      <c r="EM150" s="7" t="n">
        <v>24</v>
      </c>
      <c r="EN150" s="7" t="n">
        <v>24</v>
      </c>
      <c r="EO150" s="2" t="inlineStr">
        <is>
          <t>专业技术类</t>
        </is>
      </c>
      <c r="EP150" s="2"/>
      <c r="EQ150" s="2" t="inlineStr">
        <is>
          <t>探索研发类工作</t>
        </is>
      </c>
      <c r="ER150" s="2" t="inlineStr">
        <is>
          <t>岗位职责</t>
        </is>
      </c>
      <c r="ES150" s="2" t="inlineStr">
        <is>
          <t>重要不紧急</t>
        </is>
      </c>
      <c r="ET150" s="2" t="inlineStr">
        <is>
          <t>半标准化-有流程框架，需专业经验</t>
        </is>
      </c>
      <c r="EU150" s="2" t="inlineStr">
        <is>
          <t>极少（&lt;5%）</t>
        </is>
      </c>
      <c r="EV150" s="2" t="inlineStr">
        <is>
          <t>脑力/复杂度负荷</t>
        </is>
      </c>
      <c r="EW150" s="2"/>
      <c r="EX150" s="2" t="inlineStr">
        <is>
          <t>1230a6ca-881f-41a6-b2d8-8f13af429a77</t>
        </is>
      </c>
      <c r="EY150" s="3" t="n">
        <v>1</v>
      </c>
      <c r="EZ150" s="2"/>
      <c r="FA150" s="2"/>
      <c r="FB150" s="2"/>
      <c r="FC150" s="2"/>
      <c r="FD150" s="3"/>
      <c r="FE150" s="3"/>
      <c r="FF150" s="2"/>
      <c r="FG150" s="3"/>
      <c r="FH150" s="3"/>
      <c r="FI150" s="7" t="n">
        <v>0</v>
      </c>
      <c r="FJ150" s="7" t="n">
        <v>0</v>
      </c>
      <c r="FK150" s="7" t="n">
        <v>0</v>
      </c>
      <c r="FL150" s="7" t="n">
        <v>0</v>
      </c>
      <c r="FM150" s="7" t="n">
        <v>0</v>
      </c>
      <c r="FN150" s="7" t="n">
        <v>0</v>
      </c>
      <c r="FO150" s="2"/>
      <c r="FP150" s="2"/>
      <c r="FQ150" s="2"/>
      <c r="FR150" s="2"/>
      <c r="FS150" s="2"/>
      <c r="FT150" s="2"/>
      <c r="FU150" s="2"/>
      <c r="FV150" s="2"/>
      <c r="FW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t="inlineStr">
        <is>
          <t>fbc9a858-1373-4384-ad62-45745d04d423</t>
        </is>
      </c>
      <c r="EE151" s="3" t="n">
        <v>2</v>
      </c>
      <c r="EF151" s="2"/>
      <c r="EG151" s="2" t="inlineStr">
        <is>
          <t>负责与财务部门联络，定期填报年度火炬报表、年度研发电子报表、重点研发企业月报、重点研发企业季报、高企季报、企业研究开发项目情况报表等</t>
        </is>
      </c>
      <c r="EH151" s="2" t="inlineStr">
        <is>
          <t>3次及以上</t>
        </is>
      </c>
      <c r="EI151" s="3" t="n">
        <v>3</v>
      </c>
      <c r="EJ151" s="2" t="inlineStr">
        <is>
          <t>B.2小时以内</t>
        </is>
      </c>
      <c r="EK151" s="7" t="n">
        <v>2</v>
      </c>
      <c r="EL151" s="7" t="n">
        <v>2</v>
      </c>
      <c r="EM151" s="7" t="n">
        <v>6</v>
      </c>
      <c r="EN151" s="7" t="n">
        <v>6</v>
      </c>
      <c r="EO151" s="2" t="inlineStr">
        <is>
          <t>数据报表类</t>
        </is>
      </c>
      <c r="EP151" s="2"/>
      <c r="EQ151" s="2" t="inlineStr">
        <is>
          <t>专项统计</t>
        </is>
      </c>
      <c r="ER151" s="2" t="inlineStr">
        <is>
          <t>岗位职责</t>
        </is>
      </c>
      <c r="ES151" s="2" t="inlineStr">
        <is>
          <t>重要且紧急</t>
        </is>
      </c>
      <c r="ET151" s="2" t="inlineStr">
        <is>
          <t>高度标准化-有成熟SOP，照做即可</t>
        </is>
      </c>
      <c r="EU151" s="2" t="inlineStr">
        <is>
          <t>极少（&lt;5%）</t>
        </is>
      </c>
      <c r="EV151" s="2" t="inlineStr">
        <is>
          <t>沟通/协调负荷</t>
        </is>
      </c>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t="inlineStr">
        <is>
          <t>3d7baa49-e1aa-4bdb-a749-c77eb2dafd2b</t>
        </is>
      </c>
      <c r="EE152" s="3" t="n">
        <v>3</v>
      </c>
      <c r="EF152" s="2"/>
      <c r="EG152" s="2" t="inlineStr">
        <is>
          <t>负责申报技术服务合同、专利许可合同</t>
        </is>
      </c>
      <c r="EH152" s="2" t="inlineStr">
        <is>
          <t>3次及以上</t>
        </is>
      </c>
      <c r="EI152" s="3" t="n">
        <v>3</v>
      </c>
      <c r="EJ152" s="2" t="inlineStr">
        <is>
          <t>E.8小时以上</t>
        </is>
      </c>
      <c r="EK152" s="7" t="n">
        <v>8</v>
      </c>
      <c r="EL152" s="7" t="n">
        <v>8</v>
      </c>
      <c r="EM152" s="7" t="n">
        <v>24</v>
      </c>
      <c r="EN152" s="7" t="n">
        <v>24</v>
      </c>
      <c r="EO152" s="2" t="inlineStr">
        <is>
          <t>专业技术类</t>
        </is>
      </c>
      <c r="EP152" s="2"/>
      <c r="EQ152" s="2" t="inlineStr">
        <is>
          <t>探索研发类工作</t>
        </is>
      </c>
      <c r="ER152" s="2" t="inlineStr">
        <is>
          <t>岗位职责</t>
        </is>
      </c>
      <c r="ES152" s="2" t="inlineStr">
        <is>
          <t>重要不紧急</t>
        </is>
      </c>
      <c r="ET152" s="2" t="inlineStr">
        <is>
          <t>半标准化-有流程框架，需专业经验</t>
        </is>
      </c>
      <c r="EU152" s="2" t="inlineStr">
        <is>
          <t>极少（&lt;5%）</t>
        </is>
      </c>
      <c r="EV152" s="2" t="inlineStr">
        <is>
          <t>脑力/复杂度负荷</t>
        </is>
      </c>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t="inlineStr">
        <is>
          <t>c11258cb-266e-442f-9da0-c21f40d7a48b</t>
        </is>
      </c>
      <c r="EE153" s="3" t="n">
        <v>4</v>
      </c>
      <c r="EF153" s="2"/>
      <c r="EG153" s="2" t="inlineStr">
        <is>
          <t>负责公司专利的收集、整理、上传工作</t>
        </is>
      </c>
      <c r="EH153" s="2" t="inlineStr">
        <is>
          <t>3次及以上</t>
        </is>
      </c>
      <c r="EI153" s="3" t="n">
        <v>3</v>
      </c>
      <c r="EJ153" s="2" t="inlineStr">
        <is>
          <t>B.2小时以内</t>
        </is>
      </c>
      <c r="EK153" s="7" t="n">
        <v>2</v>
      </c>
      <c r="EL153" s="7" t="n">
        <v>2</v>
      </c>
      <c r="EM153" s="7" t="n">
        <v>6</v>
      </c>
      <c r="EN153" s="7" t="n">
        <v>6</v>
      </c>
      <c r="EO153" s="2" t="inlineStr">
        <is>
          <t>数据报表类</t>
        </is>
      </c>
      <c r="EP153" s="2"/>
      <c r="EQ153" s="2" t="inlineStr">
        <is>
          <t>专项统计</t>
        </is>
      </c>
      <c r="ER153" s="2" t="inlineStr">
        <is>
          <t>岗位职责</t>
        </is>
      </c>
      <c r="ES153" s="2" t="inlineStr">
        <is>
          <t>重要不紧急</t>
        </is>
      </c>
      <c r="ET153" s="2" t="inlineStr">
        <is>
          <t>高度标准化-有成熟SOP，照做即可</t>
        </is>
      </c>
      <c r="EU153" s="2" t="inlineStr">
        <is>
          <t>极少（&lt;5%）</t>
        </is>
      </c>
      <c r="EV153" s="2" t="inlineStr">
        <is>
          <t>脑力/复杂度负荷</t>
        </is>
      </c>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row>
    <row r="154">
      <c r="A154" s="2" t="inlineStr">
        <is>
          <t>2026-05-18 15:39:13</t>
        </is>
      </c>
      <c r="B154" s="2" t="inlineStr">
        <is>
          <t>刘石</t>
        </is>
      </c>
      <c r="C154" s="2" t="inlineStr">
        <is>
          <t>技术质量部</t>
        </is>
      </c>
      <c r="D154" s="2" t="inlineStr">
        <is>
          <t>男</t>
        </is>
      </c>
      <c r="E154" s="2" t="inlineStr">
        <is>
          <t>341323200108062016</t>
        </is>
      </c>
      <c r="F154" s="2" t="inlineStr">
        <is>
          <t>技术助理(三)</t>
        </is>
      </c>
      <c r="G154" s="2" t="inlineStr">
        <is>
          <t>2024-08</t>
        </is>
      </c>
      <c r="H154" s="2" t="inlineStr">
        <is>
          <t>安徽科技学院</t>
        </is>
      </c>
      <c r="I154" s="2" t="inlineStr">
        <is>
          <t>电气</t>
        </is>
      </c>
      <c r="J154" s="2" t="inlineStr">
        <is>
          <t>本科</t>
        </is>
      </c>
      <c r="K154" s="2"/>
      <c r="L154" s="6">
        <f>HYPERLINK("https://www.h3yun.com/Form/Attachments/?schemacode=D1483577de63ede327d4760b10664bd57671d7e&amp;bizObjectId=00bb479e-667a-4419-baaa-7c524c078f0d&amp;name=F0000046","点击查看")</f>
        <v>0</v>
      </c>
      <c r="M154" s="2" t="inlineStr">
        <is>
          <t>把项目上的资料做的可直接拿来用来检查，而不是资料需要返工和修改的太多，专业性不够</t>
        </is>
      </c>
      <c r="N154" s="2" t="inlineStr">
        <is>
          <t>每日工作;每月工作;每季度/阶段性工作</t>
        </is>
      </c>
      <c r="O154" s="2" t="inlineStr">
        <is>
          <t>25岁及以下</t>
        </is>
      </c>
      <c r="P154" s="2" t="inlineStr">
        <is>
          <t>A.未婚</t>
        </is>
      </c>
      <c r="Q154" s="2" t="inlineStr">
        <is>
          <t>A.否</t>
        </is>
      </c>
      <c r="R154" s="2" t="inlineStr">
        <is>
          <t>A.否</t>
        </is>
      </c>
      <c r="S154" s="2" t="inlineStr">
        <is>
          <t>D.希望承担更有挑战性的工作，并争取更大发展空间</t>
        </is>
      </c>
      <c r="T154" s="2" t="inlineStr">
        <is>
          <t>E.希望承担更重要、更有挑战的职责</t>
        </is>
      </c>
      <c r="U154" s="2" t="inlineStr">
        <is>
          <t>A.减少重复性事务</t>
        </is>
      </c>
      <c r="V154" s="2" t="inlineStr">
        <is>
          <t>A.没有</t>
        </is>
      </c>
      <c r="W154" s="2"/>
      <c r="X154" s="2" t="inlineStr">
        <is>
          <t>C.均衡 (80%-100%)</t>
        </is>
      </c>
      <c r="Y154" s="2" t="inlineStr">
        <is>
          <t>I.因正常工作任务截止日遇上节假日所需加班</t>
        </is>
      </c>
      <c r="Z154" s="2" t="inlineStr">
        <is>
          <t>专题工作推进</t>
        </is>
      </c>
      <c r="AA154" s="2" t="inlineStr">
        <is>
          <t>专项统计</t>
        </is>
      </c>
      <c r="AB154" s="2" t="inlineStr">
        <is>
          <t>技术方案审查</t>
        </is>
      </c>
      <c r="AC154" s="2" t="inlineStr">
        <is>
          <t>B.基本匹配（正常履行）</t>
        </is>
      </c>
      <c r="AD154" s="2" t="inlineStr">
        <is>
          <t>加强对于项目上的专业性培训与指导，争取在项目结束前交上来的资料符合标准规范，内容较好，无明显错误与缺少某些资料</t>
        </is>
      </c>
      <c r="AE154" s="2"/>
      <c r="AF154" s="2"/>
      <c r="AG154" s="2"/>
      <c r="AH154" s="2"/>
      <c r="AI154" s="7" t="n">
        <v>4</v>
      </c>
      <c r="AJ154" s="7" t="n">
        <v>20</v>
      </c>
      <c r="AK154" s="7" t="n">
        <v>0</v>
      </c>
      <c r="AL154" s="7" t="n">
        <v>0</v>
      </c>
      <c r="AM154" s="7" t="n">
        <v>1.45</v>
      </c>
      <c r="AN154" s="7" t="n">
        <v>2.91</v>
      </c>
      <c r="AO154" s="7" t="n">
        <v>0.03</v>
      </c>
      <c r="AP154" s="7" t="n">
        <v>0.03</v>
      </c>
      <c r="AQ154" s="7" t="n">
        <v>0</v>
      </c>
      <c r="AR154" s="7" t="n">
        <v>0</v>
      </c>
      <c r="AS154" s="7" t="n">
        <v>5.49</v>
      </c>
      <c r="AT154" s="7" t="n">
        <v>22.94</v>
      </c>
      <c r="AU154" s="7" t="n">
        <v>14.21</v>
      </c>
      <c r="AV154" s="2" t="inlineStr">
        <is>
          <t>超负荷</t>
        </is>
      </c>
      <c r="AW154" s="2" t="inlineStr">
        <is>
          <t>不一致</t>
        </is>
      </c>
      <c r="AX154" s="2" t="inlineStr">
        <is>
          <t>00bb479e-667a-4419-baaa-7c524c078f0d</t>
        </is>
      </c>
      <c r="AY154" s="2" t="inlineStr">
        <is>
          <t>技术质量部    刘石</t>
        </is>
      </c>
      <c r="AZ154" s="2" t="inlineStr">
        <is>
          <t>Anonymous</t>
        </is>
      </c>
      <c r="BA154" s="2" t="inlineStr">
        <is>
          <t>Anonymous</t>
        </is>
      </c>
      <c r="BB154" s="2"/>
      <c r="BC154" s="2" t="inlineStr">
        <is>
          <t>2026-05-21 08:43:22</t>
        </is>
      </c>
      <c r="BD154" s="3" t="n">
        <v>2001</v>
      </c>
      <c r="BE154" s="3" t="n">
        <v>25</v>
      </c>
      <c r="BF154" s="2" t="inlineStr">
        <is>
          <t>A.无此需求</t>
        </is>
      </c>
      <c r="BG154" s="2" t="inlineStr">
        <is>
          <t>已生效</t>
        </is>
      </c>
      <c r="BH154" s="2" t="inlineStr">
        <is>
          <t>849feaf5-78db-4fe0-bed7-aa51d52ee005</t>
        </is>
      </c>
      <c r="BI154" s="3" t="n">
        <v>1</v>
      </c>
      <c r="BJ154" s="2"/>
      <c r="BK154" s="2"/>
      <c r="BL154" s="2"/>
      <c r="BM154" s="2"/>
      <c r="BN154" s="2"/>
      <c r="BO154" s="2"/>
      <c r="BP154" s="2"/>
      <c r="BQ154" s="2"/>
      <c r="BR154" s="2"/>
      <c r="BS154" s="2" t="inlineStr">
        <is>
          <t>d44774fe-7e14-4419-ab09-9bef10a1d916</t>
        </is>
      </c>
      <c r="BT154" s="3" t="n">
        <v>1</v>
      </c>
      <c r="BU154" s="2" t="inlineStr">
        <is>
          <t>专业技术类</t>
        </is>
      </c>
      <c r="BV154" s="2" t="inlineStr">
        <is>
          <t>项目资料整改</t>
        </is>
      </c>
      <c r="BW154" s="2" t="inlineStr">
        <is>
          <t>2-5次</t>
        </is>
      </c>
      <c r="BX154" s="3" t="n">
        <v>2</v>
      </c>
      <c r="BY154" s="3" t="n">
        <v>5</v>
      </c>
      <c r="BZ154" s="2" t="inlineStr">
        <is>
          <t>C.2-4小时</t>
        </is>
      </c>
      <c r="CA154" s="7" t="n">
        <v>2</v>
      </c>
      <c r="CB154" s="7" t="n">
        <v>4</v>
      </c>
      <c r="CC154" s="7" t="n">
        <v>4</v>
      </c>
      <c r="CD154" s="7" t="n">
        <v>20</v>
      </c>
      <c r="CE154" s="2" t="inlineStr">
        <is>
          <t>专业技术类</t>
        </is>
      </c>
      <c r="CF154" s="2"/>
      <c r="CG154" s="2" t="inlineStr">
        <is>
          <t>技术交底</t>
        </is>
      </c>
      <c r="CH154" s="2" t="inlineStr">
        <is>
          <t>岗位职责</t>
        </is>
      </c>
      <c r="CI154" s="2" t="inlineStr">
        <is>
          <t>重要且紧急</t>
        </is>
      </c>
      <c r="CJ154" s="2" t="inlineStr">
        <is>
          <t>半标准化-有流程框架，需专业经验</t>
        </is>
      </c>
      <c r="CK154" s="2" t="inlineStr">
        <is>
          <t>极少（&lt;5%）</t>
        </is>
      </c>
      <c r="CL154" s="2" t="inlineStr">
        <is>
          <t>时效/强度负荷</t>
        </is>
      </c>
      <c r="CM154" s="2"/>
      <c r="CN154" s="2" t="inlineStr">
        <is>
          <t>bb7606ba-9fca-44c9-b2f4-756bedaaf966</t>
        </is>
      </c>
      <c r="CO154" s="3" t="n">
        <v>1</v>
      </c>
      <c r="CP154" s="2"/>
      <c r="CQ154" s="2"/>
      <c r="CR154" s="2"/>
      <c r="CS154" s="3"/>
      <c r="CT154" s="3"/>
      <c r="CU154" s="2"/>
      <c r="CV154" s="3"/>
      <c r="CW154" s="3"/>
      <c r="CX154" s="3"/>
      <c r="CY154" s="3"/>
      <c r="CZ154" s="2"/>
      <c r="DA154" s="2"/>
      <c r="DB154" s="2"/>
      <c r="DC154" s="2"/>
      <c r="DD154" s="2"/>
      <c r="DE154" s="2"/>
      <c r="DF154" s="2"/>
      <c r="DG154" s="2"/>
      <c r="DH154" s="2"/>
      <c r="DI154" s="2" t="inlineStr">
        <is>
          <t>f01f2a9b-e8b3-47b9-9a1b-d037036479ac</t>
        </is>
      </c>
      <c r="DJ154" s="3" t="n">
        <v>1</v>
      </c>
      <c r="DK154" s="2"/>
      <c r="DL154" s="2" t="inlineStr">
        <is>
          <t>项目业绩资料的整改与装订</t>
        </is>
      </c>
      <c r="DM154" s="2" t="inlineStr">
        <is>
          <t>4-8次</t>
        </is>
      </c>
      <c r="DN154" s="3" t="n">
        <v>4</v>
      </c>
      <c r="DO154" s="3" t="n">
        <v>8</v>
      </c>
      <c r="DP154" s="2" t="inlineStr">
        <is>
          <t>E.8小时以上</t>
        </is>
      </c>
      <c r="DQ154" s="7" t="n">
        <v>8</v>
      </c>
      <c r="DR154" s="7" t="n">
        <v>8</v>
      </c>
      <c r="DS154" s="7" t="n">
        <v>32</v>
      </c>
      <c r="DT154" s="7" t="n">
        <v>64</v>
      </c>
      <c r="DU154" s="2" t="inlineStr">
        <is>
          <t>专业技术类</t>
        </is>
      </c>
      <c r="DV154" s="2"/>
      <c r="DW154" s="2" t="inlineStr">
        <is>
          <t>技术交底</t>
        </is>
      </c>
      <c r="DX154" s="2" t="inlineStr">
        <is>
          <t>部门计划</t>
        </is>
      </c>
      <c r="DY154" s="2" t="inlineStr">
        <is>
          <t>重要且紧急</t>
        </is>
      </c>
      <c r="DZ154" s="2" t="inlineStr">
        <is>
          <t>高度标准化-有成熟SOP，照做即可</t>
        </is>
      </c>
      <c r="EA154" s="2" t="inlineStr">
        <is>
          <t>极少（&lt;5%）</t>
        </is>
      </c>
      <c r="EB154" s="2" t="inlineStr">
        <is>
          <t>脑力/复杂度负荷</t>
        </is>
      </c>
      <c r="EC154" s="2"/>
      <c r="ED154" s="2" t="inlineStr">
        <is>
          <t>f3e818a2-0035-4e40-a96c-08f4c1b20dcb</t>
        </is>
      </c>
      <c r="EE154" s="3" t="n">
        <v>1</v>
      </c>
      <c r="EF154" s="2"/>
      <c r="EG154" s="2" t="inlineStr">
        <is>
          <t>协助部门进行换证取证</t>
        </is>
      </c>
      <c r="EH154" s="2" t="inlineStr">
        <is>
          <t>1次</t>
        </is>
      </c>
      <c r="EI154" s="3" t="n">
        <v>1</v>
      </c>
      <c r="EJ154" s="2" t="inlineStr">
        <is>
          <t>E.8小时以上</t>
        </is>
      </c>
      <c r="EK154" s="7" t="n">
        <v>8</v>
      </c>
      <c r="EL154" s="7" t="n">
        <v>8</v>
      </c>
      <c r="EM154" s="7" t="n">
        <v>8</v>
      </c>
      <c r="EN154" s="7" t="n">
        <v>8</v>
      </c>
      <c r="EO154" s="2" t="inlineStr">
        <is>
          <t>专业技术类</t>
        </is>
      </c>
      <c r="EP154" s="2"/>
      <c r="EQ154" s="2" t="inlineStr">
        <is>
          <t>专业问题协调</t>
        </is>
      </c>
      <c r="ER154" s="2" t="inlineStr">
        <is>
          <t>部门计划</t>
        </is>
      </c>
      <c r="ES154" s="2" t="inlineStr">
        <is>
          <t>重要且紧急</t>
        </is>
      </c>
      <c r="ET154" s="2" t="inlineStr">
        <is>
          <t>高度标准化-有成熟SOP，照做即可</t>
        </is>
      </c>
      <c r="EU154" s="2" t="inlineStr">
        <is>
          <t>极少（&lt;5%）</t>
        </is>
      </c>
      <c r="EV154" s="2" t="inlineStr">
        <is>
          <t>脑力/复杂度负荷</t>
        </is>
      </c>
      <c r="EW154" s="2"/>
      <c r="EX154" s="2" t="inlineStr">
        <is>
          <t>8b1d6e3c-e8ba-4549-a60e-effce1826b3b</t>
        </is>
      </c>
      <c r="EY154" s="3" t="n">
        <v>1</v>
      </c>
      <c r="EZ154" s="2"/>
      <c r="FA154" s="2"/>
      <c r="FB154" s="2"/>
      <c r="FC154" s="2"/>
      <c r="FD154" s="3"/>
      <c r="FE154" s="3"/>
      <c r="FF154" s="2"/>
      <c r="FG154" s="3"/>
      <c r="FH154" s="3"/>
      <c r="FI154" s="7" t="n">
        <v>0</v>
      </c>
      <c r="FJ154" s="7" t="n">
        <v>0</v>
      </c>
      <c r="FK154" s="7" t="n">
        <v>0</v>
      </c>
      <c r="FL154" s="7" t="n">
        <v>0</v>
      </c>
      <c r="FM154" s="7" t="n">
        <v>0</v>
      </c>
      <c r="FN154" s="7" t="n">
        <v>0</v>
      </c>
      <c r="FO154" s="2"/>
      <c r="FP154" s="2"/>
      <c r="FQ154" s="2"/>
      <c r="FR154" s="2"/>
      <c r="FS154" s="2"/>
      <c r="FT154" s="2"/>
      <c r="FU154" s="2"/>
      <c r="FV154" s="2"/>
      <c r="FW154" s="2"/>
    </row>
    <row r="155">
      <c r="A155" s="2" t="inlineStr">
        <is>
          <t>2026-05-18 15:29:08</t>
        </is>
      </c>
      <c r="B155" s="2" t="inlineStr">
        <is>
          <t>林新远</t>
        </is>
      </c>
      <c r="C155" s="2" t="inlineStr">
        <is>
          <t>技术质量部</t>
        </is>
      </c>
      <c r="D155" s="2" t="inlineStr">
        <is>
          <t>男</t>
        </is>
      </c>
      <c r="E155" s="2" t="inlineStr">
        <is>
          <t>320123200101264816</t>
        </is>
      </c>
      <c r="F155" s="2" t="inlineStr">
        <is>
          <t>技术助理(三)</t>
        </is>
      </c>
      <c r="G155" s="2" t="inlineStr">
        <is>
          <t>2024-08</t>
        </is>
      </c>
      <c r="H155" s="2" t="inlineStr">
        <is>
          <t>常州大学</t>
        </is>
      </c>
      <c r="I155" s="2" t="inlineStr">
        <is>
          <t>机制</t>
        </is>
      </c>
      <c r="J155" s="2" t="inlineStr">
        <is>
          <t>本科</t>
        </is>
      </c>
      <c r="K155" s="2"/>
      <c r="L155" s="6">
        <f>HYPERLINK("https://www.h3yun.com/Form/Attachments/?schemacode=D1483577de63ede327d4760b10664bd57671d7e&amp;bizObjectId=c158b03e-2dc2-41f9-a399-d419fd86a5d0&amp;name=F0000046","点击查看")</f>
        <v>0</v>
      </c>
      <c r="M155" s="2" t="inlineStr">
        <is>
          <t>无</t>
        </is>
      </c>
      <c r="N155" s="2" t="inlineStr">
        <is>
          <t>每日工作;每周工作;每月工作;每季度/阶段性工作;临时/突发工作</t>
        </is>
      </c>
      <c r="O155" s="2" t="inlineStr">
        <is>
          <t>25岁及以下</t>
        </is>
      </c>
      <c r="P155" s="2" t="inlineStr">
        <is>
          <t>A.未婚</t>
        </is>
      </c>
      <c r="Q155" s="2" t="inlineStr">
        <is>
          <t>A.否</t>
        </is>
      </c>
      <c r="R155" s="2" t="inlineStr">
        <is>
          <t>A.否</t>
        </is>
      </c>
      <c r="S155" s="2" t="inlineStr">
        <is>
          <t>D.希望承担更有挑战性的工作，并争取更大发展空间</t>
        </is>
      </c>
      <c r="T155" s="2" t="inlineStr">
        <is>
          <t>C.工作较稳定，但发展空间不足</t>
        </is>
      </c>
      <c r="U155" s="2" t="inlineStr">
        <is>
          <t>E.增加成长性和挑战性</t>
        </is>
      </c>
      <c r="V155" s="2" t="inlineStr">
        <is>
          <t>A.没有</t>
        </is>
      </c>
      <c r="W155" s="2"/>
      <c r="X155" s="2" t="inlineStr">
        <is>
          <t>C.均衡 (80%-100%)</t>
        </is>
      </c>
      <c r="Y155" s="2" t="inlineStr">
        <is>
          <t>E.临时差旅、突发事件、会议加班;K.无需加班</t>
        </is>
      </c>
      <c r="Z155" s="2" t="inlineStr">
        <is>
          <t>技术交底</t>
        </is>
      </c>
      <c r="AA155" s="2" t="inlineStr">
        <is>
          <t>无</t>
        </is>
      </c>
      <c r="AB155" s="2" t="inlineStr">
        <is>
          <t>无</t>
        </is>
      </c>
      <c r="AC155" s="2" t="inlineStr">
        <is>
          <t>B.基本匹配（正常履行）</t>
        </is>
      </c>
      <c r="AD155" s="2" t="inlineStr">
        <is>
          <t>无</t>
        </is>
      </c>
      <c r="AE155" s="2"/>
      <c r="AF155" s="2"/>
      <c r="AG155" s="2"/>
      <c r="AH155" s="2"/>
      <c r="AI155" s="7" t="n">
        <v>4</v>
      </c>
      <c r="AJ155" s="7" t="n">
        <v>20</v>
      </c>
      <c r="AK155" s="7" t="n">
        <v>0.8</v>
      </c>
      <c r="AL155" s="7" t="n">
        <v>1.2</v>
      </c>
      <c r="AM155" s="7" t="n">
        <v>0.36</v>
      </c>
      <c r="AN155" s="7" t="n">
        <v>0.36</v>
      </c>
      <c r="AO155" s="7" t="n">
        <v>0.03</v>
      </c>
      <c r="AP155" s="7" t="n">
        <v>0.03</v>
      </c>
      <c r="AQ155" s="7" t="n">
        <v>0.03</v>
      </c>
      <c r="AR155" s="7" t="n">
        <v>0.06</v>
      </c>
      <c r="AS155" s="7" t="n">
        <v>5.23</v>
      </c>
      <c r="AT155" s="7" t="n">
        <v>21.66</v>
      </c>
      <c r="AU155" s="7" t="n">
        <v>13.44</v>
      </c>
      <c r="AV155" s="2" t="inlineStr">
        <is>
          <t>超负荷</t>
        </is>
      </c>
      <c r="AW155" s="2" t="inlineStr">
        <is>
          <t>不一致</t>
        </is>
      </c>
      <c r="AX155" s="2" t="inlineStr">
        <is>
          <t>c158b03e-2dc2-41f9-a399-d419fd86a5d0</t>
        </is>
      </c>
      <c r="AY155" s="2" t="inlineStr">
        <is>
          <t>技术质量部    林新远</t>
        </is>
      </c>
      <c r="AZ155" s="2" t="inlineStr">
        <is>
          <t>Anonymous</t>
        </is>
      </c>
      <c r="BA155" s="2" t="inlineStr">
        <is>
          <t>Anonymous</t>
        </is>
      </c>
      <c r="BB155" s="2"/>
      <c r="BC155" s="2" t="inlineStr">
        <is>
          <t>2026-05-21 08:43:22</t>
        </is>
      </c>
      <c r="BD155" s="3" t="n">
        <v>2001</v>
      </c>
      <c r="BE155" s="3" t="n">
        <v>25</v>
      </c>
      <c r="BF155" s="2" t="inlineStr">
        <is>
          <t>A.无此需求</t>
        </is>
      </c>
      <c r="BG155" s="2" t="inlineStr">
        <is>
          <t>已生效</t>
        </is>
      </c>
      <c r="BH155" s="2" t="inlineStr">
        <is>
          <t>99b8a31b-2880-4eca-9e30-a647f16aba26</t>
        </is>
      </c>
      <c r="BI155" s="3" t="n">
        <v>1</v>
      </c>
      <c r="BJ155" s="2"/>
      <c r="BK155" s="2"/>
      <c r="BL155" s="2"/>
      <c r="BM155" s="2"/>
      <c r="BN155" s="2"/>
      <c r="BO155" s="2"/>
      <c r="BP155" s="2"/>
      <c r="BQ155" s="2"/>
      <c r="BR155" s="2"/>
      <c r="BS155" s="2" t="inlineStr">
        <is>
          <t>3f9cba9e-0ddc-4092-b30c-fe6ffcb6d9d9</t>
        </is>
      </c>
      <c r="BT155" s="3" t="n">
        <v>1</v>
      </c>
      <c r="BU155" s="2" t="inlineStr">
        <is>
          <t>专业技术类</t>
        </is>
      </c>
      <c r="BV155" s="2" t="inlineStr">
        <is>
          <t>协助完成项目资料</t>
        </is>
      </c>
      <c r="BW155" s="2" t="inlineStr">
        <is>
          <t>2-5次</t>
        </is>
      </c>
      <c r="BX155" s="3" t="n">
        <v>2</v>
      </c>
      <c r="BY155" s="3" t="n">
        <v>5</v>
      </c>
      <c r="BZ155" s="2" t="inlineStr">
        <is>
          <t>C.2-4小时</t>
        </is>
      </c>
      <c r="CA155" s="7" t="n">
        <v>2</v>
      </c>
      <c r="CB155" s="7" t="n">
        <v>4</v>
      </c>
      <c r="CC155" s="7" t="n">
        <v>4</v>
      </c>
      <c r="CD155" s="7" t="n">
        <v>20</v>
      </c>
      <c r="CE155" s="2" t="inlineStr">
        <is>
          <t>专业技术类</t>
        </is>
      </c>
      <c r="CF155" s="2"/>
      <c r="CG155" s="2" t="inlineStr">
        <is>
          <t>技术交底</t>
        </is>
      </c>
      <c r="CH155" s="2" t="inlineStr">
        <is>
          <t>部门计划</t>
        </is>
      </c>
      <c r="CI155" s="2" t="inlineStr">
        <is>
          <t>重要且紧急</t>
        </is>
      </c>
      <c r="CJ155" s="2" t="inlineStr">
        <is>
          <t>半标准化-有流程框架，需专业经验</t>
        </is>
      </c>
      <c r="CK155" s="2" t="inlineStr">
        <is>
          <t>低频（5%-10%）</t>
        </is>
      </c>
      <c r="CL155" s="2" t="inlineStr">
        <is>
          <t>脑力/复杂度负荷</t>
        </is>
      </c>
      <c r="CM155" s="2"/>
      <c r="CN155" s="2" t="inlineStr">
        <is>
          <t>d39030f4-f323-42c4-b7e6-6882836b1f8e</t>
        </is>
      </c>
      <c r="CO155" s="3" t="n">
        <v>1</v>
      </c>
      <c r="CP155" s="2"/>
      <c r="CQ155" s="2" t="inlineStr">
        <is>
          <t>定期资料整理，专业技术学习</t>
        </is>
      </c>
      <c r="CR155" s="2" t="inlineStr">
        <is>
          <t>2-3次</t>
        </is>
      </c>
      <c r="CS155" s="3" t="n">
        <v>2</v>
      </c>
      <c r="CT155" s="3" t="n">
        <v>3</v>
      </c>
      <c r="CU155" s="2" t="inlineStr">
        <is>
          <t>B.2小时以内</t>
        </is>
      </c>
      <c r="CV155" s="7" t="n">
        <v>2</v>
      </c>
      <c r="CW155" s="7" t="n">
        <v>2</v>
      </c>
      <c r="CX155" s="7" t="n">
        <v>4</v>
      </c>
      <c r="CY155" s="7" t="n">
        <v>6</v>
      </c>
      <c r="CZ155" s="2" t="inlineStr">
        <is>
          <t>专业技术类</t>
        </is>
      </c>
      <c r="DA155" s="2"/>
      <c r="DB155" s="2" t="inlineStr">
        <is>
          <t>标准研究</t>
        </is>
      </c>
      <c r="DC155" s="2" t="inlineStr">
        <is>
          <t>岗位职责</t>
        </is>
      </c>
      <c r="DD155" s="2" t="inlineStr">
        <is>
          <t>重要不紧急</t>
        </is>
      </c>
      <c r="DE155" s="2" t="inlineStr">
        <is>
          <t>非标准化-无先例参考，需创新协调</t>
        </is>
      </c>
      <c r="DF155" s="2" t="inlineStr">
        <is>
          <t>极少（&lt;5%）</t>
        </is>
      </c>
      <c r="DG155" s="2" t="inlineStr">
        <is>
          <t>脑力/复杂度负荷</t>
        </is>
      </c>
      <c r="DH155" s="2"/>
      <c r="DI155" s="2" t="inlineStr">
        <is>
          <t>57caedd7-6819-4a8d-8c43-7fcc5076debd</t>
        </is>
      </c>
      <c r="DJ155" s="3" t="n">
        <v>1</v>
      </c>
      <c r="DK155" s="2"/>
      <c r="DL155" s="2" t="inlineStr">
        <is>
          <t>协助焊培完成焊工报名取证资料及考试</t>
        </is>
      </c>
      <c r="DM155" s="2" t="inlineStr">
        <is>
          <t>1次</t>
        </is>
      </c>
      <c r="DN155" s="3" t="n">
        <v>1</v>
      </c>
      <c r="DO155" s="3" t="n">
        <v>1</v>
      </c>
      <c r="DP155" s="2" t="inlineStr">
        <is>
          <t>E.8小时以上</t>
        </is>
      </c>
      <c r="DQ155" s="7" t="n">
        <v>8</v>
      </c>
      <c r="DR155" s="7" t="n">
        <v>8</v>
      </c>
      <c r="DS155" s="7" t="n">
        <v>8</v>
      </c>
      <c r="DT155" s="7" t="n">
        <v>8</v>
      </c>
      <c r="DU155" s="2" t="inlineStr">
        <is>
          <t>协调沟通类</t>
        </is>
      </c>
      <c r="DV155" s="2"/>
      <c r="DW155" s="2" t="inlineStr">
        <is>
          <t>接口协调</t>
        </is>
      </c>
      <c r="DX155" s="2" t="inlineStr">
        <is>
          <t>跨部门协同</t>
        </is>
      </c>
      <c r="DY155" s="2" t="inlineStr">
        <is>
          <t>重要且紧急</t>
        </is>
      </c>
      <c r="DZ155" s="2" t="inlineStr">
        <is>
          <t>高度标准化-有成熟SOP，照做即可</t>
        </is>
      </c>
      <c r="EA155" s="2" t="inlineStr">
        <is>
          <t>极少（&lt;5%）</t>
        </is>
      </c>
      <c r="EB155" s="2" t="inlineStr">
        <is>
          <t>沟通/协调负荷</t>
        </is>
      </c>
      <c r="EC155" s="2"/>
      <c r="ED155" s="2" t="inlineStr">
        <is>
          <t>3ed36bbc-dfd1-43ec-b8e7-3026f3189a8e</t>
        </is>
      </c>
      <c r="EE155" s="3" t="n">
        <v>1</v>
      </c>
      <c r="EF155" s="2"/>
      <c r="EG155" s="2" t="inlineStr">
        <is>
          <t>协助完成评审换证等资料的编制整理</t>
        </is>
      </c>
      <c r="EH155" s="2" t="inlineStr">
        <is>
          <t>1次</t>
        </is>
      </c>
      <c r="EI155" s="3" t="n">
        <v>1</v>
      </c>
      <c r="EJ155" s="2" t="inlineStr">
        <is>
          <t>E.8小时以上</t>
        </is>
      </c>
      <c r="EK155" s="7" t="n">
        <v>8</v>
      </c>
      <c r="EL155" s="7" t="n">
        <v>8</v>
      </c>
      <c r="EM155" s="7" t="n">
        <v>8</v>
      </c>
      <c r="EN155" s="7" t="n">
        <v>8</v>
      </c>
      <c r="EO155" s="2" t="inlineStr">
        <is>
          <t>专业技术类</t>
        </is>
      </c>
      <c r="EP155" s="2"/>
      <c r="EQ155" s="2" t="inlineStr">
        <is>
          <t>技术方案审查</t>
        </is>
      </c>
      <c r="ER155" s="2" t="inlineStr">
        <is>
          <t>部门计划</t>
        </is>
      </c>
      <c r="ES155" s="2" t="inlineStr">
        <is>
          <t>重要且紧急</t>
        </is>
      </c>
      <c r="ET155" s="2" t="inlineStr">
        <is>
          <t>半标准化-有流程框架，需专业经验</t>
        </is>
      </c>
      <c r="EU155" s="2" t="inlineStr">
        <is>
          <t>低频（5%-10%）</t>
        </is>
      </c>
      <c r="EV155" s="2" t="inlineStr">
        <is>
          <t>脑力/复杂度负荷</t>
        </is>
      </c>
      <c r="EW155" s="2"/>
      <c r="EX155" s="2" t="inlineStr">
        <is>
          <t>da781395-a58c-4b12-bd71-1622659194de</t>
        </is>
      </c>
      <c r="EY155" s="3" t="n">
        <v>1</v>
      </c>
      <c r="EZ155" s="2"/>
      <c r="FA155" s="2" t="inlineStr">
        <is>
          <t>协助完成焊培及本部门一些临时任务</t>
        </is>
      </c>
      <c r="FB155" s="2" t="inlineStr">
        <is>
          <t>每年1-2次</t>
        </is>
      </c>
      <c r="FC155" s="2" t="inlineStr">
        <is>
          <t>年</t>
        </is>
      </c>
      <c r="FD155" s="3" t="n">
        <v>1</v>
      </c>
      <c r="FE155" s="3" t="n">
        <v>2</v>
      </c>
      <c r="FF155" s="2" t="inlineStr">
        <is>
          <t>E.8小时以上</t>
        </is>
      </c>
      <c r="FG155" s="7" t="n">
        <v>8</v>
      </c>
      <c r="FH155" s="7" t="n">
        <v>8</v>
      </c>
      <c r="FI155" s="7" t="n">
        <v>0</v>
      </c>
      <c r="FJ155" s="7" t="n">
        <v>0</v>
      </c>
      <c r="FK155" s="7" t="n">
        <v>0</v>
      </c>
      <c r="FL155" s="7" t="n">
        <v>0</v>
      </c>
      <c r="FM155" s="7" t="n">
        <v>8</v>
      </c>
      <c r="FN155" s="7" t="n">
        <v>16</v>
      </c>
      <c r="FO155" s="2" t="inlineStr">
        <is>
          <t>其他</t>
        </is>
      </c>
      <c r="FP155" s="2" t="inlineStr">
        <is>
          <t>如帮助焊培改建雨棚等</t>
        </is>
      </c>
      <c r="FQ155" s="2"/>
      <c r="FR155" s="2" t="inlineStr">
        <is>
          <t>跨部门协同</t>
        </is>
      </c>
      <c r="FS155" s="2" t="inlineStr">
        <is>
          <t>重要且紧急</t>
        </is>
      </c>
      <c r="FT155" s="2" t="inlineStr">
        <is>
          <t>非标准化-无先例参考，需创新协调</t>
        </is>
      </c>
      <c r="FU155" s="2" t="inlineStr">
        <is>
          <t>极少（&lt;5%）</t>
        </is>
      </c>
      <c r="FV155" s="2" t="inlineStr">
        <is>
          <t>时效/强度负荷</t>
        </is>
      </c>
      <c r="FW155" s="2"/>
    </row>
    <row r="156">
      <c r="A156" s="2" t="inlineStr">
        <is>
          <t>2026-05-18 15:20:26</t>
        </is>
      </c>
      <c r="B156" s="2" t="inlineStr">
        <is>
          <t>李文娟</t>
        </is>
      </c>
      <c r="C156" s="2" t="inlineStr">
        <is>
          <t>技术质量部</t>
        </is>
      </c>
      <c r="D156" s="2" t="inlineStr">
        <is>
          <t>女</t>
        </is>
      </c>
      <c r="E156" s="2" t="inlineStr">
        <is>
          <t>320923197410262426</t>
        </is>
      </c>
      <c r="F156" s="2" t="inlineStr">
        <is>
          <t>主管工程师</t>
        </is>
      </c>
      <c r="G156" s="2" t="inlineStr">
        <is>
          <t>1995-08</t>
        </is>
      </c>
      <c r="H156" s="2" t="inlineStr">
        <is>
          <t>南京化工大学</t>
        </is>
      </c>
      <c r="I156" s="2" t="inlineStr">
        <is>
          <t>化机</t>
        </is>
      </c>
      <c r="J156" s="2" t="inlineStr">
        <is>
          <t>大专</t>
        </is>
      </c>
      <c r="K156" s="2"/>
      <c r="L156" s="6">
        <f>HYPERLINK("https://www.h3yun.com/Form/Attachments/?schemacode=D1483577de63ede327d4760b10664bd57671d7e&amp;bizObjectId=172ffea0-5754-49a3-9107-bc1ac995d9e7&amp;name=F0000046","点击查看")</f>
        <v>0</v>
      </c>
      <c r="M156" s="2" t="inlineStr">
        <is>
          <t>无</t>
        </is>
      </c>
      <c r="N156" s="2" t="inlineStr">
        <is>
          <t>每日工作;每月工作;每季度/阶段性工作;临时/突发工作</t>
        </is>
      </c>
      <c r="O156" s="2" t="inlineStr">
        <is>
          <t>46岁及以上</t>
        </is>
      </c>
      <c r="P156" s="2" t="inlineStr">
        <is>
          <t>C.已婚已育</t>
        </is>
      </c>
      <c r="Q156" s="2" t="inlineStr">
        <is>
          <t>A.否</t>
        </is>
      </c>
      <c r="R156" s="2" t="inlineStr">
        <is>
          <t>A.否</t>
        </is>
      </c>
      <c r="S156" s="2" t="inlineStr">
        <is>
          <t>A.保持当前工作内容和节奏，收入相对稳定即可</t>
        </is>
      </c>
      <c r="T156" s="2" t="inlineStr">
        <is>
          <t>A.基本满意，希望保持</t>
        </is>
      </c>
      <c r="U156" s="2" t="inlineStr">
        <is>
          <t>B.减少无效流转和返工</t>
        </is>
      </c>
      <c r="V156" s="2" t="inlineStr">
        <is>
          <t>C.推动过局部优化</t>
        </is>
      </c>
      <c r="W156" s="2" t="inlineStr">
        <is>
          <t>D.系统/技术条件不具备</t>
        </is>
      </c>
      <c r="X156" s="2" t="inlineStr">
        <is>
          <t>C.均衡 (80%-100%)</t>
        </is>
      </c>
      <c r="Y156" s="2" t="inlineStr">
        <is>
          <t>E.临时差旅、突发事件、会议加班</t>
        </is>
      </c>
      <c r="Z156" s="2" t="inlineStr">
        <is>
          <t>探索研发类工作</t>
        </is>
      </c>
      <c r="AA156" s="2" t="inlineStr">
        <is>
          <t>无</t>
        </is>
      </c>
      <c r="AB156" s="2" t="inlineStr">
        <is>
          <t>无</t>
        </is>
      </c>
      <c r="AC156" s="2" t="inlineStr">
        <is>
          <t>A.高度匹配（得心应手）</t>
        </is>
      </c>
      <c r="AD156" s="2" t="inlineStr">
        <is>
          <t>无</t>
        </is>
      </c>
      <c r="AE156" s="2"/>
      <c r="AF156" s="2"/>
      <c r="AG156" s="2" t="inlineStr">
        <is>
          <t>D.配偶不是公司家属</t>
        </is>
      </c>
      <c r="AH156" s="2" t="inlineStr">
        <is>
          <t>C.无意向</t>
        </is>
      </c>
      <c r="AI156" s="7" t="n">
        <v>15.3</v>
      </c>
      <c r="AJ156" s="7" t="n">
        <v>43.3</v>
      </c>
      <c r="AK156" s="7" t="n">
        <v>0</v>
      </c>
      <c r="AL156" s="7" t="n">
        <v>0</v>
      </c>
      <c r="AM156" s="7" t="n">
        <v>0.36</v>
      </c>
      <c r="AN156" s="7" t="n">
        <v>0.36</v>
      </c>
      <c r="AO156" s="7" t="n">
        <v>0.18</v>
      </c>
      <c r="AP156" s="7" t="n">
        <v>0.2</v>
      </c>
      <c r="AQ156" s="7" t="n">
        <v>0.02</v>
      </c>
      <c r="AR156" s="7" t="n">
        <v>0.02</v>
      </c>
      <c r="AS156" s="7" t="n">
        <v>15.87</v>
      </c>
      <c r="AT156" s="7" t="n">
        <v>43.89</v>
      </c>
      <c r="AU156" s="7" t="n">
        <v>29.88</v>
      </c>
      <c r="AV156" s="2" t="inlineStr">
        <is>
          <t>超负荷</t>
        </is>
      </c>
      <c r="AW156" s="2" t="inlineStr">
        <is>
          <t>不一致</t>
        </is>
      </c>
      <c r="AX156" s="2" t="inlineStr">
        <is>
          <t>172ffea0-5754-49a3-9107-bc1ac995d9e7</t>
        </is>
      </c>
      <c r="AY156" s="2" t="inlineStr">
        <is>
          <t>技术质量部    李文娟</t>
        </is>
      </c>
      <c r="AZ156" s="2" t="inlineStr">
        <is>
          <t>Anonymous</t>
        </is>
      </c>
      <c r="BA156" s="2" t="inlineStr">
        <is>
          <t>Anonymous</t>
        </is>
      </c>
      <c r="BB156" s="2"/>
      <c r="BC156" s="2" t="inlineStr">
        <is>
          <t>2026-05-21 08:43:22</t>
        </is>
      </c>
      <c r="BD156" s="3" t="n">
        <v>1974</v>
      </c>
      <c r="BE156" s="3" t="n">
        <v>52</v>
      </c>
      <c r="BF156" s="2" t="inlineStr">
        <is>
          <t>A.无此需求</t>
        </is>
      </c>
      <c r="BG156" s="2" t="inlineStr">
        <is>
          <t>已生效</t>
        </is>
      </c>
      <c r="BH156" s="2" t="inlineStr">
        <is>
          <t>0dd1a9a6-d14f-4059-b54b-8abe19e59cc0</t>
        </is>
      </c>
      <c r="BI156" s="3" t="n">
        <v>1</v>
      </c>
      <c r="BJ156" s="2"/>
      <c r="BK156" s="2"/>
      <c r="BL156" s="2"/>
      <c r="BM156" s="2"/>
      <c r="BN156" s="2"/>
      <c r="BO156" s="2"/>
      <c r="BP156" s="2"/>
      <c r="BQ156" s="2"/>
      <c r="BR156" s="2"/>
      <c r="BS156" s="2" t="inlineStr">
        <is>
          <t>a39fd4cd-c059-4cbb-b980-b11e593f445f</t>
        </is>
      </c>
      <c r="BT156" s="3" t="n">
        <v>1</v>
      </c>
      <c r="BU156" s="2" t="inlineStr">
        <is>
          <t>专业技术类</t>
        </is>
      </c>
      <c r="BV156" s="2" t="inlineStr">
        <is>
          <t>参与公司大型工程的专项施工组织设计、专项施工方案，特种设备方案的审核，牵头组织危大专项方案的专家论证，整理专家论证报告</t>
        </is>
      </c>
      <c r="BW156" s="2" t="inlineStr">
        <is>
          <t>6-10次</t>
        </is>
      </c>
      <c r="BX156" s="3" t="n">
        <v>6</v>
      </c>
      <c r="BY156" s="3" t="n">
        <v>10</v>
      </c>
      <c r="BZ156" s="2" t="inlineStr">
        <is>
          <t>C.2-4小时</t>
        </is>
      </c>
      <c r="CA156" s="7" t="n">
        <v>2</v>
      </c>
      <c r="CB156" s="7" t="n">
        <v>4</v>
      </c>
      <c r="CC156" s="7" t="n">
        <v>12</v>
      </c>
      <c r="CD156" s="7" t="n">
        <v>40</v>
      </c>
      <c r="CE156" s="2" t="inlineStr">
        <is>
          <t>专业技术类</t>
        </is>
      </c>
      <c r="CF156" s="2"/>
      <c r="CG156" s="2" t="inlineStr">
        <is>
          <t>技术方案审查</t>
        </is>
      </c>
      <c r="CH156" s="2" t="inlineStr">
        <is>
          <t>跨部门协同</t>
        </is>
      </c>
      <c r="CI156" s="2" t="inlineStr">
        <is>
          <t>重要且紧急</t>
        </is>
      </c>
      <c r="CJ156" s="2" t="inlineStr">
        <is>
          <t>非标准化-无先例参考，需创新协调</t>
        </is>
      </c>
      <c r="CK156" s="2" t="inlineStr">
        <is>
          <t>低频（5%-10%）</t>
        </is>
      </c>
      <c r="CL156" s="2" t="inlineStr">
        <is>
          <t>脑力/复杂度负荷</t>
        </is>
      </c>
      <c r="CM156" s="2"/>
      <c r="CN156" s="2" t="inlineStr">
        <is>
          <t>42f83a26-543f-4b54-b564-f4be4621ccfe</t>
        </is>
      </c>
      <c r="CO156" s="3" t="n">
        <v>1</v>
      </c>
      <c r="CP156" s="2"/>
      <c r="CQ156" s="2"/>
      <c r="CR156" s="2"/>
      <c r="CS156" s="3"/>
      <c r="CT156" s="3"/>
      <c r="CU156" s="2"/>
      <c r="CV156" s="3"/>
      <c r="CW156" s="3"/>
      <c r="CX156" s="3"/>
      <c r="CY156" s="3"/>
      <c r="CZ156" s="2"/>
      <c r="DA156" s="2"/>
      <c r="DB156" s="2"/>
      <c r="DC156" s="2"/>
      <c r="DD156" s="2"/>
      <c r="DE156" s="2"/>
      <c r="DF156" s="2"/>
      <c r="DG156" s="2"/>
      <c r="DH156" s="2"/>
      <c r="DI156" s="2" t="inlineStr">
        <is>
          <t>ec8bdb36-9165-40ba-9401-aa23b67fb911</t>
        </is>
      </c>
      <c r="DJ156" s="3" t="n">
        <v>1</v>
      </c>
      <c r="DK156" s="2"/>
      <c r="DL156" s="2" t="inlineStr">
        <is>
          <t>负责收集整理特种设备安装项目台帐，以供换证用</t>
        </is>
      </c>
      <c r="DM156" s="2" t="inlineStr">
        <is>
          <t>1次</t>
        </is>
      </c>
      <c r="DN156" s="3" t="n">
        <v>1</v>
      </c>
      <c r="DO156" s="3" t="n">
        <v>1</v>
      </c>
      <c r="DP156" s="2" t="inlineStr">
        <is>
          <t>E.8小时以上</t>
        </is>
      </c>
      <c r="DQ156" s="7" t="n">
        <v>8</v>
      </c>
      <c r="DR156" s="7" t="n">
        <v>8</v>
      </c>
      <c r="DS156" s="7" t="n">
        <v>8</v>
      </c>
      <c r="DT156" s="7" t="n">
        <v>8</v>
      </c>
      <c r="DU156" s="2" t="inlineStr">
        <is>
          <t>数据报表类</t>
        </is>
      </c>
      <c r="DV156" s="2"/>
      <c r="DW156" s="2" t="inlineStr">
        <is>
          <t>月报</t>
        </is>
      </c>
      <c r="DX156" s="2" t="inlineStr">
        <is>
          <t>岗位职责</t>
        </is>
      </c>
      <c r="DY156" s="2" t="inlineStr">
        <is>
          <t>重要不紧急</t>
        </is>
      </c>
      <c r="DZ156" s="2" t="inlineStr">
        <is>
          <t>半标准化-有流程框架，需专业经验</t>
        </is>
      </c>
      <c r="EA156" s="2" t="inlineStr">
        <is>
          <t>极少（&lt;5%）</t>
        </is>
      </c>
      <c r="EB156" s="2" t="inlineStr">
        <is>
          <t>沟通/协调负荷</t>
        </is>
      </c>
      <c r="EC156" s="2"/>
      <c r="ED156" s="2" t="inlineStr">
        <is>
          <t>22a99920-bb6c-4b7c-a8f5-b867660dbb4b</t>
        </is>
      </c>
      <c r="EE156" s="3" t="n">
        <v>1</v>
      </c>
      <c r="EF156" s="2"/>
      <c r="EG156" s="2" t="inlineStr">
        <is>
          <t>参与公司特种设备安装、改造、维修等许可证的取证和换证工作，负责换证业绩资料的审核，整理以及专家组的陪审工作</t>
        </is>
      </c>
      <c r="EH156" s="2" t="inlineStr">
        <is>
          <t>1次</t>
        </is>
      </c>
      <c r="EI156" s="3" t="n">
        <v>1</v>
      </c>
      <c r="EJ156" s="2" t="inlineStr">
        <is>
          <t>E.8小时以上</t>
        </is>
      </c>
      <c r="EK156" s="7" t="n">
        <v>8</v>
      </c>
      <c r="EL156" s="7" t="n">
        <v>8</v>
      </c>
      <c r="EM156" s="7" t="n">
        <v>8</v>
      </c>
      <c r="EN156" s="7" t="n">
        <v>8</v>
      </c>
      <c r="EO156" s="2" t="inlineStr">
        <is>
          <t>专业技术类</t>
        </is>
      </c>
      <c r="EP156" s="2"/>
      <c r="EQ156" s="2" t="inlineStr">
        <is>
          <t>技术方案审查</t>
        </is>
      </c>
      <c r="ER156" s="2" t="inlineStr">
        <is>
          <t>跨部门协同</t>
        </is>
      </c>
      <c r="ES156" s="2" t="inlineStr">
        <is>
          <t>重要且紧急</t>
        </is>
      </c>
      <c r="ET156" s="2" t="inlineStr">
        <is>
          <t>非标准化-无先例参考，需创新协调</t>
        </is>
      </c>
      <c r="EU156" s="2" t="inlineStr">
        <is>
          <t>低频（5%-10%）</t>
        </is>
      </c>
      <c r="EV156" s="2" t="inlineStr">
        <is>
          <t>脑力/复杂度负荷</t>
        </is>
      </c>
      <c r="EW156" s="2"/>
      <c r="EX156" s="2" t="inlineStr">
        <is>
          <t>a3190ae7-e84d-4b61-909a-081126f05c9a</t>
        </is>
      </c>
      <c r="EY156" s="3" t="n">
        <v>1</v>
      </c>
      <c r="EZ156" s="2"/>
      <c r="FA156" s="2" t="inlineStr">
        <is>
          <t>标准宣贯及技术交流</t>
        </is>
      </c>
      <c r="FB156" s="2" t="inlineStr">
        <is>
          <t>每年3次以上</t>
        </is>
      </c>
      <c r="FC156" s="2" t="inlineStr">
        <is>
          <t>年</t>
        </is>
      </c>
      <c r="FD156" s="3" t="n">
        <v>3</v>
      </c>
      <c r="FE156" s="3" t="n">
        <v>3</v>
      </c>
      <c r="FF156" s="2" t="inlineStr">
        <is>
          <t>B.2小时以内</t>
        </is>
      </c>
      <c r="FG156" s="7" t="n">
        <v>2</v>
      </c>
      <c r="FH156" s="7" t="n">
        <v>2</v>
      </c>
      <c r="FI156" s="7" t="n">
        <v>0</v>
      </c>
      <c r="FJ156" s="7" t="n">
        <v>0</v>
      </c>
      <c r="FK156" s="7" t="n">
        <v>0</v>
      </c>
      <c r="FL156" s="7" t="n">
        <v>0</v>
      </c>
      <c r="FM156" s="7" t="n">
        <v>6</v>
      </c>
      <c r="FN156" s="7" t="n">
        <v>6</v>
      </c>
      <c r="FO156" s="2" t="inlineStr">
        <is>
          <t>专业技术类</t>
        </is>
      </c>
      <c r="FP156" s="2"/>
      <c r="FQ156" s="2" t="inlineStr">
        <is>
          <t>探索研发类工作</t>
        </is>
      </c>
      <c r="FR156" s="2" t="inlineStr">
        <is>
          <t>上级指令</t>
        </is>
      </c>
      <c r="FS156" s="2" t="inlineStr">
        <is>
          <t>重要且紧急</t>
        </is>
      </c>
      <c r="FT156" s="2" t="inlineStr">
        <is>
          <t>非标准化-无先例参考，需创新协调</t>
        </is>
      </c>
      <c r="FU156" s="2" t="inlineStr">
        <is>
          <t>极少（&lt;5%）</t>
        </is>
      </c>
      <c r="FV156" s="2" t="inlineStr">
        <is>
          <t>脑力/复杂度负荷</t>
        </is>
      </c>
      <c r="FW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t="inlineStr">
        <is>
          <t>db4a1c4d-f66a-4531-a453-abfd08caf3cb</t>
        </is>
      </c>
      <c r="BT157" s="3" t="n">
        <v>2</v>
      </c>
      <c r="BU157" s="2" t="inlineStr">
        <is>
          <t>协调沟通类</t>
        </is>
      </c>
      <c r="BV157" s="2" t="inlineStr">
        <is>
          <t>负责审核项目部申报的特种设备的告知、特种设备质量保证体系的建立</t>
        </is>
      </c>
      <c r="BW157" s="2" t="inlineStr">
        <is>
          <t>10次以上</t>
        </is>
      </c>
      <c r="BX157" s="3" t="n">
        <v>10</v>
      </c>
      <c r="BY157" s="3" t="n">
        <v>10</v>
      </c>
      <c r="BZ157" s="2" t="inlineStr">
        <is>
          <t>A.20分钟以内</t>
        </is>
      </c>
      <c r="CA157" s="7" t="n">
        <v>0.33</v>
      </c>
      <c r="CB157" s="7" t="n">
        <v>0.33</v>
      </c>
      <c r="CC157" s="7" t="n">
        <v>3.3</v>
      </c>
      <c r="CD157" s="7" t="n">
        <v>3.3</v>
      </c>
      <c r="CE157" s="2" t="inlineStr">
        <is>
          <t>协调沟通类</t>
        </is>
      </c>
      <c r="CF157" s="2"/>
      <c r="CG157" s="2" t="inlineStr">
        <is>
          <t>跨部门对接</t>
        </is>
      </c>
      <c r="CH157" s="2" t="inlineStr">
        <is>
          <t>岗位职责</t>
        </is>
      </c>
      <c r="CI157" s="2" t="inlineStr">
        <is>
          <t>重要且紧急</t>
        </is>
      </c>
      <c r="CJ157" s="2" t="inlineStr">
        <is>
          <t>半标准化-有流程框架，需专业经验</t>
        </is>
      </c>
      <c r="CK157" s="2" t="inlineStr">
        <is>
          <t>极少（&lt;5%）</t>
        </is>
      </c>
      <c r="CL157" s="2" t="inlineStr">
        <is>
          <t>沟通/协调负荷</t>
        </is>
      </c>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t="inlineStr">
        <is>
          <t>199fa6ca-ac7c-4065-b7cf-d20220c3f93d</t>
        </is>
      </c>
      <c r="EE157" s="3" t="n">
        <v>2</v>
      </c>
      <c r="EF157" s="2"/>
      <c r="EG157" s="2" t="inlineStr">
        <is>
          <t>负责全公司的工程竣工验收资料的完整性和规范性的审核，整改。并且负责交工资料与档案室的交接工作。</t>
        </is>
      </c>
      <c r="EH157" s="2" t="inlineStr">
        <is>
          <t>3次及以上</t>
        </is>
      </c>
      <c r="EI157" s="3" t="n">
        <v>3</v>
      </c>
      <c r="EJ157" s="2" t="inlineStr">
        <is>
          <t>B.2小时以内</t>
        </is>
      </c>
      <c r="EK157" s="7" t="n">
        <v>2</v>
      </c>
      <c r="EL157" s="7" t="n">
        <v>2</v>
      </c>
      <c r="EM157" s="7" t="n">
        <v>6</v>
      </c>
      <c r="EN157" s="7" t="n">
        <v>6</v>
      </c>
      <c r="EO157" s="2" t="inlineStr">
        <is>
          <t>专业技术类</t>
        </is>
      </c>
      <c r="EP157" s="2"/>
      <c r="EQ157" s="2" t="inlineStr">
        <is>
          <t>技术方案审查</t>
        </is>
      </c>
      <c r="ER157" s="2" t="inlineStr">
        <is>
          <t>跨部门协同</t>
        </is>
      </c>
      <c r="ES157" s="2" t="inlineStr">
        <is>
          <t>重要且紧急</t>
        </is>
      </c>
      <c r="ET157" s="2" t="inlineStr">
        <is>
          <t>非标准化-无先例参考，需创新协调</t>
        </is>
      </c>
      <c r="EU157" s="2" t="inlineStr">
        <is>
          <t>低频（5%-10%）</t>
        </is>
      </c>
      <c r="EV157" s="2" t="inlineStr">
        <is>
          <t>脑力/复杂度负荷</t>
        </is>
      </c>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t="inlineStr">
        <is>
          <t>9d3d9ee5-bd60-4f94-8c08-b27d141e4e45</t>
        </is>
      </c>
      <c r="EE158" s="3" t="n">
        <v>3</v>
      </c>
      <c r="EF158" s="2"/>
      <c r="EG158" s="2" t="inlineStr">
        <is>
          <t>负责申报公司级、部级、全国级的工法，挖掘项目上新设备、新材料、新工艺等关键技术点，督促相关人员编写工法和搞好工法管理。</t>
        </is>
      </c>
      <c r="EH158" s="2" t="inlineStr">
        <is>
          <t>1次</t>
        </is>
      </c>
      <c r="EI158" s="3" t="n">
        <v>1</v>
      </c>
      <c r="EJ158" s="2" t="inlineStr">
        <is>
          <t>C.2-4小时</t>
        </is>
      </c>
      <c r="EK158" s="7" t="n">
        <v>2</v>
      </c>
      <c r="EL158" s="7" t="n">
        <v>4</v>
      </c>
      <c r="EM158" s="7" t="n">
        <v>2</v>
      </c>
      <c r="EN158" s="7" t="n">
        <v>4</v>
      </c>
      <c r="EO158" s="2" t="inlineStr">
        <is>
          <t>专业技术类</t>
        </is>
      </c>
      <c r="EP158" s="2"/>
      <c r="EQ158" s="2" t="inlineStr">
        <is>
          <t>探索研发类工作</t>
        </is>
      </c>
      <c r="ER158" s="2" t="inlineStr">
        <is>
          <t>岗位职责</t>
        </is>
      </c>
      <c r="ES158" s="2" t="inlineStr">
        <is>
          <t>重要且紧急</t>
        </is>
      </c>
      <c r="ET158" s="2" t="inlineStr">
        <is>
          <t>非标准化-无先例参考，需创新协调</t>
        </is>
      </c>
      <c r="EU158" s="2" t="inlineStr">
        <is>
          <t>极少（&lt;5%）</t>
        </is>
      </c>
      <c r="EV158" s="2" t="inlineStr">
        <is>
          <t>脑力/复杂度负荷</t>
        </is>
      </c>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t="inlineStr">
        <is>
          <t>6f8cee6e-c2e6-4ec6-919b-add17ab3e3ac</t>
        </is>
      </c>
      <c r="EE159" s="3" t="n">
        <v>4</v>
      </c>
      <c r="EF159" s="2"/>
      <c r="EG159" s="2" t="inlineStr">
        <is>
          <t>负责申报各个协会年度优秀专项方案的工作，挑选优秀方案上传公司流程，以供技术人员参考</t>
        </is>
      </c>
      <c r="EH159" s="2" t="inlineStr">
        <is>
          <t>1次</t>
        </is>
      </c>
      <c r="EI159" s="3" t="n">
        <v>1</v>
      </c>
      <c r="EJ159" s="2" t="inlineStr">
        <is>
          <t>D.4-8小时</t>
        </is>
      </c>
      <c r="EK159" s="7" t="n">
        <v>4</v>
      </c>
      <c r="EL159" s="7" t="n">
        <v>8</v>
      </c>
      <c r="EM159" s="7" t="n">
        <v>4</v>
      </c>
      <c r="EN159" s="7" t="n">
        <v>8</v>
      </c>
      <c r="EO159" s="2" t="inlineStr">
        <is>
          <t>专业技术类</t>
        </is>
      </c>
      <c r="EP159" s="2"/>
      <c r="EQ159" s="2" t="inlineStr">
        <is>
          <t>技术方案审查</t>
        </is>
      </c>
      <c r="ER159" s="2" t="inlineStr">
        <is>
          <t>岗位职责</t>
        </is>
      </c>
      <c r="ES159" s="2" t="inlineStr">
        <is>
          <t>重要且紧急</t>
        </is>
      </c>
      <c r="ET159" s="2" t="inlineStr">
        <is>
          <t>非标准化-无先例参考，需创新协调</t>
        </is>
      </c>
      <c r="EU159" s="2" t="inlineStr">
        <is>
          <t>低频（5%-10%）</t>
        </is>
      </c>
      <c r="EV159" s="2" t="inlineStr">
        <is>
          <t>脑力/复杂度负荷</t>
        </is>
      </c>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t="inlineStr">
        <is>
          <t>a6c9b00b-8f4a-4929-a7ed-4062d281cb9c</t>
        </is>
      </c>
      <c r="EE160" s="3" t="n">
        <v>5</v>
      </c>
      <c r="EF160" s="2"/>
      <c r="EG160" s="2" t="inlineStr">
        <is>
          <t>参与公司质量管理体系运行的日常工作，参与项目部质量管理体系的内部审核以及公司每年体系的外审工作。参与HSE部年度的换证和外审工作</t>
        </is>
      </c>
      <c r="EH160" s="2" t="inlineStr">
        <is>
          <t>3次及以上</t>
        </is>
      </c>
      <c r="EI160" s="3" t="n">
        <v>3</v>
      </c>
      <c r="EJ160" s="2" t="inlineStr">
        <is>
          <t>E.8小时以上</t>
        </is>
      </c>
      <c r="EK160" s="7" t="n">
        <v>8</v>
      </c>
      <c r="EL160" s="7" t="n">
        <v>8</v>
      </c>
      <c r="EM160" s="7" t="n">
        <v>24</v>
      </c>
      <c r="EN160" s="7" t="n">
        <v>24</v>
      </c>
      <c r="EO160" s="2" t="inlineStr">
        <is>
          <t>专业技术类</t>
        </is>
      </c>
      <c r="EP160" s="2"/>
      <c r="EQ160" s="2" t="inlineStr">
        <is>
          <t>技术方案审查</t>
        </is>
      </c>
      <c r="ER160" s="2" t="inlineStr">
        <is>
          <t>岗位职责</t>
        </is>
      </c>
      <c r="ES160" s="2" t="inlineStr">
        <is>
          <t>重要且紧急</t>
        </is>
      </c>
      <c r="ET160" s="2" t="inlineStr">
        <is>
          <t>非标准化-无先例参考，需创新协调</t>
        </is>
      </c>
      <c r="EU160" s="2" t="inlineStr">
        <is>
          <t>极少（&lt;5%）</t>
        </is>
      </c>
      <c r="EV160" s="2" t="inlineStr">
        <is>
          <t>脑力/复杂度负荷</t>
        </is>
      </c>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row>
    <row r="161">
      <c r="A161" s="2" t="inlineStr">
        <is>
          <t>2026-05-18 15:19:17</t>
        </is>
      </c>
      <c r="B161" s="2" t="inlineStr">
        <is>
          <t>朱庆峰</t>
        </is>
      </c>
      <c r="C161" s="2" t="inlineStr">
        <is>
          <t>技术质量部</t>
        </is>
      </c>
      <c r="D161" s="2" t="inlineStr">
        <is>
          <t>男</t>
        </is>
      </c>
      <c r="E161" s="2" t="inlineStr">
        <is>
          <t>320123200108271234</t>
        </is>
      </c>
      <c r="F161" s="2" t="inlineStr">
        <is>
          <t>技术助理(二)</t>
        </is>
      </c>
      <c r="G161" s="2" t="inlineStr">
        <is>
          <t>2023-08</t>
        </is>
      </c>
      <c r="H161" s="2" t="inlineStr">
        <is>
          <t>金陵科技学院</t>
        </is>
      </c>
      <c r="I161" s="2" t="inlineStr">
        <is>
          <t>材料员</t>
        </is>
      </c>
      <c r="J161" s="2" t="inlineStr">
        <is>
          <t>本科</t>
        </is>
      </c>
      <c r="K161" s="2"/>
      <c r="L161" s="6">
        <f>HYPERLINK("https://www.h3yun.com/Form/Attachments/?schemacode=D1483577de63ede327d4760b10664bd57671d7e&amp;bizObjectId=3779d7b6-7de9-4d88-a862-562559834877&amp;name=F0000046","点击查看")</f>
        <v>0</v>
      </c>
      <c r="M161" s="2" t="inlineStr">
        <is>
          <t>无</t>
        </is>
      </c>
      <c r="N161" s="2" t="inlineStr">
        <is>
          <t>每日工作;每月工作;每季度/阶段性工作;临时/突发工作</t>
        </is>
      </c>
      <c r="O161" s="2" t="inlineStr">
        <is>
          <t>25岁</t>
        </is>
      </c>
      <c r="P161" s="2" t="inlineStr">
        <is>
          <t>B.已婚未育</t>
        </is>
      </c>
      <c r="Q161" s="2" t="inlineStr">
        <is>
          <t>A.否</t>
        </is>
      </c>
      <c r="R161" s="2"/>
      <c r="S161" s="2" t="inlineStr">
        <is>
          <t>D.希望承担更有挑战性的工作，并争取更大发展空间</t>
        </is>
      </c>
      <c r="T161" s="2" t="inlineStr">
        <is>
          <t>E.希望承担更重要、更有挑战的职责</t>
        </is>
      </c>
      <c r="U161" s="2" t="inlineStr">
        <is>
          <t>E.增加成长性和挑战性</t>
        </is>
      </c>
      <c r="V161" s="2" t="inlineStr">
        <is>
          <t>A.没有</t>
        </is>
      </c>
      <c r="W161" s="2"/>
      <c r="X161" s="2" t="inlineStr">
        <is>
          <t>C.均衡 (80%-100%)</t>
        </is>
      </c>
      <c r="Y161" s="2" t="inlineStr">
        <is>
          <t>E.项目服务按照项目作息考勤制加班;E.临时差旅、突发事件、会议加班;G.接收到任务分配单完成周期内要求的加班</t>
        </is>
      </c>
      <c r="Z161" s="2" t="inlineStr">
        <is>
          <t>探索研发类工作</t>
        </is>
      </c>
      <c r="AA161" s="2" t="inlineStr">
        <is>
          <t>无</t>
        </is>
      </c>
      <c r="AB161" s="2" t="inlineStr">
        <is>
          <t>无</t>
        </is>
      </c>
      <c r="AC161" s="2" t="inlineStr">
        <is>
          <t>B.基本匹配（正常履行）</t>
        </is>
      </c>
      <c r="AD161" s="2" t="inlineStr">
        <is>
          <t>无</t>
        </is>
      </c>
      <c r="AE161" s="2"/>
      <c r="AF161" s="2"/>
      <c r="AG161" s="2" t="inlineStr">
        <is>
          <t>D.配偶不是公司家属</t>
        </is>
      </c>
      <c r="AH161" s="2"/>
      <c r="AI161" s="7" t="n">
        <v>32</v>
      </c>
      <c r="AJ161" s="7" t="n">
        <v>60</v>
      </c>
      <c r="AK161" s="7" t="n">
        <v>0</v>
      </c>
      <c r="AL161" s="7" t="n">
        <v>0</v>
      </c>
      <c r="AM161" s="7" t="n">
        <v>1.45</v>
      </c>
      <c r="AN161" s="7" t="n">
        <v>2.18</v>
      </c>
      <c r="AO161" s="7" t="n">
        <v>0.06</v>
      </c>
      <c r="AP161" s="7" t="n">
        <v>0.06</v>
      </c>
      <c r="AQ161" s="7" t="n">
        <v>0.19</v>
      </c>
      <c r="AR161" s="7" t="n">
        <v>0.39</v>
      </c>
      <c r="AS161" s="7" t="n">
        <v>33.71</v>
      </c>
      <c r="AT161" s="7" t="n">
        <v>62.63</v>
      </c>
      <c r="AU161" s="7" t="n">
        <v>48.17</v>
      </c>
      <c r="AV161" s="2" t="inlineStr">
        <is>
          <t>超负荷</t>
        </is>
      </c>
      <c r="AW161" s="2" t="inlineStr">
        <is>
          <t>不一致</t>
        </is>
      </c>
      <c r="AX161" s="2" t="inlineStr">
        <is>
          <t>3779d7b6-7de9-4d88-a862-562559834877</t>
        </is>
      </c>
      <c r="AY161" s="2" t="inlineStr">
        <is>
          <t>技术质量部    朱庆峰</t>
        </is>
      </c>
      <c r="AZ161" s="2" t="inlineStr">
        <is>
          <t>Anonymous</t>
        </is>
      </c>
      <c r="BA161" s="2" t="inlineStr">
        <is>
          <t>Anonymous</t>
        </is>
      </c>
      <c r="BB161" s="2"/>
      <c r="BC161" s="2" t="inlineStr">
        <is>
          <t>2026-05-21 08:43:22</t>
        </is>
      </c>
      <c r="BD161" s="3" t="n">
        <v>2001</v>
      </c>
      <c r="BE161" s="3" t="n">
        <v>25</v>
      </c>
      <c r="BF161" s="2" t="inlineStr">
        <is>
          <t>A.无此需求</t>
        </is>
      </c>
      <c r="BG161" s="2" t="inlineStr">
        <is>
          <t>已生效</t>
        </is>
      </c>
      <c r="BH161" s="2" t="inlineStr">
        <is>
          <t>025f5fee-c083-4979-a208-d07797c71949</t>
        </is>
      </c>
      <c r="BI161" s="3" t="n">
        <v>1</v>
      </c>
      <c r="BJ161" s="2"/>
      <c r="BK161" s="2"/>
      <c r="BL161" s="2"/>
      <c r="BM161" s="2"/>
      <c r="BN161" s="2"/>
      <c r="BO161" s="2"/>
      <c r="BP161" s="2"/>
      <c r="BQ161" s="2"/>
      <c r="BR161" s="2"/>
      <c r="BS161" s="2" t="inlineStr">
        <is>
          <t>7f3bd00e-1139-4515-bc11-8177d5db504a</t>
        </is>
      </c>
      <c r="BT161" s="3" t="n">
        <v>1</v>
      </c>
      <c r="BU161" s="2" t="inlineStr">
        <is>
          <t>其他</t>
        </is>
      </c>
      <c r="BV161" s="2" t="inlineStr">
        <is>
          <t>协助完成高企体系的维护</t>
        </is>
      </c>
      <c r="BW161" s="2" t="inlineStr">
        <is>
          <t>6-10次</t>
        </is>
      </c>
      <c r="BX161" s="3" t="n">
        <v>6</v>
      </c>
      <c r="BY161" s="3" t="n">
        <v>10</v>
      </c>
      <c r="BZ161" s="2" t="inlineStr">
        <is>
          <t>B.2小时以内</t>
        </is>
      </c>
      <c r="CA161" s="7" t="n">
        <v>2</v>
      </c>
      <c r="CB161" s="7" t="n">
        <v>2</v>
      </c>
      <c r="CC161" s="7" t="n">
        <v>12</v>
      </c>
      <c r="CD161" s="7" t="n">
        <v>20</v>
      </c>
      <c r="CE161" s="2" t="inlineStr">
        <is>
          <t>其他</t>
        </is>
      </c>
      <c r="CF161" s="2" t="inlineStr">
        <is>
          <t>公司高新技术企业资质维护</t>
        </is>
      </c>
      <c r="CG161" s="2"/>
      <c r="CH161" s="2" t="inlineStr">
        <is>
          <t>上级指令</t>
        </is>
      </c>
      <c r="CI161" s="2" t="inlineStr">
        <is>
          <t>重要且紧急</t>
        </is>
      </c>
      <c r="CJ161" s="2" t="inlineStr">
        <is>
          <t>半标准化-有流程框架，需专业经验</t>
        </is>
      </c>
      <c r="CK161" s="2" t="inlineStr">
        <is>
          <t>低频（5%-10%）</t>
        </is>
      </c>
      <c r="CL161" s="2" t="inlineStr">
        <is>
          <t>沟通/协调负荷</t>
        </is>
      </c>
      <c r="CM161" s="2"/>
      <c r="CN161" s="2" t="inlineStr">
        <is>
          <t>600562e8-cf54-459a-941a-5faed680cb76</t>
        </is>
      </c>
      <c r="CO161" s="3" t="n">
        <v>1</v>
      </c>
      <c r="CP161" s="2"/>
      <c r="CQ161" s="2"/>
      <c r="CR161" s="2"/>
      <c r="CS161" s="3"/>
      <c r="CT161" s="3"/>
      <c r="CU161" s="2"/>
      <c r="CV161" s="3"/>
      <c r="CW161" s="3"/>
      <c r="CX161" s="3"/>
      <c r="CY161" s="3"/>
      <c r="CZ161" s="2"/>
      <c r="DA161" s="2"/>
      <c r="DB161" s="2"/>
      <c r="DC161" s="2"/>
      <c r="DD161" s="2"/>
      <c r="DE161" s="2"/>
      <c r="DF161" s="2"/>
      <c r="DG161" s="2"/>
      <c r="DH161" s="2"/>
      <c r="DI161" s="2" t="inlineStr">
        <is>
          <t>13fb49fb-f63d-42e4-b567-7dcdee374de5</t>
        </is>
      </c>
      <c r="DJ161" s="3" t="n">
        <v>1</v>
      </c>
      <c r="DK161" s="2"/>
      <c r="DL161" s="2" t="inlineStr">
        <is>
          <t>协助完成高企体系的维护</t>
        </is>
      </c>
      <c r="DM161" s="2" t="inlineStr">
        <is>
          <t>2-3次</t>
        </is>
      </c>
      <c r="DN161" s="3" t="n">
        <v>2</v>
      </c>
      <c r="DO161" s="3" t="n">
        <v>3</v>
      </c>
      <c r="DP161" s="2" t="inlineStr">
        <is>
          <t>E.8小时以上</t>
        </is>
      </c>
      <c r="DQ161" s="7" t="n">
        <v>8</v>
      </c>
      <c r="DR161" s="7" t="n">
        <v>8</v>
      </c>
      <c r="DS161" s="7" t="n">
        <v>16</v>
      </c>
      <c r="DT161" s="7" t="n">
        <v>24</v>
      </c>
      <c r="DU161" s="2" t="inlineStr">
        <is>
          <t>其他</t>
        </is>
      </c>
      <c r="DV161" s="2" t="inlineStr">
        <is>
          <t>涵盖高企所需的各类报表，论文创新等工作</t>
        </is>
      </c>
      <c r="DW161" s="2"/>
      <c r="DX161" s="2" t="inlineStr">
        <is>
          <t>上级指令</t>
        </is>
      </c>
      <c r="DY161" s="2" t="inlineStr">
        <is>
          <t>重要且紧急</t>
        </is>
      </c>
      <c r="DZ161" s="2" t="inlineStr">
        <is>
          <t>半标准化-有流程框架，需专业经验</t>
        </is>
      </c>
      <c r="EA161" s="2" t="inlineStr">
        <is>
          <t>低频（5%-10%）</t>
        </is>
      </c>
      <c r="EB161" s="2" t="inlineStr">
        <is>
          <t>脑力/复杂度负荷</t>
        </is>
      </c>
      <c r="EC161" s="2"/>
      <c r="ED161" s="2" t="inlineStr">
        <is>
          <t>2746eea5-fb18-43b8-905c-b18a5334bf5c</t>
        </is>
      </c>
      <c r="EE161" s="3" t="n">
        <v>1</v>
      </c>
      <c r="EF161" s="2"/>
      <c r="EG161" s="2" t="inlineStr">
        <is>
          <t>协助完成高企体系的维护</t>
        </is>
      </c>
      <c r="EH161" s="2" t="inlineStr">
        <is>
          <t>1次</t>
        </is>
      </c>
      <c r="EI161" s="3" t="n">
        <v>1</v>
      </c>
      <c r="EJ161" s="2" t="inlineStr">
        <is>
          <t>E.8小时以上</t>
        </is>
      </c>
      <c r="EK161" s="7" t="n">
        <v>8</v>
      </c>
      <c r="EL161" s="7" t="n">
        <v>8</v>
      </c>
      <c r="EM161" s="7" t="n">
        <v>8</v>
      </c>
      <c r="EN161" s="7" t="n">
        <v>8</v>
      </c>
      <c r="EO161" s="2" t="inlineStr">
        <is>
          <t>其他</t>
        </is>
      </c>
      <c r="EP161" s="2" t="inlineStr">
        <is>
          <t>企业高新技术，涵盖各类工作</t>
        </is>
      </c>
      <c r="EQ161" s="2"/>
      <c r="ER161" s="2" t="inlineStr">
        <is>
          <t>上级指令</t>
        </is>
      </c>
      <c r="ES161" s="2" t="inlineStr">
        <is>
          <t>重要且紧急</t>
        </is>
      </c>
      <c r="ET161" s="2" t="inlineStr">
        <is>
          <t>半标准化-有流程框架，需专业经验</t>
        </is>
      </c>
      <c r="EU161" s="2" t="inlineStr">
        <is>
          <t>低频（5%-10%）</t>
        </is>
      </c>
      <c r="EV161" s="2" t="inlineStr">
        <is>
          <t>脑力/复杂度负荷</t>
        </is>
      </c>
      <c r="EW161" s="2"/>
      <c r="EX161" s="2" t="inlineStr">
        <is>
          <t>002c3c08-563c-4af7-99ed-1a4ba8e9655c</t>
        </is>
      </c>
      <c r="EY161" s="3" t="n">
        <v>1</v>
      </c>
      <c r="EZ161" s="2"/>
      <c r="FA161" s="2" t="inlineStr">
        <is>
          <t>公司资质换证项目部资料审查</t>
        </is>
      </c>
      <c r="FB161" s="2" t="inlineStr">
        <is>
          <t>每季1-2次</t>
        </is>
      </c>
      <c r="FC161" s="2" t="inlineStr">
        <is>
          <t>季</t>
        </is>
      </c>
      <c r="FD161" s="3" t="n">
        <v>1</v>
      </c>
      <c r="FE161" s="3" t="n">
        <v>2</v>
      </c>
      <c r="FF161" s="2" t="inlineStr">
        <is>
          <t>E.8小时以上</t>
        </is>
      </c>
      <c r="FG161" s="7" t="n">
        <v>8</v>
      </c>
      <c r="FH161" s="7" t="n">
        <v>8</v>
      </c>
      <c r="FI161" s="7" t="n">
        <v>0</v>
      </c>
      <c r="FJ161" s="7" t="n">
        <v>0</v>
      </c>
      <c r="FK161" s="7" t="n">
        <v>8</v>
      </c>
      <c r="FL161" s="7" t="n">
        <v>16</v>
      </c>
      <c r="FM161" s="7" t="n">
        <v>0</v>
      </c>
      <c r="FN161" s="7" t="n">
        <v>0</v>
      </c>
      <c r="FO161" s="2" t="inlineStr">
        <is>
          <t>专业技术类</t>
        </is>
      </c>
      <c r="FP161" s="2"/>
      <c r="FQ161" s="2" t="inlineStr">
        <is>
          <t>专业问题协调</t>
        </is>
      </c>
      <c r="FR161" s="2" t="inlineStr">
        <is>
          <t>跨部门协同</t>
        </is>
      </c>
      <c r="FS161" s="2" t="inlineStr">
        <is>
          <t>重要且紧急</t>
        </is>
      </c>
      <c r="FT161" s="2" t="inlineStr">
        <is>
          <t>非标准化-无先例参考，需创新协调</t>
        </is>
      </c>
      <c r="FU161" s="2" t="inlineStr">
        <is>
          <t>极少（&lt;5%）</t>
        </is>
      </c>
      <c r="FV161" s="2" t="inlineStr">
        <is>
          <t>沟通/协调负荷</t>
        </is>
      </c>
      <c r="FW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t="inlineStr">
        <is>
          <t>ffdc9164-43a1-4332-8312-5bce16a0b0e9</t>
        </is>
      </c>
      <c r="BT162" s="3" t="n">
        <v>2</v>
      </c>
      <c r="BU162" s="2" t="inlineStr">
        <is>
          <t>专业技术类</t>
        </is>
      </c>
      <c r="BV162" s="2" t="inlineStr">
        <is>
          <t>各类公司换证申报</t>
        </is>
      </c>
      <c r="BW162" s="2" t="inlineStr">
        <is>
          <t>6-10次</t>
        </is>
      </c>
      <c r="BX162" s="3" t="n">
        <v>6</v>
      </c>
      <c r="BY162" s="3" t="n">
        <v>10</v>
      </c>
      <c r="BZ162" s="2" t="inlineStr">
        <is>
          <t>B.2小时以内</t>
        </is>
      </c>
      <c r="CA162" s="7" t="n">
        <v>2</v>
      </c>
      <c r="CB162" s="7" t="n">
        <v>2</v>
      </c>
      <c r="CC162" s="7" t="n">
        <v>12</v>
      </c>
      <c r="CD162" s="7" t="n">
        <v>20</v>
      </c>
      <c r="CE162" s="2" t="inlineStr">
        <is>
          <t>专业技术类</t>
        </is>
      </c>
      <c r="CF162" s="2"/>
      <c r="CG162" s="2" t="inlineStr">
        <is>
          <t>技术交底</t>
        </is>
      </c>
      <c r="CH162" s="2" t="inlineStr">
        <is>
          <t>上级指令</t>
        </is>
      </c>
      <c r="CI162" s="2" t="inlineStr">
        <is>
          <t>重要且紧急</t>
        </is>
      </c>
      <c r="CJ162" s="2" t="inlineStr">
        <is>
          <t>半标准化-有流程框架，需专业经验</t>
        </is>
      </c>
      <c r="CK162" s="2" t="inlineStr">
        <is>
          <t>低频（5%-10%）</t>
        </is>
      </c>
      <c r="CL162" s="2" t="inlineStr">
        <is>
          <t>脑力/复杂度负荷</t>
        </is>
      </c>
      <c r="CM162" s="2"/>
      <c r="CN162" s="2"/>
      <c r="CO162" s="2"/>
      <c r="CP162" s="2"/>
      <c r="CQ162" s="2"/>
      <c r="CR162" s="2"/>
      <c r="CS162" s="2"/>
      <c r="CT162" s="2"/>
      <c r="CU162" s="2"/>
      <c r="CV162" s="2"/>
      <c r="CW162" s="2"/>
      <c r="CX162" s="2"/>
      <c r="CY162" s="2"/>
      <c r="CZ162" s="2"/>
      <c r="DA162" s="2"/>
      <c r="DB162" s="2"/>
      <c r="DC162" s="2"/>
      <c r="DD162" s="2"/>
      <c r="DE162" s="2"/>
      <c r="DF162" s="2"/>
      <c r="DG162" s="2"/>
      <c r="DH162" s="2"/>
      <c r="DI162" s="2" t="inlineStr">
        <is>
          <t>42f0b842-f586-4d84-a3f6-90788172380b</t>
        </is>
      </c>
      <c r="DJ162" s="3" t="n">
        <v>2</v>
      </c>
      <c r="DK162" s="2"/>
      <c r="DL162" s="2" t="inlineStr">
        <is>
          <t>各类公司换证申报</t>
        </is>
      </c>
      <c r="DM162" s="2" t="inlineStr">
        <is>
          <t>2-3次</t>
        </is>
      </c>
      <c r="DN162" s="3" t="n">
        <v>2</v>
      </c>
      <c r="DO162" s="3" t="n">
        <v>3</v>
      </c>
      <c r="DP162" s="2" t="inlineStr">
        <is>
          <t>E.8小时以上</t>
        </is>
      </c>
      <c r="DQ162" s="7" t="n">
        <v>8</v>
      </c>
      <c r="DR162" s="7" t="n">
        <v>8</v>
      </c>
      <c r="DS162" s="7" t="n">
        <v>16</v>
      </c>
      <c r="DT162" s="7" t="n">
        <v>24</v>
      </c>
      <c r="DU162" s="2" t="inlineStr">
        <is>
          <t>专业技术类</t>
        </is>
      </c>
      <c r="DV162" s="2"/>
      <c r="DW162" s="2" t="inlineStr">
        <is>
          <t>技术交底</t>
        </is>
      </c>
      <c r="DX162" s="2" t="inlineStr">
        <is>
          <t>上级指令</t>
        </is>
      </c>
      <c r="DY162" s="2" t="inlineStr">
        <is>
          <t>重要且紧急</t>
        </is>
      </c>
      <c r="DZ162" s="2" t="inlineStr">
        <is>
          <t>半标准化-有流程框架，需专业经验</t>
        </is>
      </c>
      <c r="EA162" s="2" t="inlineStr">
        <is>
          <t>低频（5%-10%）</t>
        </is>
      </c>
      <c r="EB162" s="2" t="inlineStr">
        <is>
          <t>脑力/复杂度负荷</t>
        </is>
      </c>
      <c r="EC162" s="2"/>
      <c r="ED162" s="2" t="inlineStr">
        <is>
          <t>e7a58fe3-e43d-452c-be12-cc9b7364e206</t>
        </is>
      </c>
      <c r="EE162" s="3" t="n">
        <v>2</v>
      </c>
      <c r="EF162" s="2"/>
      <c r="EG162" s="2" t="inlineStr">
        <is>
          <t>各类公司换证申报</t>
        </is>
      </c>
      <c r="EH162" s="2" t="inlineStr">
        <is>
          <t>1次</t>
        </is>
      </c>
      <c r="EI162" s="3" t="n">
        <v>1</v>
      </c>
      <c r="EJ162" s="2" t="inlineStr">
        <is>
          <t>E.8小时以上</t>
        </is>
      </c>
      <c r="EK162" s="7" t="n">
        <v>8</v>
      </c>
      <c r="EL162" s="7" t="n">
        <v>8</v>
      </c>
      <c r="EM162" s="7" t="n">
        <v>8</v>
      </c>
      <c r="EN162" s="7" t="n">
        <v>8</v>
      </c>
      <c r="EO162" s="2" t="inlineStr">
        <is>
          <t>专业技术类</t>
        </is>
      </c>
      <c r="EP162" s="2"/>
      <c r="EQ162" s="2" t="inlineStr">
        <is>
          <t>技术交底</t>
        </is>
      </c>
      <c r="ER162" s="2" t="inlineStr">
        <is>
          <t>上级指令</t>
        </is>
      </c>
      <c r="ES162" s="2" t="inlineStr">
        <is>
          <t>重要且紧急</t>
        </is>
      </c>
      <c r="ET162" s="2" t="inlineStr">
        <is>
          <t>半标准化-有流程框架，需专业经验</t>
        </is>
      </c>
      <c r="EU162" s="2" t="inlineStr">
        <is>
          <t>低频（5%-10%）</t>
        </is>
      </c>
      <c r="EV162" s="2" t="inlineStr">
        <is>
          <t>脑力/复杂度负荷</t>
        </is>
      </c>
      <c r="EW162" s="2"/>
      <c r="EX162" s="2" t="inlineStr">
        <is>
          <t>46f99397-28ff-46f2-8e7e-c2ae5a7905cd</t>
        </is>
      </c>
      <c r="EY162" s="3" t="n">
        <v>2</v>
      </c>
      <c r="EZ162" s="2"/>
      <c r="FA162" s="2" t="inlineStr">
        <is>
          <t>现场管道施工质量控制</t>
        </is>
      </c>
      <c r="FB162" s="2" t="inlineStr">
        <is>
          <t>每年1-2次</t>
        </is>
      </c>
      <c r="FC162" s="2" t="inlineStr">
        <is>
          <t>年</t>
        </is>
      </c>
      <c r="FD162" s="3" t="n">
        <v>1</v>
      </c>
      <c r="FE162" s="3" t="n">
        <v>2</v>
      </c>
      <c r="FF162" s="2" t="inlineStr">
        <is>
          <t>E.8小时以上</t>
        </is>
      </c>
      <c r="FG162" s="7" t="n">
        <v>8</v>
      </c>
      <c r="FH162" s="7" t="n">
        <v>8</v>
      </c>
      <c r="FI162" s="7" t="n">
        <v>0</v>
      </c>
      <c r="FJ162" s="7" t="n">
        <v>0</v>
      </c>
      <c r="FK162" s="7" t="n">
        <v>0</v>
      </c>
      <c r="FL162" s="7" t="n">
        <v>0</v>
      </c>
      <c r="FM162" s="7" t="n">
        <v>8</v>
      </c>
      <c r="FN162" s="7" t="n">
        <v>16</v>
      </c>
      <c r="FO162" s="2" t="inlineStr">
        <is>
          <t>专业技术类</t>
        </is>
      </c>
      <c r="FP162" s="2"/>
      <c r="FQ162" s="2" t="inlineStr">
        <is>
          <t>专业问题协调</t>
        </is>
      </c>
      <c r="FR162" s="2" t="inlineStr">
        <is>
          <t>上级指令</t>
        </is>
      </c>
      <c r="FS162" s="2" t="inlineStr">
        <is>
          <t>重要且紧急</t>
        </is>
      </c>
      <c r="FT162" s="2" t="inlineStr">
        <is>
          <t>半标准化-有流程框架，需专业经验</t>
        </is>
      </c>
      <c r="FU162" s="2" t="inlineStr">
        <is>
          <t>极少（&lt;5%）</t>
        </is>
      </c>
      <c r="FV162" s="2" t="inlineStr">
        <is>
          <t>脑力/复杂度负荷</t>
        </is>
      </c>
      <c r="FW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t="inlineStr">
        <is>
          <t>b3783f20-12e0-4b8d-b05c-678d8b4a3db3</t>
        </is>
      </c>
      <c r="BT163" s="3" t="n">
        <v>3</v>
      </c>
      <c r="BU163" s="2" t="inlineStr">
        <is>
          <t>专业技术类</t>
        </is>
      </c>
      <c r="BV163" s="2" t="inlineStr">
        <is>
          <t>了解学习焊接专项方案的编制、焊接工艺评定（WPS/PQR）的编制</t>
        </is>
      </c>
      <c r="BW163" s="2" t="inlineStr">
        <is>
          <t>2-5次</t>
        </is>
      </c>
      <c r="BX163" s="3" t="n">
        <v>2</v>
      </c>
      <c r="BY163" s="3" t="n">
        <v>5</v>
      </c>
      <c r="BZ163" s="2" t="inlineStr">
        <is>
          <t>B.2小时以内</t>
        </is>
      </c>
      <c r="CA163" s="7" t="n">
        <v>2</v>
      </c>
      <c r="CB163" s="7" t="n">
        <v>2</v>
      </c>
      <c r="CC163" s="7" t="n">
        <v>4</v>
      </c>
      <c r="CD163" s="7" t="n">
        <v>10</v>
      </c>
      <c r="CE163" s="2" t="inlineStr">
        <is>
          <t>专业技术类</t>
        </is>
      </c>
      <c r="CF163" s="2"/>
      <c r="CG163" s="2" t="inlineStr">
        <is>
          <t>标准研究</t>
        </is>
      </c>
      <c r="CH163" s="2" t="inlineStr">
        <is>
          <t>自主发起</t>
        </is>
      </c>
      <c r="CI163" s="2" t="inlineStr">
        <is>
          <t>重要不紧急</t>
        </is>
      </c>
      <c r="CJ163" s="2" t="inlineStr">
        <is>
          <t>高度标准化-有成熟SOP，照做即可</t>
        </is>
      </c>
      <c r="CK163" s="2" t="inlineStr">
        <is>
          <t>低频（5%-10%）</t>
        </is>
      </c>
      <c r="CL163" s="2" t="inlineStr">
        <is>
          <t>脑力/复杂度负荷</t>
        </is>
      </c>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t="inlineStr">
        <is>
          <t>d5e4ab35-7c0b-4e66-aaa4-75a3c10af888</t>
        </is>
      </c>
      <c r="EY163" s="3" t="n">
        <v>3</v>
      </c>
      <c r="EZ163" s="2"/>
      <c r="FA163" s="2" t="inlineStr">
        <is>
          <t>现场材料设备质量控制</t>
        </is>
      </c>
      <c r="FB163" s="2" t="inlineStr">
        <is>
          <t>每年1-2次</t>
        </is>
      </c>
      <c r="FC163" s="2" t="inlineStr">
        <is>
          <t>年</t>
        </is>
      </c>
      <c r="FD163" s="3" t="n">
        <v>1</v>
      </c>
      <c r="FE163" s="3" t="n">
        <v>2</v>
      </c>
      <c r="FF163" s="2" t="inlineStr">
        <is>
          <t>E.8小时以上</t>
        </is>
      </c>
      <c r="FG163" s="7" t="n">
        <v>8</v>
      </c>
      <c r="FH163" s="7" t="n">
        <v>8</v>
      </c>
      <c r="FI163" s="7" t="n">
        <v>0</v>
      </c>
      <c r="FJ163" s="7" t="n">
        <v>0</v>
      </c>
      <c r="FK163" s="7" t="n">
        <v>0</v>
      </c>
      <c r="FL163" s="7" t="n">
        <v>0</v>
      </c>
      <c r="FM163" s="7" t="n">
        <v>8</v>
      </c>
      <c r="FN163" s="7" t="n">
        <v>16</v>
      </c>
      <c r="FO163" s="2" t="inlineStr">
        <is>
          <t>专业技术类</t>
        </is>
      </c>
      <c r="FP163" s="2"/>
      <c r="FQ163" s="2" t="inlineStr">
        <is>
          <t>专业问题协调</t>
        </is>
      </c>
      <c r="FR163" s="2" t="inlineStr">
        <is>
          <t>上级指令</t>
        </is>
      </c>
      <c r="FS163" s="2" t="inlineStr">
        <is>
          <t>重要且紧急</t>
        </is>
      </c>
      <c r="FT163" s="2" t="inlineStr">
        <is>
          <t>半标准化-有流程框架，需专业经验</t>
        </is>
      </c>
      <c r="FU163" s="2" t="inlineStr">
        <is>
          <t>极少（&lt;5%）</t>
        </is>
      </c>
      <c r="FV163" s="2" t="inlineStr">
        <is>
          <t>脑力/复杂度负荷</t>
        </is>
      </c>
      <c r="FW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t="inlineStr">
        <is>
          <t>77602a14-c54e-4d77-9d2d-dc2d984ff5bf</t>
        </is>
      </c>
      <c r="BT164" s="3" t="n">
        <v>4</v>
      </c>
      <c r="BU164" s="2" t="inlineStr">
        <is>
          <t>其他</t>
        </is>
      </c>
      <c r="BV164" s="2" t="inlineStr">
        <is>
          <t>完成部门分配的工作</t>
        </is>
      </c>
      <c r="BW164" s="2" t="inlineStr">
        <is>
          <t>2-5次</t>
        </is>
      </c>
      <c r="BX164" s="3" t="n">
        <v>2</v>
      </c>
      <c r="BY164" s="3" t="n">
        <v>5</v>
      </c>
      <c r="BZ164" s="2" t="inlineStr">
        <is>
          <t>B.2小时以内</t>
        </is>
      </c>
      <c r="CA164" s="7" t="n">
        <v>2</v>
      </c>
      <c r="CB164" s="7" t="n">
        <v>2</v>
      </c>
      <c r="CC164" s="7" t="n">
        <v>4</v>
      </c>
      <c r="CD164" s="7" t="n">
        <v>10</v>
      </c>
      <c r="CE164" s="2" t="inlineStr">
        <is>
          <t>其他</t>
        </is>
      </c>
      <c r="CF164" s="2" t="inlineStr">
        <is>
          <t>涵盖专业技术类，协调沟通类，流程审批类等</t>
        </is>
      </c>
      <c r="CG164" s="2"/>
      <c r="CH164" s="2" t="inlineStr">
        <is>
          <t>上级指令</t>
        </is>
      </c>
      <c r="CI164" s="2" t="inlineStr">
        <is>
          <t>重要且紧急</t>
        </is>
      </c>
      <c r="CJ164" s="2" t="inlineStr">
        <is>
          <t>半标准化-有流程框架，需专业经验</t>
        </is>
      </c>
      <c r="CK164" s="2" t="inlineStr">
        <is>
          <t>低频（5%-10%）</t>
        </is>
      </c>
      <c r="CL164" s="2" t="inlineStr">
        <is>
          <t>脑力/复杂度负荷</t>
        </is>
      </c>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row>
    <row r="165">
      <c r="A165" s="2" t="inlineStr">
        <is>
          <t>2026-05-18 15:06:07</t>
        </is>
      </c>
      <c r="B165" s="2" t="inlineStr">
        <is>
          <t>韩邢轩</t>
        </is>
      </c>
      <c r="C165" s="2" t="inlineStr">
        <is>
          <t>HSE部</t>
        </is>
      </c>
      <c r="D165" s="2" t="inlineStr">
        <is>
          <t>女</t>
        </is>
      </c>
      <c r="E165" s="2" t="inlineStr">
        <is>
          <t>320322199907165920</t>
        </is>
      </c>
      <c r="F165" s="2" t="inlineStr">
        <is>
          <t>技术助理(二)</t>
        </is>
      </c>
      <c r="G165" s="2" t="inlineStr">
        <is>
          <t>2022-09</t>
        </is>
      </c>
      <c r="H165" s="2" t="inlineStr">
        <is>
          <t>哈尔滨师范大学</t>
        </is>
      </c>
      <c r="I165" s="2" t="inlineStr">
        <is>
          <t>其他</t>
        </is>
      </c>
      <c r="J165" s="2" t="inlineStr">
        <is>
          <t>本科</t>
        </is>
      </c>
      <c r="K165" s="2"/>
      <c r="L165" s="6">
        <f>HYPERLINK("https://www.h3yun.com/Form/Attachments/?schemacode=D1483577de63ede327d4760b10664bd57671d7e&amp;bizObjectId=49033af8-0256-4b40-83c0-40573e719dab&amp;name=F0000046","点击查看")</f>
        <v>0</v>
      </c>
      <c r="M165" s="2" t="inlineStr">
        <is>
          <t>无</t>
        </is>
      </c>
      <c r="N165" s="2" t="inlineStr">
        <is>
          <t>每日工作;每周工作;每月工作;每季度/阶段性工作;临时/突发工作</t>
        </is>
      </c>
      <c r="O165" s="2" t="inlineStr">
        <is>
          <t>26-30岁</t>
        </is>
      </c>
      <c r="P165" s="2" t="inlineStr">
        <is>
          <t>B.已婚未育</t>
        </is>
      </c>
      <c r="Q165" s="2" t="inlineStr">
        <is>
          <t>A.否</t>
        </is>
      </c>
      <c r="R165" s="2" t="inlineStr">
        <is>
          <t>A.否</t>
        </is>
      </c>
      <c r="S165" s="2" t="inlineStr">
        <is>
          <t>C.希望工作压力适中，但职责边界更清晰</t>
        </is>
      </c>
      <c r="T165" s="2" t="inlineStr">
        <is>
          <t>C.工作较稳定，但发展空间不足</t>
        </is>
      </c>
      <c r="U165" s="2" t="inlineStr">
        <is>
          <t>D.明确职责边界</t>
        </is>
      </c>
      <c r="V165" s="2" t="inlineStr">
        <is>
          <t>A.没有</t>
        </is>
      </c>
      <c r="W165" s="2"/>
      <c r="X165" s="2" t="inlineStr">
        <is>
          <t>C.均衡 (80%-100%)</t>
        </is>
      </c>
      <c r="Y165" s="2" t="inlineStr">
        <is>
          <t>E.临时差旅、突发事件、会议加班</t>
        </is>
      </c>
      <c r="Z165" s="2" t="inlineStr">
        <is>
          <t>专项统计</t>
        </is>
      </c>
      <c r="AA165" s="2" t="inlineStr">
        <is>
          <t>无</t>
        </is>
      </c>
      <c r="AB165" s="2" t="inlineStr">
        <is>
          <t>月报</t>
        </is>
      </c>
      <c r="AC165" s="2" t="inlineStr">
        <is>
          <t>B.基本匹配（正常履行）</t>
        </is>
      </c>
      <c r="AD165" s="2" t="inlineStr">
        <is>
          <t>无</t>
        </is>
      </c>
      <c r="AE165" s="2" t="inlineStr">
        <is>
          <t>无</t>
        </is>
      </c>
      <c r="AF165" s="2" t="inlineStr">
        <is>
          <t>无</t>
        </is>
      </c>
      <c r="AG165" s="2" t="inlineStr">
        <is>
          <t>C.配偶为公司家属，常驻项目，但暂无照顾家庭的任务</t>
        </is>
      </c>
      <c r="AH165" s="2"/>
      <c r="AI165" s="7" t="n">
        <v>18</v>
      </c>
      <c r="AJ165" s="7" t="n">
        <v>42</v>
      </c>
      <c r="AK165" s="7" t="n">
        <v>2.8</v>
      </c>
      <c r="AL165" s="7" t="n">
        <v>5.2</v>
      </c>
      <c r="AM165" s="7" t="n">
        <v>1.73</v>
      </c>
      <c r="AN165" s="7" t="n">
        <v>2.18</v>
      </c>
      <c r="AO165" s="7" t="n">
        <v>0.12</v>
      </c>
      <c r="AP165" s="7" t="n">
        <v>0.17</v>
      </c>
      <c r="AQ165" s="7" t="n">
        <v>0.16</v>
      </c>
      <c r="AR165" s="7" t="n">
        <v>0.31</v>
      </c>
      <c r="AS165" s="7" t="n">
        <v>22.8</v>
      </c>
      <c r="AT165" s="7" t="n">
        <v>49.86</v>
      </c>
      <c r="AU165" s="7" t="n">
        <v>36.33</v>
      </c>
      <c r="AV165" s="2" t="inlineStr">
        <is>
          <t>超负荷</t>
        </is>
      </c>
      <c r="AW165" s="2" t="inlineStr">
        <is>
          <t>不一致</t>
        </is>
      </c>
      <c r="AX165" s="2" t="inlineStr">
        <is>
          <t>49033af8-0256-4b40-83c0-40573e719dab</t>
        </is>
      </c>
      <c r="AY165" s="2" t="inlineStr">
        <is>
          <t>HSE部    韩邢轩</t>
        </is>
      </c>
      <c r="AZ165" s="2" t="inlineStr">
        <is>
          <t>Anonymous</t>
        </is>
      </c>
      <c r="BA165" s="2" t="inlineStr">
        <is>
          <t>Anonymous</t>
        </is>
      </c>
      <c r="BB165" s="2"/>
      <c r="BC165" s="2" t="inlineStr">
        <is>
          <t>2026-05-21 08:43:22</t>
        </is>
      </c>
      <c r="BD165" s="3" t="n">
        <v>1999</v>
      </c>
      <c r="BE165" s="3" t="n">
        <v>27</v>
      </c>
      <c r="BF165" s="2" t="inlineStr">
        <is>
          <t>A.无此需求</t>
        </is>
      </c>
      <c r="BG165" s="2" t="inlineStr">
        <is>
          <t>已生效</t>
        </is>
      </c>
      <c r="BH165" s="2" t="inlineStr">
        <is>
          <t>7534eb07-31b9-4dcd-a628-b2fb8888fb8a</t>
        </is>
      </c>
      <c r="BI165" s="3" t="n">
        <v>1</v>
      </c>
      <c r="BJ165" s="2"/>
      <c r="BK165" s="2"/>
      <c r="BL165" s="2"/>
      <c r="BM165" s="2"/>
      <c r="BN165" s="2"/>
      <c r="BO165" s="2"/>
      <c r="BP165" s="2"/>
      <c r="BQ165" s="2"/>
      <c r="BR165" s="2"/>
      <c r="BS165" s="2" t="inlineStr">
        <is>
          <t>a39b93dd-fec6-4b73-bd0c-b07784ba54b1</t>
        </is>
      </c>
      <c r="BT165" s="3" t="n">
        <v>1</v>
      </c>
      <c r="BU165" s="2" t="inlineStr">
        <is>
          <t>行政事务类</t>
        </is>
      </c>
      <c r="BV165" s="2" t="inlineStr">
        <is>
          <t>日常维护安全台账记录与管理</t>
        </is>
      </c>
      <c r="BW165" s="2" t="inlineStr">
        <is>
          <t>2-5次</t>
        </is>
      </c>
      <c r="BX165" s="3" t="n">
        <v>2</v>
      </c>
      <c r="BY165" s="3" t="n">
        <v>5</v>
      </c>
      <c r="BZ165" s="2" t="inlineStr">
        <is>
          <t>B.2小时以内</t>
        </is>
      </c>
      <c r="CA165" s="7" t="n">
        <v>2</v>
      </c>
      <c r="CB165" s="7" t="n">
        <v>2</v>
      </c>
      <c r="CC165" s="7" t="n">
        <v>4</v>
      </c>
      <c r="CD165" s="7" t="n">
        <v>10</v>
      </c>
      <c r="CE165" s="2" t="inlineStr">
        <is>
          <t>行政事务类</t>
        </is>
      </c>
      <c r="CF165" s="2"/>
      <c r="CG165" s="2" t="inlineStr">
        <is>
          <t>日常台账</t>
        </is>
      </c>
      <c r="CH165" s="2" t="inlineStr">
        <is>
          <t>岗位职责</t>
        </is>
      </c>
      <c r="CI165" s="2" t="inlineStr">
        <is>
          <t>重要不紧急</t>
        </is>
      </c>
      <c r="CJ165" s="2" t="inlineStr">
        <is>
          <t>半标准化-有流程框架，需专业经验</t>
        </is>
      </c>
      <c r="CK165" s="2" t="inlineStr">
        <is>
          <t>极少（&lt;5%）</t>
        </is>
      </c>
      <c r="CL165" s="2" t="inlineStr">
        <is>
          <t>沟通/协调负荷</t>
        </is>
      </c>
      <c r="CM165" s="2" t="inlineStr">
        <is>
          <t>HSE会议台账、HSE培训台账、HSE检查台账、内外审记录归档等</t>
        </is>
      </c>
      <c r="CN165" s="2" t="inlineStr">
        <is>
          <t>4301dab2-9e71-4abe-863d-19eda8fd9af4</t>
        </is>
      </c>
      <c r="CO165" s="3" t="n">
        <v>1</v>
      </c>
      <c r="CP165" s="2"/>
      <c r="CQ165" s="2" t="inlineStr">
        <is>
          <t>FileZilla系统维护</t>
        </is>
      </c>
      <c r="CR165" s="2" t="inlineStr">
        <is>
          <t>2-3次</t>
        </is>
      </c>
      <c r="CS165" s="3" t="n">
        <v>2</v>
      </c>
      <c r="CT165" s="3" t="n">
        <v>3</v>
      </c>
      <c r="CU165" s="2" t="inlineStr">
        <is>
          <t>B.2小时以内</t>
        </is>
      </c>
      <c r="CV165" s="7" t="n">
        <v>2</v>
      </c>
      <c r="CW165" s="7" t="n">
        <v>2</v>
      </c>
      <c r="CX165" s="7" t="n">
        <v>4</v>
      </c>
      <c r="CY165" s="7" t="n">
        <v>6</v>
      </c>
      <c r="CZ165" s="2" t="inlineStr">
        <is>
          <t>行政事务类</t>
        </is>
      </c>
      <c r="DA165" s="2"/>
      <c r="DB165" s="2" t="inlineStr">
        <is>
          <t>日常台账</t>
        </is>
      </c>
      <c r="DC165" s="2" t="inlineStr">
        <is>
          <t>岗位职责</t>
        </is>
      </c>
      <c r="DD165" s="2" t="inlineStr">
        <is>
          <t>重要不紧急</t>
        </is>
      </c>
      <c r="DE165" s="2" t="inlineStr">
        <is>
          <t>高度标准化-有成熟SOP，照做即可</t>
        </is>
      </c>
      <c r="DF165" s="2" t="inlineStr">
        <is>
          <t>极少（&lt;5%）</t>
        </is>
      </c>
      <c r="DG165" s="2" t="inlineStr">
        <is>
          <t>沟通/协调负荷</t>
        </is>
      </c>
      <c r="DH165" s="2" t="inlineStr">
        <is>
          <t>hse相关资料上传至FileZilla系统</t>
        </is>
      </c>
      <c r="DI165" s="2" t="inlineStr">
        <is>
          <t>360ae339-bf70-42c9-9269-3690ff19d8aa</t>
        </is>
      </c>
      <c r="DJ165" s="3" t="n">
        <v>1</v>
      </c>
      <c r="DK165" s="2"/>
      <c r="DL165" s="2" t="inlineStr">
        <is>
          <t>各片区月度安全管理数据汇总统计</t>
        </is>
      </c>
      <c r="DM165" s="2" t="inlineStr">
        <is>
          <t>1次</t>
        </is>
      </c>
      <c r="DN165" s="3" t="n">
        <v>1</v>
      </c>
      <c r="DO165" s="3" t="n">
        <v>1</v>
      </c>
      <c r="DP165" s="2" t="inlineStr">
        <is>
          <t>D.4-8小时</t>
        </is>
      </c>
      <c r="DQ165" s="7" t="n">
        <v>4</v>
      </c>
      <c r="DR165" s="7" t="n">
        <v>8</v>
      </c>
      <c r="DS165" s="7" t="n">
        <v>4</v>
      </c>
      <c r="DT165" s="7" t="n">
        <v>8</v>
      </c>
      <c r="DU165" s="2" t="inlineStr">
        <is>
          <t>数据报表类</t>
        </is>
      </c>
      <c r="DV165" s="2"/>
      <c r="DW165" s="2" t="inlineStr">
        <is>
          <t>月报</t>
        </is>
      </c>
      <c r="DX165" s="2" t="inlineStr">
        <is>
          <t>岗位职责</t>
        </is>
      </c>
      <c r="DY165" s="2" t="inlineStr">
        <is>
          <t>重要且紧急</t>
        </is>
      </c>
      <c r="DZ165" s="2" t="inlineStr">
        <is>
          <t>半标准化-有流程框架，需专业经验</t>
        </is>
      </c>
      <c r="EA165" s="2" t="inlineStr">
        <is>
          <t>极少（&lt;5%）</t>
        </is>
      </c>
      <c r="EB165" s="2" t="inlineStr">
        <is>
          <t>沟通/协调负荷</t>
        </is>
      </c>
      <c r="EC165" s="2"/>
      <c r="ED165" s="2" t="inlineStr">
        <is>
          <t>01e148da-5f61-4f88-be73-be09f750f7c2</t>
        </is>
      </c>
      <c r="EE165" s="3" t="n">
        <v>1</v>
      </c>
      <c r="EF165" s="2"/>
      <c r="EG165" s="2" t="inlineStr">
        <is>
          <t>一季度安全展板策划</t>
        </is>
      </c>
      <c r="EH165" s="2" t="inlineStr">
        <is>
          <t>1次</t>
        </is>
      </c>
      <c r="EI165" s="3" t="n">
        <v>1</v>
      </c>
      <c r="EJ165" s="2" t="inlineStr">
        <is>
          <t>D.4-8小时</t>
        </is>
      </c>
      <c r="EK165" s="7" t="n">
        <v>4</v>
      </c>
      <c r="EL165" s="7" t="n">
        <v>8</v>
      </c>
      <c r="EM165" s="7" t="n">
        <v>4</v>
      </c>
      <c r="EN165" s="7" t="n">
        <v>8</v>
      </c>
      <c r="EO165" s="2" t="inlineStr">
        <is>
          <t>协调沟通类</t>
        </is>
      </c>
      <c r="EP165" s="2"/>
      <c r="EQ165" s="2" t="inlineStr">
        <is>
          <t>外部联络</t>
        </is>
      </c>
      <c r="ER165" s="2" t="inlineStr">
        <is>
          <t>上级指令</t>
        </is>
      </c>
      <c r="ES165" s="2" t="inlineStr">
        <is>
          <t>重要且紧急</t>
        </is>
      </c>
      <c r="ET165" s="2" t="inlineStr">
        <is>
          <t>高度标准化-有成熟SOP，照做即可</t>
        </is>
      </c>
      <c r="EU165" s="2" t="inlineStr">
        <is>
          <t>极少（&lt;5%）</t>
        </is>
      </c>
      <c r="EV165" s="2" t="inlineStr">
        <is>
          <t>沟通/协调负荷</t>
        </is>
      </c>
      <c r="EW165" s="2" t="inlineStr">
        <is>
          <t>收集各分公司优秀安全图片，完成安全展板排版工作。</t>
        </is>
      </c>
      <c r="EX165" s="2" t="inlineStr">
        <is>
          <t>94f90c71-be2e-4a4c-a28d-2486d125831e</t>
        </is>
      </c>
      <c r="EY165" s="3" t="n">
        <v>1</v>
      </c>
      <c r="EZ165" s="2"/>
      <c r="FA165" s="2" t="inlineStr">
        <is>
          <t>绿色施工评价审核工作</t>
        </is>
      </c>
      <c r="FB165" s="2" t="inlineStr">
        <is>
          <t>每年1-2次</t>
        </is>
      </c>
      <c r="FC165" s="2" t="inlineStr">
        <is>
          <t>年</t>
        </is>
      </c>
      <c r="FD165" s="3" t="n">
        <v>1</v>
      </c>
      <c r="FE165" s="3" t="n">
        <v>2</v>
      </c>
      <c r="FF165" s="2" t="inlineStr">
        <is>
          <t>E.8小时以上</t>
        </is>
      </c>
      <c r="FG165" s="7" t="n">
        <v>8</v>
      </c>
      <c r="FH165" s="7" t="n">
        <v>8</v>
      </c>
      <c r="FI165" s="7" t="n">
        <v>0</v>
      </c>
      <c r="FJ165" s="7" t="n">
        <v>0</v>
      </c>
      <c r="FK165" s="7" t="n">
        <v>0</v>
      </c>
      <c r="FL165" s="7" t="n">
        <v>0</v>
      </c>
      <c r="FM165" s="7" t="n">
        <v>8</v>
      </c>
      <c r="FN165" s="7" t="n">
        <v>16</v>
      </c>
      <c r="FO165" s="2" t="inlineStr">
        <is>
          <t>综合管理类</t>
        </is>
      </c>
      <c r="FP165" s="2"/>
      <c r="FQ165" s="2" t="inlineStr">
        <is>
          <t>专题工作推进</t>
        </is>
      </c>
      <c r="FR165" s="2" t="inlineStr">
        <is>
          <t>上级指令</t>
        </is>
      </c>
      <c r="FS165" s="2" t="inlineStr">
        <is>
          <t>重要且紧急</t>
        </is>
      </c>
      <c r="FT165" s="2" t="inlineStr">
        <is>
          <t>半标准化-有流程框架，需专业经验</t>
        </is>
      </c>
      <c r="FU165" s="2" t="inlineStr">
        <is>
          <t>极少（&lt;5%）</t>
        </is>
      </c>
      <c r="FV165" s="2" t="inlineStr">
        <is>
          <t>沟通/协调负荷</t>
        </is>
      </c>
      <c r="FW165" s="2" t="inlineStr">
        <is>
          <t>协调会务保障及资料配合</t>
        </is>
      </c>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t="inlineStr">
        <is>
          <t>13ce4bbd-3706-44e3-9a2f-d91834333deb</t>
        </is>
      </c>
      <c r="BT166" s="3" t="n">
        <v>2</v>
      </c>
      <c r="BU166" s="2" t="inlineStr">
        <is>
          <t>行政事务类</t>
        </is>
      </c>
      <c r="BV166" s="2" t="inlineStr">
        <is>
          <t>日常安全工作沟通对接、文件收发、资料归档</t>
        </is>
      </c>
      <c r="BW166" s="2" t="inlineStr">
        <is>
          <t>2-5次</t>
        </is>
      </c>
      <c r="BX166" s="3" t="n">
        <v>2</v>
      </c>
      <c r="BY166" s="3" t="n">
        <v>5</v>
      </c>
      <c r="BZ166" s="2" t="inlineStr">
        <is>
          <t>B.2小时以内</t>
        </is>
      </c>
      <c r="CA166" s="7" t="n">
        <v>2</v>
      </c>
      <c r="CB166" s="7" t="n">
        <v>2</v>
      </c>
      <c r="CC166" s="7" t="n">
        <v>4</v>
      </c>
      <c r="CD166" s="7" t="n">
        <v>10</v>
      </c>
      <c r="CE166" s="2" t="inlineStr">
        <is>
          <t>行政事务类</t>
        </is>
      </c>
      <c r="CF166" s="2"/>
      <c r="CG166" s="2" t="inlineStr">
        <is>
          <t>通知起草</t>
        </is>
      </c>
      <c r="CH166" s="2" t="inlineStr">
        <is>
          <t>岗位职责</t>
        </is>
      </c>
      <c r="CI166" s="2" t="inlineStr">
        <is>
          <t>重要不紧急</t>
        </is>
      </c>
      <c r="CJ166" s="2" t="inlineStr">
        <is>
          <t>高度标准化-有成熟SOP，照做即可</t>
        </is>
      </c>
      <c r="CK166" s="2" t="inlineStr">
        <is>
          <t>极少（&lt;5%）</t>
        </is>
      </c>
      <c r="CL166" s="2" t="inlineStr">
        <is>
          <t>沟通/协调负荷</t>
        </is>
      </c>
      <c r="CM166" s="2"/>
      <c r="CN166" s="2" t="inlineStr">
        <is>
          <t>ef2de5a3-6af7-4aa5-a2d7-2f22cac6d2c8</t>
        </is>
      </c>
      <c r="CO166" s="3" t="n">
        <v>2</v>
      </c>
      <c r="CP166" s="2"/>
      <c r="CQ166" s="2" t="inlineStr">
        <is>
          <t>安全隐患整改情况跟踪、安全隐患数量核对、汇总上报</t>
        </is>
      </c>
      <c r="CR166" s="2" t="inlineStr">
        <is>
          <t>2-3次</t>
        </is>
      </c>
      <c r="CS166" s="3" t="n">
        <v>2</v>
      </c>
      <c r="CT166" s="3" t="n">
        <v>3</v>
      </c>
      <c r="CU166" s="2" t="inlineStr">
        <is>
          <t>B.2小时以内</t>
        </is>
      </c>
      <c r="CV166" s="7" t="n">
        <v>2</v>
      </c>
      <c r="CW166" s="7" t="n">
        <v>2</v>
      </c>
      <c r="CX166" s="7" t="n">
        <v>4</v>
      </c>
      <c r="CY166" s="7" t="n">
        <v>6</v>
      </c>
      <c r="CZ166" s="2" t="inlineStr">
        <is>
          <t>监督检查类</t>
        </is>
      </c>
      <c r="DA166" s="2"/>
      <c r="DB166" s="2" t="inlineStr">
        <is>
          <t>专项检查</t>
        </is>
      </c>
      <c r="DC166" s="2" t="inlineStr">
        <is>
          <t>岗位职责</t>
        </is>
      </c>
      <c r="DD166" s="2" t="inlineStr">
        <is>
          <t>重要不紧急</t>
        </is>
      </c>
      <c r="DE166" s="2" t="inlineStr">
        <is>
          <t>高度标准化-有成熟SOP，照做即可</t>
        </is>
      </c>
      <c r="DF166" s="2" t="inlineStr">
        <is>
          <t>极少（&lt;5%）</t>
        </is>
      </c>
      <c r="DG166" s="2" t="inlineStr">
        <is>
          <t>沟通/协调负荷</t>
        </is>
      </c>
      <c r="DH166" s="2"/>
      <c r="DI166" s="2" t="inlineStr">
        <is>
          <t>5a5d8911-3e85-4919-8b51-80052ac31bc0</t>
        </is>
      </c>
      <c r="DJ166" s="3" t="n">
        <v>2</v>
      </c>
      <c r="DK166" s="2"/>
      <c r="DL166" s="2" t="inlineStr">
        <is>
          <t>各片区月度安全措施费汇总统计</t>
        </is>
      </c>
      <c r="DM166" s="2" t="inlineStr">
        <is>
          <t>1次</t>
        </is>
      </c>
      <c r="DN166" s="3" t="n">
        <v>1</v>
      </c>
      <c r="DO166" s="3" t="n">
        <v>1</v>
      </c>
      <c r="DP166" s="2" t="inlineStr">
        <is>
          <t>D.4-8小时</t>
        </is>
      </c>
      <c r="DQ166" s="7" t="n">
        <v>4</v>
      </c>
      <c r="DR166" s="7" t="n">
        <v>8</v>
      </c>
      <c r="DS166" s="7" t="n">
        <v>4</v>
      </c>
      <c r="DT166" s="7" t="n">
        <v>8</v>
      </c>
      <c r="DU166" s="2" t="inlineStr">
        <is>
          <t>数据报表类</t>
        </is>
      </c>
      <c r="DV166" s="2"/>
      <c r="DW166" s="2" t="inlineStr">
        <is>
          <t>经营数据汇总</t>
        </is>
      </c>
      <c r="DX166" s="2" t="inlineStr">
        <is>
          <t>部门计划</t>
        </is>
      </c>
      <c r="DY166" s="2" t="inlineStr">
        <is>
          <t>重要且紧急</t>
        </is>
      </c>
      <c r="DZ166" s="2" t="inlineStr">
        <is>
          <t>半标准化-有流程框架，需专业经验</t>
        </is>
      </c>
      <c r="EA166" s="2" t="inlineStr">
        <is>
          <t>极少（&lt;5%）</t>
        </is>
      </c>
      <c r="EB166" s="2" t="inlineStr">
        <is>
          <t>沟通/协调负荷</t>
        </is>
      </c>
      <c r="EC166" s="2"/>
      <c r="ED166" s="2" t="inlineStr">
        <is>
          <t>4a52e4a2-96d5-4a19-9f99-409080107066</t>
        </is>
      </c>
      <c r="EE166" s="3" t="n">
        <v>2</v>
      </c>
      <c r="EF166" s="2"/>
      <c r="EG166" s="2" t="inlineStr">
        <is>
          <t>每季度安委会数据上报</t>
        </is>
      </c>
      <c r="EH166" s="2" t="inlineStr">
        <is>
          <t>1次</t>
        </is>
      </c>
      <c r="EI166" s="3" t="n">
        <v>1</v>
      </c>
      <c r="EJ166" s="2" t="inlineStr">
        <is>
          <t>B.2小时以内</t>
        </is>
      </c>
      <c r="EK166" s="7" t="n">
        <v>2</v>
      </c>
      <c r="EL166" s="7" t="n">
        <v>2</v>
      </c>
      <c r="EM166" s="7" t="n">
        <v>2</v>
      </c>
      <c r="EN166" s="7" t="n">
        <v>2</v>
      </c>
      <c r="EO166" s="2" t="inlineStr">
        <is>
          <t>数据报表类</t>
        </is>
      </c>
      <c r="EP166" s="2"/>
      <c r="EQ166" s="2" t="inlineStr">
        <is>
          <t>专项统计</t>
        </is>
      </c>
      <c r="ER166" s="2" t="inlineStr">
        <is>
          <t>上级指令</t>
        </is>
      </c>
      <c r="ES166" s="2" t="inlineStr">
        <is>
          <t>重要且紧急</t>
        </is>
      </c>
      <c r="ET166" s="2" t="inlineStr">
        <is>
          <t>高度标准化-有成熟SOP，照做即可</t>
        </is>
      </c>
      <c r="EU166" s="2" t="inlineStr">
        <is>
          <t>极少（&lt;5%）</t>
        </is>
      </c>
      <c r="EV166" s="2" t="inlineStr">
        <is>
          <t>沟通/协调负荷</t>
        </is>
      </c>
      <c r="EW166" s="2" t="inlineStr">
        <is>
          <t>季度数据汇总</t>
        </is>
      </c>
      <c r="EX166" s="2" t="inlineStr">
        <is>
          <t>43479fc9-00fd-4374-a09c-1b35d6fc0afd</t>
        </is>
      </c>
      <c r="EY166" s="3" t="n">
        <v>2</v>
      </c>
      <c r="EZ166" s="2"/>
      <c r="FA166" s="2" t="inlineStr">
        <is>
          <t>化工装置拆除再评价审核工作及服务费用报销</t>
        </is>
      </c>
      <c r="FB166" s="2" t="inlineStr">
        <is>
          <t>每年1-2次</t>
        </is>
      </c>
      <c r="FC166" s="2" t="inlineStr">
        <is>
          <t>年</t>
        </is>
      </c>
      <c r="FD166" s="3" t="n">
        <v>1</v>
      </c>
      <c r="FE166" s="3" t="n">
        <v>2</v>
      </c>
      <c r="FF166" s="2" t="inlineStr">
        <is>
          <t>E.8小时以上</t>
        </is>
      </c>
      <c r="FG166" s="7" t="n">
        <v>8</v>
      </c>
      <c r="FH166" s="7" t="n">
        <v>8</v>
      </c>
      <c r="FI166" s="7" t="n">
        <v>0</v>
      </c>
      <c r="FJ166" s="7" t="n">
        <v>0</v>
      </c>
      <c r="FK166" s="7" t="n">
        <v>0</v>
      </c>
      <c r="FL166" s="7" t="n">
        <v>0</v>
      </c>
      <c r="FM166" s="7" t="n">
        <v>8</v>
      </c>
      <c r="FN166" s="7" t="n">
        <v>16</v>
      </c>
      <c r="FO166" s="2" t="inlineStr">
        <is>
          <t>流程审批类</t>
        </is>
      </c>
      <c r="FP166" s="2"/>
      <c r="FQ166" s="2" t="inlineStr">
        <is>
          <t>费用报销流程</t>
        </is>
      </c>
      <c r="FR166" s="2" t="inlineStr">
        <is>
          <t>上级指令</t>
        </is>
      </c>
      <c r="FS166" s="2" t="inlineStr">
        <is>
          <t>重要且紧急</t>
        </is>
      </c>
      <c r="FT166" s="2" t="inlineStr">
        <is>
          <t>高度标准化-有成熟SOP，照做即可</t>
        </is>
      </c>
      <c r="FU166" s="2" t="inlineStr">
        <is>
          <t>极少（&lt;5%）</t>
        </is>
      </c>
      <c r="FV166" s="2" t="inlineStr">
        <is>
          <t>沟通/协调负荷</t>
        </is>
      </c>
      <c r="FW166" s="2" t="inlineStr">
        <is>
          <t>与检查组老师提前沟通，进行服务费报销</t>
        </is>
      </c>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t="inlineStr">
        <is>
          <t>4f863ac7-28cc-4995-8c9a-1f5db064527f</t>
        </is>
      </c>
      <c r="BT167" s="3" t="n">
        <v>3</v>
      </c>
      <c r="BU167" s="2" t="inlineStr">
        <is>
          <t>行政事务类</t>
        </is>
      </c>
      <c r="BV167" s="2" t="inlineStr">
        <is>
          <t>各片区安全管理数据日常收集、核对、初步整理</t>
        </is>
      </c>
      <c r="BW167" s="2" t="inlineStr">
        <is>
          <t>2-5次</t>
        </is>
      </c>
      <c r="BX167" s="3" t="n">
        <v>2</v>
      </c>
      <c r="BY167" s="3" t="n">
        <v>5</v>
      </c>
      <c r="BZ167" s="2" t="inlineStr">
        <is>
          <t>B.2小时以内</t>
        </is>
      </c>
      <c r="CA167" s="7" t="n">
        <v>2</v>
      </c>
      <c r="CB167" s="7" t="n">
        <v>2</v>
      </c>
      <c r="CC167" s="7" t="n">
        <v>4</v>
      </c>
      <c r="CD167" s="7" t="n">
        <v>10</v>
      </c>
      <c r="CE167" s="2" t="inlineStr">
        <is>
          <t>行政事务类</t>
        </is>
      </c>
      <c r="CF167" s="2"/>
      <c r="CG167" s="2" t="inlineStr">
        <is>
          <t>日常台账</t>
        </is>
      </c>
      <c r="CH167" s="2" t="inlineStr">
        <is>
          <t>岗位职责</t>
        </is>
      </c>
      <c r="CI167" s="2" t="inlineStr">
        <is>
          <t>重要不紧急</t>
        </is>
      </c>
      <c r="CJ167" s="2" t="inlineStr">
        <is>
          <t>高度标准化-有成熟SOP，照做即可</t>
        </is>
      </c>
      <c r="CK167" s="2" t="inlineStr">
        <is>
          <t>极少（&lt;5%）</t>
        </is>
      </c>
      <c r="CL167" s="2" t="inlineStr">
        <is>
          <t>沟通/协调负荷</t>
        </is>
      </c>
      <c r="CM167" s="2"/>
      <c r="CN167" s="2" t="inlineStr">
        <is>
          <t>9455fab1-f28d-4fe1-a3a9-e8da6ee86196</t>
        </is>
      </c>
      <c r="CO167" s="3" t="n">
        <v>3</v>
      </c>
      <c r="CP167" s="2"/>
      <c r="CQ167" s="2" t="inlineStr">
        <is>
          <t>安全资料、巡检记录整理归档</t>
        </is>
      </c>
      <c r="CR167" s="2" t="inlineStr">
        <is>
          <t>1次</t>
        </is>
      </c>
      <c r="CS167" s="3" t="n">
        <v>1</v>
      </c>
      <c r="CT167" s="3" t="n">
        <v>1</v>
      </c>
      <c r="CU167" s="2" t="inlineStr">
        <is>
          <t>B.2小时以内</t>
        </is>
      </c>
      <c r="CV167" s="7" t="n">
        <v>2</v>
      </c>
      <c r="CW167" s="7" t="n">
        <v>2</v>
      </c>
      <c r="CX167" s="7" t="n">
        <v>2</v>
      </c>
      <c r="CY167" s="7" t="n">
        <v>2</v>
      </c>
      <c r="CZ167" s="2" t="inlineStr">
        <is>
          <t>行政事务类</t>
        </is>
      </c>
      <c r="DA167" s="2"/>
      <c r="DB167" s="2" t="inlineStr">
        <is>
          <t>日常台账</t>
        </is>
      </c>
      <c r="DC167" s="2" t="inlineStr">
        <is>
          <t>岗位职责</t>
        </is>
      </c>
      <c r="DD167" s="2" t="inlineStr">
        <is>
          <t>重要不紧急</t>
        </is>
      </c>
      <c r="DE167" s="2" t="inlineStr">
        <is>
          <t>高度标准化-有成熟SOP，照做即可</t>
        </is>
      </c>
      <c r="DF167" s="2" t="inlineStr">
        <is>
          <t>极少（&lt;5%）</t>
        </is>
      </c>
      <c r="DG167" s="2" t="inlineStr">
        <is>
          <t>沟通/协调负荷</t>
        </is>
      </c>
      <c r="DH167" s="2"/>
      <c r="DI167" s="2" t="inlineStr">
        <is>
          <t>af2a7199-9115-4820-a6c3-90a061c50826</t>
        </is>
      </c>
      <c r="DJ167" s="3" t="n">
        <v>3</v>
      </c>
      <c r="DK167" s="2"/>
      <c r="DL167" s="2" t="inlineStr">
        <is>
          <t>各片区月度数据资料及PPT收集</t>
        </is>
      </c>
      <c r="DM167" s="2" t="inlineStr">
        <is>
          <t>1次</t>
        </is>
      </c>
      <c r="DN167" s="3" t="n">
        <v>1</v>
      </c>
      <c r="DO167" s="3" t="n">
        <v>1</v>
      </c>
      <c r="DP167" s="2" t="inlineStr">
        <is>
          <t>E.8小时以上</t>
        </is>
      </c>
      <c r="DQ167" s="7" t="n">
        <v>8</v>
      </c>
      <c r="DR167" s="7" t="n">
        <v>8</v>
      </c>
      <c r="DS167" s="7" t="n">
        <v>8</v>
      </c>
      <c r="DT167" s="7" t="n">
        <v>8</v>
      </c>
      <c r="DU167" s="2" t="inlineStr">
        <is>
          <t>其他</t>
        </is>
      </c>
      <c r="DV167" s="2" t="inlineStr">
        <is>
          <t>沟通催促、检查报表问题及时交流</t>
        </is>
      </c>
      <c r="DW167" s="2"/>
      <c r="DX167" s="2" t="inlineStr">
        <is>
          <t>岗位职责</t>
        </is>
      </c>
      <c r="DY167" s="2" t="inlineStr">
        <is>
          <t>重要且紧急</t>
        </is>
      </c>
      <c r="DZ167" s="2" t="inlineStr">
        <is>
          <t>半标准化-有流程框架，需专业经验</t>
        </is>
      </c>
      <c r="EA167" s="2" t="inlineStr">
        <is>
          <t>极少（&lt;5%）</t>
        </is>
      </c>
      <c r="EB167" s="2" t="inlineStr">
        <is>
          <t>沟通/协调负荷</t>
        </is>
      </c>
      <c r="EC167" s="2"/>
      <c r="ED167" s="2" t="inlineStr">
        <is>
          <t>73613fa0-b10d-49b9-b0dc-9bcc9a9aa515</t>
        </is>
      </c>
      <c r="EE167" s="3" t="n">
        <v>3</v>
      </c>
      <c r="EF167" s="2"/>
      <c r="EG167" s="2" t="inlineStr">
        <is>
          <t>HSE管理体系外部审核工作</t>
        </is>
      </c>
      <c r="EH167" s="2" t="inlineStr">
        <is>
          <t>1次</t>
        </is>
      </c>
      <c r="EI167" s="3" t="n">
        <v>1</v>
      </c>
      <c r="EJ167" s="2" t="inlineStr">
        <is>
          <t>E.8小时以上</t>
        </is>
      </c>
      <c r="EK167" s="7" t="n">
        <v>8</v>
      </c>
      <c r="EL167" s="7" t="n">
        <v>8</v>
      </c>
      <c r="EM167" s="7" t="n">
        <v>8</v>
      </c>
      <c r="EN167" s="7" t="n">
        <v>8</v>
      </c>
      <c r="EO167" s="2" t="inlineStr">
        <is>
          <t>专业技术类</t>
        </is>
      </c>
      <c r="EP167" s="2"/>
      <c r="EQ167" s="2" t="inlineStr">
        <is>
          <t>专业问题协调</t>
        </is>
      </c>
      <c r="ER167" s="2" t="inlineStr">
        <is>
          <t>上级指令</t>
        </is>
      </c>
      <c r="ES167" s="2" t="inlineStr">
        <is>
          <t>重要且紧急</t>
        </is>
      </c>
      <c r="ET167" s="2" t="inlineStr">
        <is>
          <t>半标准化-有流程框架，需专业经验</t>
        </is>
      </c>
      <c r="EU167" s="2" t="inlineStr">
        <is>
          <t>极少（&lt;5%）</t>
        </is>
      </c>
      <c r="EV167" s="2" t="inlineStr">
        <is>
          <t>沟通/协调负荷</t>
        </is>
      </c>
      <c r="EW167" s="2" t="inlineStr">
        <is>
          <t>下发迎审安排、传达各部门积极配合，首次末次会议详细记录，做好HSE管理体系外部审核工作的全力配合与前期所有HSE体系资料的及时更新。</t>
        </is>
      </c>
      <c r="EX167" s="2" t="inlineStr">
        <is>
          <t>f625f8f1-ff6d-43f6-bed4-377fe468d153</t>
        </is>
      </c>
      <c r="EY167" s="3" t="n">
        <v>3</v>
      </c>
      <c r="EZ167" s="2"/>
      <c r="FA167" s="2" t="inlineStr">
        <is>
          <t>临时安全工作对接</t>
        </is>
      </c>
      <c r="FB167" s="2" t="inlineStr">
        <is>
          <t>每月1-2次</t>
        </is>
      </c>
      <c r="FC167" s="2" t="inlineStr">
        <is>
          <t>月</t>
        </is>
      </c>
      <c r="FD167" s="3" t="n">
        <v>1</v>
      </c>
      <c r="FE167" s="3" t="n">
        <v>2</v>
      </c>
      <c r="FF167" s="2" t="inlineStr">
        <is>
          <t>B.2小时以内</t>
        </is>
      </c>
      <c r="FG167" s="7" t="n">
        <v>2</v>
      </c>
      <c r="FH167" s="7" t="n">
        <v>2</v>
      </c>
      <c r="FI167" s="7" t="n">
        <v>2</v>
      </c>
      <c r="FJ167" s="7" t="n">
        <v>4</v>
      </c>
      <c r="FK167" s="7" t="n">
        <v>0</v>
      </c>
      <c r="FL167" s="7" t="n">
        <v>0</v>
      </c>
      <c r="FM167" s="7" t="n">
        <v>0</v>
      </c>
      <c r="FN167" s="7" t="n">
        <v>0</v>
      </c>
      <c r="FO167" s="2" t="inlineStr">
        <is>
          <t>其他</t>
        </is>
      </c>
      <c r="FP167" s="2"/>
      <c r="FQ167" s="2"/>
      <c r="FR167" s="2" t="inlineStr">
        <is>
          <t>上级指令</t>
        </is>
      </c>
      <c r="FS167" s="2" t="inlineStr">
        <is>
          <t>重要且紧急</t>
        </is>
      </c>
      <c r="FT167" s="2" t="inlineStr">
        <is>
          <t>半标准化-有流程框架，需专业经验</t>
        </is>
      </c>
      <c r="FU167" s="2" t="inlineStr">
        <is>
          <t>极少（&lt;5%）</t>
        </is>
      </c>
      <c r="FV167" s="2" t="inlineStr">
        <is>
          <t>沟通/协调负荷</t>
        </is>
      </c>
      <c r="FW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t="inlineStr">
        <is>
          <t>2113bf3a-a5de-4838-9baf-c6d8a5b70768</t>
        </is>
      </c>
      <c r="BT168" s="3" t="n">
        <v>4</v>
      </c>
      <c r="BU168" s="2" t="inlineStr">
        <is>
          <t>其他</t>
        </is>
      </c>
      <c r="BV168" s="2" t="inlineStr">
        <is>
          <t>日常维护部门邮箱</t>
        </is>
      </c>
      <c r="BW168" s="2" t="inlineStr">
        <is>
          <t>1次</t>
        </is>
      </c>
      <c r="BX168" s="3" t="n">
        <v>1</v>
      </c>
      <c r="BY168" s="3" t="n">
        <v>1</v>
      </c>
      <c r="BZ168" s="2" t="inlineStr">
        <is>
          <t>B.2小时以内</t>
        </is>
      </c>
      <c r="CA168" s="7" t="n">
        <v>2</v>
      </c>
      <c r="CB168" s="7" t="n">
        <v>2</v>
      </c>
      <c r="CC168" s="7" t="n">
        <v>2</v>
      </c>
      <c r="CD168" s="7" t="n">
        <v>2</v>
      </c>
      <c r="CE168" s="2" t="inlineStr">
        <is>
          <t>其他</t>
        </is>
      </c>
      <c r="CF168" s="2"/>
      <c r="CG168" s="2"/>
      <c r="CH168" s="2" t="inlineStr">
        <is>
          <t>岗位职责</t>
        </is>
      </c>
      <c r="CI168" s="2" t="inlineStr">
        <is>
          <t>重要不紧急</t>
        </is>
      </c>
      <c r="CJ168" s="2" t="inlineStr">
        <is>
          <t>高度标准化-有成熟SOP，照做即可</t>
        </is>
      </c>
      <c r="CK168" s="2" t="inlineStr">
        <is>
          <t>极少（&lt;5%）</t>
        </is>
      </c>
      <c r="CL168" s="2" t="inlineStr">
        <is>
          <t>沟通/协调负荷</t>
        </is>
      </c>
      <c r="CM168" s="2"/>
      <c r="CN168" s="2" t="inlineStr">
        <is>
          <t>fd3bc2fa-0b91-48f8-9d73-94a5410063ed</t>
        </is>
      </c>
      <c r="CO168" s="3" t="n">
        <v>4</v>
      </c>
      <c r="CP168" s="2"/>
      <c r="CQ168" s="2" t="inlineStr">
        <is>
          <t>安全管理工作梳理、待办事项跟进</t>
        </is>
      </c>
      <c r="CR168" s="2" t="inlineStr">
        <is>
          <t>2-3次</t>
        </is>
      </c>
      <c r="CS168" s="3" t="n">
        <v>2</v>
      </c>
      <c r="CT168" s="3" t="n">
        <v>3</v>
      </c>
      <c r="CU168" s="2" t="inlineStr">
        <is>
          <t>C.2-4小时</t>
        </is>
      </c>
      <c r="CV168" s="7" t="n">
        <v>2</v>
      </c>
      <c r="CW168" s="7" t="n">
        <v>4</v>
      </c>
      <c r="CX168" s="7" t="n">
        <v>4</v>
      </c>
      <c r="CY168" s="7" t="n">
        <v>12</v>
      </c>
      <c r="CZ168" s="2" t="inlineStr">
        <is>
          <t>其他</t>
        </is>
      </c>
      <c r="DA168" s="2"/>
      <c r="DB168" s="2"/>
      <c r="DC168" s="2" t="inlineStr">
        <is>
          <t>岗位职责</t>
        </is>
      </c>
      <c r="DD168" s="2" t="inlineStr">
        <is>
          <t>重要且紧急</t>
        </is>
      </c>
      <c r="DE168" s="2" t="inlineStr">
        <is>
          <t>高度标准化-有成熟SOP，照做即可</t>
        </is>
      </c>
      <c r="DF168" s="2" t="inlineStr">
        <is>
          <t>极少（&lt;5%）</t>
        </is>
      </c>
      <c r="DG168" s="2" t="inlineStr">
        <is>
          <t>沟通/协调负荷</t>
        </is>
      </c>
      <c r="DH168" s="2"/>
      <c r="DI168" s="2" t="inlineStr">
        <is>
          <t>7cae10ba-c99d-4a49-8bf8-6c3d44fb3504</t>
        </is>
      </c>
      <c r="DJ168" s="3" t="n">
        <v>4</v>
      </c>
      <c r="DK168" s="2"/>
      <c r="DL168" s="2" t="inlineStr">
        <is>
          <t>各片区月度安全巡检</t>
        </is>
      </c>
      <c r="DM168" s="2" t="inlineStr">
        <is>
          <t>1次</t>
        </is>
      </c>
      <c r="DN168" s="3" t="n">
        <v>1</v>
      </c>
      <c r="DO168" s="3" t="n">
        <v>1</v>
      </c>
      <c r="DP168" s="2" t="inlineStr">
        <is>
          <t>E.8小时以上</t>
        </is>
      </c>
      <c r="DQ168" s="7" t="n">
        <v>8</v>
      </c>
      <c r="DR168" s="7" t="n">
        <v>8</v>
      </c>
      <c r="DS168" s="7" t="n">
        <v>8</v>
      </c>
      <c r="DT168" s="7" t="n">
        <v>8</v>
      </c>
      <c r="DU168" s="2" t="inlineStr">
        <is>
          <t>监督检查类</t>
        </is>
      </c>
      <c r="DV168" s="2"/>
      <c r="DW168" s="2" t="inlineStr">
        <is>
          <t>专项检查</t>
        </is>
      </c>
      <c r="DX168" s="2" t="inlineStr">
        <is>
          <t>岗位职责</t>
        </is>
      </c>
      <c r="DY168" s="2" t="inlineStr">
        <is>
          <t>重要且紧急</t>
        </is>
      </c>
      <c r="DZ168" s="2" t="inlineStr">
        <is>
          <t>半标准化-有流程框架，需专业经验</t>
        </is>
      </c>
      <c r="EA168" s="2" t="inlineStr">
        <is>
          <t>极少（&lt;5%）</t>
        </is>
      </c>
      <c r="EB168" s="2" t="inlineStr">
        <is>
          <t>沟通/协调负荷</t>
        </is>
      </c>
      <c r="EC168" s="2"/>
      <c r="ED168" s="2" t="inlineStr">
        <is>
          <t>3311d736-aba6-44de-b01b-006a3fb95b43</t>
        </is>
      </c>
      <c r="EE168" s="3" t="n">
        <v>4</v>
      </c>
      <c r="EF168" s="2"/>
      <c r="EG168" s="2" t="inlineStr">
        <is>
          <t>统计汇总全员安全生产责任书签订情况</t>
        </is>
      </c>
      <c r="EH168" s="2" t="inlineStr">
        <is>
          <t>1次</t>
        </is>
      </c>
      <c r="EI168" s="3" t="n">
        <v>1</v>
      </c>
      <c r="EJ168" s="2" t="inlineStr">
        <is>
          <t>D.4-8小时</t>
        </is>
      </c>
      <c r="EK168" s="7" t="n">
        <v>4</v>
      </c>
      <c r="EL168" s="7" t="n">
        <v>8</v>
      </c>
      <c r="EM168" s="7" t="n">
        <v>4</v>
      </c>
      <c r="EN168" s="7" t="n">
        <v>8</v>
      </c>
      <c r="EO168" s="2" t="inlineStr">
        <is>
          <t>综合管理类</t>
        </is>
      </c>
      <c r="EP168" s="2"/>
      <c r="EQ168" s="2" t="inlineStr">
        <is>
          <t>专题工作推进</t>
        </is>
      </c>
      <c r="ER168" s="2" t="inlineStr">
        <is>
          <t>上级指令</t>
        </is>
      </c>
      <c r="ES168" s="2" t="inlineStr">
        <is>
          <t>重要且紧急</t>
        </is>
      </c>
      <c r="ET168" s="2" t="inlineStr">
        <is>
          <t>高度标准化-有成熟SOP，照做即可</t>
        </is>
      </c>
      <c r="EU168" s="2" t="inlineStr">
        <is>
          <t>极少（&lt;5%）</t>
        </is>
      </c>
      <c r="EV168" s="2" t="inlineStr">
        <is>
          <t>沟通/协调负荷</t>
        </is>
      </c>
      <c r="EW168" s="2" t="inlineStr">
        <is>
          <t>分公司经理安全责任书签订情况扫描并发送至个人邮箱；各分公司全员安全责任书签订情况汇总。</t>
        </is>
      </c>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t="inlineStr">
        <is>
          <t>54d595aa-34fc-4180-b267-84155a858904</t>
        </is>
      </c>
      <c r="BT169" s="3" t="n">
        <v>5</v>
      </c>
      <c r="BU169" s="2" t="inlineStr">
        <is>
          <t>行政事务类</t>
        </is>
      </c>
      <c r="BV169" s="2" t="inlineStr">
        <is>
          <t>安全工作相关通知、制度传达及对接</t>
        </is>
      </c>
      <c r="BW169" s="2" t="inlineStr">
        <is>
          <t>2-5次</t>
        </is>
      </c>
      <c r="BX169" s="3" t="n">
        <v>2</v>
      </c>
      <c r="BY169" s="3" t="n">
        <v>5</v>
      </c>
      <c r="BZ169" s="2" t="inlineStr">
        <is>
          <t>B.2小时以内</t>
        </is>
      </c>
      <c r="CA169" s="7" t="n">
        <v>2</v>
      </c>
      <c r="CB169" s="7" t="n">
        <v>2</v>
      </c>
      <c r="CC169" s="7" t="n">
        <v>4</v>
      </c>
      <c r="CD169" s="7" t="n">
        <v>10</v>
      </c>
      <c r="CE169" s="2" t="inlineStr">
        <is>
          <t>行政事务类</t>
        </is>
      </c>
      <c r="CF169" s="2"/>
      <c r="CG169" s="2" t="inlineStr">
        <is>
          <t>通知起草</t>
        </is>
      </c>
      <c r="CH169" s="2" t="inlineStr">
        <is>
          <t>岗位职责</t>
        </is>
      </c>
      <c r="CI169" s="2" t="inlineStr">
        <is>
          <t>重要且紧急</t>
        </is>
      </c>
      <c r="CJ169" s="2" t="inlineStr">
        <is>
          <t>高度标准化-有成熟SOP，照做即可</t>
        </is>
      </c>
      <c r="CK169" s="2" t="inlineStr">
        <is>
          <t>极少（&lt;5%）</t>
        </is>
      </c>
      <c r="CL169" s="2" t="inlineStr">
        <is>
          <t>沟通/协调负荷</t>
        </is>
      </c>
      <c r="CM169" s="2"/>
      <c r="CN169" s="2"/>
      <c r="CO169" s="2"/>
      <c r="CP169" s="2"/>
      <c r="CQ169" s="2"/>
      <c r="CR169" s="2"/>
      <c r="CS169" s="2"/>
      <c r="CT169" s="2"/>
      <c r="CU169" s="2"/>
      <c r="CV169" s="2"/>
      <c r="CW169" s="2"/>
      <c r="CX169" s="2"/>
      <c r="CY169" s="2"/>
      <c r="CZ169" s="2"/>
      <c r="DA169" s="2"/>
      <c r="DB169" s="2"/>
      <c r="DC169" s="2"/>
      <c r="DD169" s="2"/>
      <c r="DE169" s="2"/>
      <c r="DF169" s="2"/>
      <c r="DG169" s="2"/>
      <c r="DH169" s="2"/>
      <c r="DI169" s="2" t="inlineStr">
        <is>
          <t>33679092-f54b-432f-bcb1-676e488a3f74</t>
        </is>
      </c>
      <c r="DJ169" s="3" t="n">
        <v>5</v>
      </c>
      <c r="DK169" s="2"/>
      <c r="DL169" s="2" t="inlineStr">
        <is>
          <t>整理每月内审报告与检查记录表</t>
        </is>
      </c>
      <c r="DM169" s="2" t="inlineStr">
        <is>
          <t>1次</t>
        </is>
      </c>
      <c r="DN169" s="3" t="n">
        <v>1</v>
      </c>
      <c r="DO169" s="3" t="n">
        <v>1</v>
      </c>
      <c r="DP169" s="2" t="inlineStr">
        <is>
          <t>E.8小时以上</t>
        </is>
      </c>
      <c r="DQ169" s="7" t="n">
        <v>8</v>
      </c>
      <c r="DR169" s="7" t="n">
        <v>8</v>
      </c>
      <c r="DS169" s="7" t="n">
        <v>8</v>
      </c>
      <c r="DT169" s="7" t="n">
        <v>8</v>
      </c>
      <c r="DU169" s="2" t="inlineStr">
        <is>
          <t>监督检查类</t>
        </is>
      </c>
      <c r="DV169" s="2"/>
      <c r="DW169" s="2" t="inlineStr">
        <is>
          <t>专项检查</t>
        </is>
      </c>
      <c r="DX169" s="2" t="inlineStr">
        <is>
          <t>岗位职责</t>
        </is>
      </c>
      <c r="DY169" s="2" t="inlineStr">
        <is>
          <t>重要且紧急</t>
        </is>
      </c>
      <c r="DZ169" s="2" t="inlineStr">
        <is>
          <t>半标准化-有流程框架，需专业经验</t>
        </is>
      </c>
      <c r="EA169" s="2" t="inlineStr">
        <is>
          <t>极少（&lt;5%）</t>
        </is>
      </c>
      <c r="EB169" s="2" t="inlineStr">
        <is>
          <t>沟通/协调负荷</t>
        </is>
      </c>
      <c r="EC169" s="2"/>
      <c r="ED169" s="2" t="inlineStr">
        <is>
          <t>f35b1f8e-dfe3-40b6-b03e-37ebfc132dcd</t>
        </is>
      </c>
      <c r="EE169" s="3" t="n">
        <v>5</v>
      </c>
      <c r="EF169" s="2"/>
      <c r="EG169" s="2" t="inlineStr">
        <is>
          <t>检维修能力评估审核工作</t>
        </is>
      </c>
      <c r="EH169" s="2" t="inlineStr">
        <is>
          <t>1次</t>
        </is>
      </c>
      <c r="EI169" s="3" t="n">
        <v>1</v>
      </c>
      <c r="EJ169" s="2" t="inlineStr">
        <is>
          <t>E.8小时以上</t>
        </is>
      </c>
      <c r="EK169" s="7" t="n">
        <v>8</v>
      </c>
      <c r="EL169" s="7" t="n">
        <v>8</v>
      </c>
      <c r="EM169" s="7" t="n">
        <v>8</v>
      </c>
      <c r="EN169" s="7" t="n">
        <v>8</v>
      </c>
      <c r="EO169" s="2" t="inlineStr">
        <is>
          <t>专业技术类</t>
        </is>
      </c>
      <c r="EP169" s="2"/>
      <c r="EQ169" s="2" t="inlineStr">
        <is>
          <t>专业问题协调</t>
        </is>
      </c>
      <c r="ER169" s="2" t="inlineStr">
        <is>
          <t>上级指令</t>
        </is>
      </c>
      <c r="ES169" s="2" t="inlineStr">
        <is>
          <t>重要且紧急</t>
        </is>
      </c>
      <c r="ET169" s="2" t="inlineStr">
        <is>
          <t>半标准化-有流程框架，需专业经验</t>
        </is>
      </c>
      <c r="EU169" s="2" t="inlineStr">
        <is>
          <t>极少（&lt;5%）</t>
        </is>
      </c>
      <c r="EV169" s="2" t="inlineStr">
        <is>
          <t>沟通/协调负荷</t>
        </is>
      </c>
      <c r="EW169" s="2" t="inlineStr">
        <is>
          <t>配合技术质量部进行检维修审核与前期资料准备</t>
        </is>
      </c>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t="inlineStr">
        <is>
          <t>134bf59c-dbf2-45c3-a4a1-91ca684004db</t>
        </is>
      </c>
      <c r="DJ170" s="3" t="n">
        <v>6</v>
      </c>
      <c r="DK170" s="2"/>
      <c r="DL170" s="2" t="inlineStr">
        <is>
          <t>HSE安全月会准备</t>
        </is>
      </c>
      <c r="DM170" s="2" t="inlineStr">
        <is>
          <t>1次</t>
        </is>
      </c>
      <c r="DN170" s="3" t="n">
        <v>1</v>
      </c>
      <c r="DO170" s="3" t="n">
        <v>1</v>
      </c>
      <c r="DP170" s="2" t="inlineStr">
        <is>
          <t>B.2小时以内</t>
        </is>
      </c>
      <c r="DQ170" s="7" t="n">
        <v>2</v>
      </c>
      <c r="DR170" s="7" t="n">
        <v>2</v>
      </c>
      <c r="DS170" s="7" t="n">
        <v>2</v>
      </c>
      <c r="DT170" s="7" t="n">
        <v>2</v>
      </c>
      <c r="DU170" s="2" t="inlineStr">
        <is>
          <t>行政事务类</t>
        </is>
      </c>
      <c r="DV170" s="2"/>
      <c r="DW170" s="2" t="inlineStr">
        <is>
          <t>会议安排</t>
        </is>
      </c>
      <c r="DX170" s="2" t="inlineStr">
        <is>
          <t>岗位职责</t>
        </is>
      </c>
      <c r="DY170" s="2" t="inlineStr">
        <is>
          <t>重要且紧急</t>
        </is>
      </c>
      <c r="DZ170" s="2" t="inlineStr">
        <is>
          <t>高度标准化-有成熟SOP，照做即可</t>
        </is>
      </c>
      <c r="EA170" s="2" t="inlineStr">
        <is>
          <t>极少（&lt;5%）</t>
        </is>
      </c>
      <c r="EB170" s="2" t="inlineStr">
        <is>
          <t>沟通/协调负荷</t>
        </is>
      </c>
      <c r="EC170" s="2" t="inlineStr">
        <is>
          <t>负责安全月度例会前期筹备，落实资料统计、会务对接及会前网络调试工作的安排</t>
        </is>
      </c>
      <c r="ED170" s="2" t="inlineStr">
        <is>
          <t>0397d151-77d0-46e6-a69e-88be80d48b21</t>
        </is>
      </c>
      <c r="EE170" s="3" t="n">
        <v>6</v>
      </c>
      <c r="EF170" s="2"/>
      <c r="EG170" s="2" t="inlineStr">
        <is>
          <t>建立员工健康档案工作</t>
        </is>
      </c>
      <c r="EH170" s="2" t="inlineStr">
        <is>
          <t>1次</t>
        </is>
      </c>
      <c r="EI170" s="3" t="n">
        <v>1</v>
      </c>
      <c r="EJ170" s="2" t="inlineStr">
        <is>
          <t>D.4-8小时</t>
        </is>
      </c>
      <c r="EK170" s="7" t="n">
        <v>4</v>
      </c>
      <c r="EL170" s="7" t="n">
        <v>8</v>
      </c>
      <c r="EM170" s="7" t="n">
        <v>4</v>
      </c>
      <c r="EN170" s="7" t="n">
        <v>8</v>
      </c>
      <c r="EO170" s="2" t="inlineStr">
        <is>
          <t>行政事务类</t>
        </is>
      </c>
      <c r="EP170" s="2"/>
      <c r="EQ170" s="2" t="inlineStr">
        <is>
          <t>日常台账</t>
        </is>
      </c>
      <c r="ER170" s="2" t="inlineStr">
        <is>
          <t>岗位职责</t>
        </is>
      </c>
      <c r="ES170" s="2" t="inlineStr">
        <is>
          <t>重要不紧急</t>
        </is>
      </c>
      <c r="ET170" s="2" t="inlineStr">
        <is>
          <t>高度标准化-有成熟SOP，照做即可</t>
        </is>
      </c>
      <c r="EU170" s="2" t="inlineStr">
        <is>
          <t>极少（&lt;5%）</t>
        </is>
      </c>
      <c r="EV170" s="2" t="inlineStr">
        <is>
          <t>沟通/协调负荷</t>
        </is>
      </c>
      <c r="EW170" s="2" t="inlineStr">
        <is>
          <t>协助人力资源部汇总收集员工个人档案资料，整理员工体检台账</t>
        </is>
      </c>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t="inlineStr">
        <is>
          <t>acc24da3-dce4-4b16-a361-bb24ecf6a958</t>
        </is>
      </c>
      <c r="DJ171" s="3" t="n">
        <v>7</v>
      </c>
      <c r="DK171" s="2"/>
      <c r="DL171" s="2" t="inlineStr">
        <is>
          <t>配合人力资源部，按月提交培训小结与效果评价表，汇总年度培训费用</t>
        </is>
      </c>
      <c r="DM171" s="2" t="inlineStr">
        <is>
          <t>1次</t>
        </is>
      </c>
      <c r="DN171" s="3" t="n">
        <v>1</v>
      </c>
      <c r="DO171" s="3" t="n">
        <v>1</v>
      </c>
      <c r="DP171" s="2" t="inlineStr">
        <is>
          <t>C.2-4小时</t>
        </is>
      </c>
      <c r="DQ171" s="7" t="n">
        <v>2</v>
      </c>
      <c r="DR171" s="7" t="n">
        <v>4</v>
      </c>
      <c r="DS171" s="7" t="n">
        <v>2</v>
      </c>
      <c r="DT171" s="7" t="n">
        <v>4</v>
      </c>
      <c r="DU171" s="2" t="inlineStr">
        <is>
          <t>行政事务类</t>
        </is>
      </c>
      <c r="DV171" s="2"/>
      <c r="DW171" s="2" t="inlineStr">
        <is>
          <t>日常台账</t>
        </is>
      </c>
      <c r="DX171" s="2" t="inlineStr">
        <is>
          <t>岗位职责</t>
        </is>
      </c>
      <c r="DY171" s="2" t="inlineStr">
        <is>
          <t>重要且紧急</t>
        </is>
      </c>
      <c r="DZ171" s="2" t="inlineStr">
        <is>
          <t>高度标准化-有成熟SOP，照做即可</t>
        </is>
      </c>
      <c r="EA171" s="2" t="inlineStr">
        <is>
          <t>极少（&lt;5%）</t>
        </is>
      </c>
      <c r="EB171" s="2" t="inlineStr">
        <is>
          <t>沟通/协调负荷</t>
        </is>
      </c>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t="inlineStr">
        <is>
          <t>fe2f94b2-aab9-49d5-b101-2305673491eb</t>
        </is>
      </c>
      <c r="DJ172" s="3" t="n">
        <v>8</v>
      </c>
      <c r="DK172" s="2"/>
      <c r="DL172" s="2" t="inlineStr">
        <is>
          <t>ERP发文管理维护，与综合办对接完成发文</t>
        </is>
      </c>
      <c r="DM172" s="2" t="inlineStr">
        <is>
          <t>1次</t>
        </is>
      </c>
      <c r="DN172" s="3" t="n">
        <v>1</v>
      </c>
      <c r="DO172" s="3" t="n">
        <v>1</v>
      </c>
      <c r="DP172" s="2" t="inlineStr">
        <is>
          <t>B.2小时以内</t>
        </is>
      </c>
      <c r="DQ172" s="7" t="n">
        <v>2</v>
      </c>
      <c r="DR172" s="7" t="n">
        <v>2</v>
      </c>
      <c r="DS172" s="7" t="n">
        <v>2</v>
      </c>
      <c r="DT172" s="7" t="n">
        <v>2</v>
      </c>
      <c r="DU172" s="2" t="inlineStr">
        <is>
          <t>流程审批类</t>
        </is>
      </c>
      <c r="DV172" s="2"/>
      <c r="DW172" s="2" t="inlineStr">
        <is>
          <t>协同办公流程</t>
        </is>
      </c>
      <c r="DX172" s="2" t="inlineStr">
        <is>
          <t>部门计划</t>
        </is>
      </c>
      <c r="DY172" s="2" t="inlineStr">
        <is>
          <t>重要且紧急</t>
        </is>
      </c>
      <c r="DZ172" s="2" t="inlineStr">
        <is>
          <t>高度标准化-有成熟SOP，照做即可</t>
        </is>
      </c>
      <c r="EA172" s="2" t="inlineStr">
        <is>
          <t>极少（&lt;5%）</t>
        </is>
      </c>
      <c r="EB172" s="2" t="inlineStr">
        <is>
          <t>沟通/协调负荷</t>
        </is>
      </c>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row>
    <row r="173">
      <c r="A173" s="2" t="inlineStr">
        <is>
          <t>2026-05-18 11:14:22</t>
        </is>
      </c>
      <c r="B173" s="2" t="inlineStr">
        <is>
          <t>薛慧</t>
        </is>
      </c>
      <c r="C173" s="2" t="inlineStr">
        <is>
          <t>HSE部</t>
        </is>
      </c>
      <c r="D173" s="2" t="inlineStr">
        <is>
          <t>女</t>
        </is>
      </c>
      <c r="E173" s="2" t="inlineStr">
        <is>
          <t>320981198711142223</t>
        </is>
      </c>
      <c r="F173" s="2" t="inlineStr">
        <is>
          <t>技术助理(四)</t>
        </is>
      </c>
      <c r="G173" s="2" t="inlineStr">
        <is>
          <t>2021-07</t>
        </is>
      </c>
      <c r="H173" s="2" t="inlineStr">
        <is>
          <t>金陵科技学院</t>
        </is>
      </c>
      <c r="I173" s="2" t="inlineStr">
        <is>
          <t>安全员</t>
        </is>
      </c>
      <c r="J173" s="2" t="inlineStr">
        <is>
          <t>大专</t>
        </is>
      </c>
      <c r="K173" s="2" t="inlineStr">
        <is>
          <t>B.弹性兼顾型岗位-每天固定4-7工时</t>
        </is>
      </c>
      <c r="L173" s="6">
        <f>HYPERLINK("https://www.h3yun.com/Form/Attachments/?schemacode=D1483577de63ede327d4760b10664bd57671d7e&amp;bizObjectId=e592908a-f405-4039-8657-84acff757edf&amp;name=F0000046","点击查看")</f>
        <v>0</v>
      </c>
      <c r="M173" s="2" t="inlineStr">
        <is>
          <t>安全责任书直接上传系统，不用再二次收集。</t>
        </is>
      </c>
      <c r="N173" s="2" t="inlineStr">
        <is>
          <t>每日工作;每周工作;每月工作;每季度/阶段性工作;临时/突发工作</t>
        </is>
      </c>
      <c r="O173" s="2" t="inlineStr">
        <is>
          <t>30-40岁</t>
        </is>
      </c>
      <c r="P173" s="2" t="inlineStr">
        <is>
          <t>C.已婚已育</t>
        </is>
      </c>
      <c r="Q173" s="2" t="inlineStr">
        <is>
          <t>B.是，主要照护子女</t>
        </is>
      </c>
      <c r="R173" s="2" t="inlineStr">
        <is>
          <t>B.有1名</t>
        </is>
      </c>
      <c r="S173" s="2" t="inlineStr">
        <is>
          <t>B.希望工作更稳定、更规律，便于兼顾家庭</t>
        </is>
      </c>
      <c r="T173" s="2" t="inlineStr">
        <is>
          <t>C.工作较稳定，但发展空间不足</t>
        </is>
      </c>
      <c r="U173" s="2" t="inlineStr">
        <is>
          <t>D.明确职责边界</t>
        </is>
      </c>
      <c r="V173" s="2" t="inlineStr">
        <is>
          <t>A.没有</t>
        </is>
      </c>
      <c r="W173" s="2"/>
      <c r="X173" s="2" t="inlineStr">
        <is>
          <t>B.满负荷 (100%-120%)</t>
        </is>
      </c>
      <c r="Y173" s="2" t="inlineStr">
        <is>
          <t>K.无需加班</t>
        </is>
      </c>
      <c r="Z173" s="2" t="inlineStr">
        <is>
          <t>专项统计</t>
        </is>
      </c>
      <c r="AA173" s="2" t="inlineStr">
        <is>
          <t>专项统计</t>
        </is>
      </c>
      <c r="AB173" s="2" t="inlineStr">
        <is>
          <t>专项检查</t>
        </is>
      </c>
      <c r="AC173" s="2" t="inlineStr">
        <is>
          <t>B.基本匹配（正常履行）</t>
        </is>
      </c>
      <c r="AD173" s="2" t="inlineStr">
        <is>
          <t>无</t>
        </is>
      </c>
      <c r="AE173" s="2" t="inlineStr">
        <is>
          <t>无</t>
        </is>
      </c>
      <c r="AF173" s="2" t="inlineStr">
        <is>
          <t>无</t>
        </is>
      </c>
      <c r="AG173" s="2" t="inlineStr">
        <is>
          <t>B.配偶为公司家属，常驻项目，个人承担更多</t>
        </is>
      </c>
      <c r="AH173" s="2" t="inlineStr">
        <is>
          <t>B.有意向，但是不迫切，需考虑</t>
        </is>
      </c>
      <c r="AI173" s="7" t="n">
        <v>6.33</v>
      </c>
      <c r="AJ173" s="7" t="n">
        <v>12.33</v>
      </c>
      <c r="AK173" s="7" t="n">
        <v>2.26</v>
      </c>
      <c r="AL173" s="7" t="n">
        <v>2.73</v>
      </c>
      <c r="AM173" s="7" t="n">
        <v>0.82</v>
      </c>
      <c r="AN173" s="7" t="n">
        <v>0.82</v>
      </c>
      <c r="AO173" s="7" t="n">
        <v>0.13</v>
      </c>
      <c r="AP173" s="7" t="n">
        <v>0.15</v>
      </c>
      <c r="AQ173" s="7" t="n">
        <v>0</v>
      </c>
      <c r="AR173" s="7" t="n">
        <v>0</v>
      </c>
      <c r="AS173" s="7" t="n">
        <v>9.54</v>
      </c>
      <c r="AT173" s="7" t="n">
        <v>16.03</v>
      </c>
      <c r="AU173" s="7" t="n">
        <v>12.79</v>
      </c>
      <c r="AV173" s="2" t="inlineStr">
        <is>
          <t>超负荷</t>
        </is>
      </c>
      <c r="AW173" s="2" t="inlineStr">
        <is>
          <t>不一致</t>
        </is>
      </c>
      <c r="AX173" s="2" t="inlineStr">
        <is>
          <t>e592908a-f405-4039-8657-84acff757edf</t>
        </is>
      </c>
      <c r="AY173" s="2" t="inlineStr">
        <is>
          <t>HSE部    薛慧</t>
        </is>
      </c>
      <c r="AZ173" s="2" t="inlineStr">
        <is>
          <t>Anonymous</t>
        </is>
      </c>
      <c r="BA173" s="2" t="inlineStr">
        <is>
          <t>Anonymous</t>
        </is>
      </c>
      <c r="BB173" s="2"/>
      <c r="BC173" s="2" t="inlineStr">
        <is>
          <t>2026-05-21 08:43:22</t>
        </is>
      </c>
      <c r="BD173" s="3" t="n">
        <v>1987</v>
      </c>
      <c r="BE173" s="3" t="n">
        <v>39</v>
      </c>
      <c r="BF173" s="2" t="inlineStr">
        <is>
          <t>A.无此需求</t>
        </is>
      </c>
      <c r="BG173" s="2" t="inlineStr">
        <is>
          <t>已生效</t>
        </is>
      </c>
      <c r="BH173" s="2" t="inlineStr">
        <is>
          <t>de8c2630-981e-4638-8207-314c7717d7cb</t>
        </is>
      </c>
      <c r="BI173" s="3" t="n">
        <v>1</v>
      </c>
      <c r="BJ173" s="2" t="inlineStr">
        <is>
          <t>B.弹性兼顾型岗位-每天固定4-7工时</t>
        </is>
      </c>
      <c r="BK173" s="2" t="inlineStr">
        <is>
          <t>B.弹性兼顾型岗位-每天固定4-7工时</t>
        </is>
      </c>
      <c r="BL173" s="2" t="inlineStr">
        <is>
          <t>如适用于照看3-6周岁儿童</t>
        </is>
      </c>
      <c r="BM173" s="2" t="inlineStr">
        <is>
          <t>固定工作时段，灵活时间安排，每天或每周需到岗一定时间</t>
        </is>
      </c>
      <c r="BN173" s="2" t="inlineStr">
        <is>
          <t>按完成任务量计酬</t>
        </is>
      </c>
      <c r="BO173" s="2" t="inlineStr">
        <is>
          <t>社会保险或商业保险</t>
        </is>
      </c>
      <c r="BP173" s="2" t="inlineStr">
        <is>
          <t>劳动合同或劳务协议</t>
        </is>
      </c>
      <c r="BQ173" s="2" t="inlineStr">
        <is>
          <t>基础技能
特定技能</t>
        </is>
      </c>
      <c r="BR173" s="2" t="inlineStr">
        <is>
          <t>固定到岗一定时间，剩余时间灵活安排的保险、房产销售类“妈妈岗”</t>
        </is>
      </c>
      <c r="BS173" s="2" t="inlineStr">
        <is>
          <t>88b8c0d8-e0a7-4812-8ce6-abeed47c10f4</t>
        </is>
      </c>
      <c r="BT173" s="3" t="n">
        <v>1</v>
      </c>
      <c r="BU173" s="2" t="inlineStr">
        <is>
          <t>行政事务类</t>
        </is>
      </c>
      <c r="BV173" s="2" t="inlineStr">
        <is>
          <t>劳保出入库管理</t>
        </is>
      </c>
      <c r="BW173" s="2" t="inlineStr">
        <is>
          <t>2-5次</t>
        </is>
      </c>
      <c r="BX173" s="3" t="n">
        <v>2</v>
      </c>
      <c r="BY173" s="3" t="n">
        <v>5</v>
      </c>
      <c r="BZ173" s="2" t="inlineStr">
        <is>
          <t>B.2小时以内</t>
        </is>
      </c>
      <c r="CA173" s="7" t="n">
        <v>2</v>
      </c>
      <c r="CB173" s="7" t="n">
        <v>2</v>
      </c>
      <c r="CC173" s="7" t="n">
        <v>4</v>
      </c>
      <c r="CD173" s="7" t="n">
        <v>10</v>
      </c>
      <c r="CE173" s="2" t="inlineStr">
        <is>
          <t>行政事务类</t>
        </is>
      </c>
      <c r="CF173" s="2"/>
      <c r="CG173" s="2" t="inlineStr">
        <is>
          <t>日常台账</t>
        </is>
      </c>
      <c r="CH173" s="2" t="inlineStr">
        <is>
          <t>岗位职责</t>
        </is>
      </c>
      <c r="CI173" s="2" t="inlineStr">
        <is>
          <t>重要不紧急</t>
        </is>
      </c>
      <c r="CJ173" s="2" t="inlineStr">
        <is>
          <t>高度标准化-有成熟SOP，照做即可</t>
        </is>
      </c>
      <c r="CK173" s="2" t="inlineStr">
        <is>
          <t>极少（&lt;5%）</t>
        </is>
      </c>
      <c r="CL173" s="2" t="inlineStr">
        <is>
          <t>沟通/协调负荷</t>
        </is>
      </c>
      <c r="CM173" s="2"/>
      <c r="CN173" s="2" t="inlineStr">
        <is>
          <t>9f6201bc-27a6-41cd-932a-957c3e1c3982</t>
        </is>
      </c>
      <c r="CO173" s="3" t="n">
        <v>1</v>
      </c>
      <c r="CP173" s="2"/>
      <c r="CQ173" s="2" t="inlineStr">
        <is>
          <t>消防器材周检</t>
        </is>
      </c>
      <c r="CR173" s="2" t="inlineStr">
        <is>
          <t>1次</t>
        </is>
      </c>
      <c r="CS173" s="3" t="n">
        <v>1</v>
      </c>
      <c r="CT173" s="3" t="n">
        <v>1</v>
      </c>
      <c r="CU173" s="2" t="inlineStr">
        <is>
          <t>B.2小时以内</t>
        </is>
      </c>
      <c r="CV173" s="7" t="n">
        <v>2</v>
      </c>
      <c r="CW173" s="7" t="n">
        <v>2</v>
      </c>
      <c r="CX173" s="7" t="n">
        <v>2</v>
      </c>
      <c r="CY173" s="7" t="n">
        <v>2</v>
      </c>
      <c r="CZ173" s="2" t="inlineStr">
        <is>
          <t>其他</t>
        </is>
      </c>
      <c r="DA173" s="2"/>
      <c r="DB173" s="2"/>
      <c r="DC173" s="2" t="inlineStr">
        <is>
          <t>岗位职责</t>
        </is>
      </c>
      <c r="DD173" s="2" t="inlineStr">
        <is>
          <t>重要不紧急</t>
        </is>
      </c>
      <c r="DE173" s="2" t="inlineStr">
        <is>
          <t>高度标准化-有成熟SOP，照做即可</t>
        </is>
      </c>
      <c r="DF173" s="2" t="inlineStr">
        <is>
          <t>极少（&lt;5%）</t>
        </is>
      </c>
      <c r="DG173" s="2" t="inlineStr">
        <is>
          <t>时效/强度负荷</t>
        </is>
      </c>
      <c r="DH173" s="2"/>
      <c r="DI173" s="2" t="inlineStr">
        <is>
          <t>76af6f8c-3a48-45f4-8975-782001ef363e</t>
        </is>
      </c>
      <c r="DJ173" s="3" t="n">
        <v>1</v>
      </c>
      <c r="DK173" s="2"/>
      <c r="DL173" s="2" t="inlineStr">
        <is>
          <t>消防灭火器检查</t>
        </is>
      </c>
      <c r="DM173" s="2" t="inlineStr">
        <is>
          <t>1次</t>
        </is>
      </c>
      <c r="DN173" s="3" t="n">
        <v>1</v>
      </c>
      <c r="DO173" s="3" t="n">
        <v>1</v>
      </c>
      <c r="DP173" s="2" t="inlineStr">
        <is>
          <t>B.2小时以内</t>
        </is>
      </c>
      <c r="DQ173" s="7" t="n">
        <v>2</v>
      </c>
      <c r="DR173" s="7" t="n">
        <v>2</v>
      </c>
      <c r="DS173" s="7" t="n">
        <v>2</v>
      </c>
      <c r="DT173" s="7" t="n">
        <v>2</v>
      </c>
      <c r="DU173" s="2" t="inlineStr">
        <is>
          <t>其他</t>
        </is>
      </c>
      <c r="DV173" s="2"/>
      <c r="DW173" s="2"/>
      <c r="DX173" s="2" t="inlineStr">
        <is>
          <t>岗位职责</t>
        </is>
      </c>
      <c r="DY173" s="2" t="inlineStr">
        <is>
          <t>重要不紧急</t>
        </is>
      </c>
      <c r="DZ173" s="2" t="inlineStr">
        <is>
          <t>高度标准化-有成熟SOP，照做即可</t>
        </is>
      </c>
      <c r="EA173" s="2" t="inlineStr">
        <is>
          <t>极少（&lt;5%）</t>
        </is>
      </c>
      <c r="EB173" s="2" t="inlineStr">
        <is>
          <t>责任/风险负荷</t>
        </is>
      </c>
      <c r="EC173" s="2"/>
      <c r="ED173" s="2" t="inlineStr">
        <is>
          <t>3e7c310d-5289-4ecf-93a5-69e5cac5465d</t>
        </is>
      </c>
      <c r="EE173" s="3" t="n">
        <v>1</v>
      </c>
      <c r="EF173" s="2"/>
      <c r="EG173" s="2" t="inlineStr">
        <is>
          <t>安全展板制作</t>
        </is>
      </c>
      <c r="EH173" s="2" t="inlineStr">
        <is>
          <t>1次</t>
        </is>
      </c>
      <c r="EI173" s="3" t="n">
        <v>1</v>
      </c>
      <c r="EJ173" s="2" t="inlineStr">
        <is>
          <t>C.2-4小时</t>
        </is>
      </c>
      <c r="EK173" s="7" t="n">
        <v>2</v>
      </c>
      <c r="EL173" s="7" t="n">
        <v>4</v>
      </c>
      <c r="EM173" s="7" t="n">
        <v>2</v>
      </c>
      <c r="EN173" s="7" t="n">
        <v>4</v>
      </c>
      <c r="EO173" s="2" t="inlineStr">
        <is>
          <t>协调沟通类</t>
        </is>
      </c>
      <c r="EP173" s="2"/>
      <c r="EQ173" s="2" t="inlineStr">
        <is>
          <t>外部联络</t>
        </is>
      </c>
      <c r="ER173" s="2" t="inlineStr">
        <is>
          <t>部门计划</t>
        </is>
      </c>
      <c r="ES173" s="2" t="inlineStr">
        <is>
          <t>重要不紧急</t>
        </is>
      </c>
      <c r="ET173" s="2" t="inlineStr">
        <is>
          <t>非标准化-无先例参考，需创新协调</t>
        </is>
      </c>
      <c r="EU173" s="2" t="inlineStr">
        <is>
          <t>极少（&lt;5%）</t>
        </is>
      </c>
      <c r="EV173" s="2" t="inlineStr">
        <is>
          <t>沟通/协调负荷</t>
        </is>
      </c>
      <c r="EW173" s="2"/>
      <c r="EX173" s="2" t="inlineStr">
        <is>
          <t>d9c0ef55-5d26-411a-b15d-653d4f98a2e7</t>
        </is>
      </c>
      <c r="EY173" s="3" t="n">
        <v>1</v>
      </c>
      <c r="EZ173" s="2"/>
      <c r="FA173" s="2" t="inlineStr">
        <is>
          <t>三年内无事故证明开具</t>
        </is>
      </c>
      <c r="FB173" s="2" t="inlineStr">
        <is>
          <t>每年1-2次</t>
        </is>
      </c>
      <c r="FC173" s="2" t="inlineStr">
        <is>
          <t>年</t>
        </is>
      </c>
      <c r="FD173" s="3" t="n">
        <v>1</v>
      </c>
      <c r="FE173" s="3" t="n">
        <v>2</v>
      </c>
      <c r="FF173" s="2" t="inlineStr">
        <is>
          <t>A.20分钟以内</t>
        </is>
      </c>
      <c r="FG173" s="7" t="n">
        <v>0.33</v>
      </c>
      <c r="FH173" s="7" t="n">
        <v>0.33</v>
      </c>
      <c r="FI173" s="7" t="n">
        <v>0</v>
      </c>
      <c r="FJ173" s="7" t="n">
        <v>0</v>
      </c>
      <c r="FK173" s="7" t="n">
        <v>0</v>
      </c>
      <c r="FL173" s="7" t="n">
        <v>0</v>
      </c>
      <c r="FM173" s="7" t="n">
        <v>0.33</v>
      </c>
      <c r="FN173" s="7" t="n">
        <v>0.66</v>
      </c>
      <c r="FO173" s="2" t="inlineStr">
        <is>
          <t>其他</t>
        </is>
      </c>
      <c r="FP173" s="2"/>
      <c r="FQ173" s="2"/>
      <c r="FR173" s="2" t="inlineStr">
        <is>
          <t>跨部门协同</t>
        </is>
      </c>
      <c r="FS173" s="2" t="inlineStr">
        <is>
          <t>重要不紧急</t>
        </is>
      </c>
      <c r="FT173" s="2" t="inlineStr">
        <is>
          <t>高度标准化-有成熟SOP，照做即可</t>
        </is>
      </c>
      <c r="FU173" s="2" t="inlineStr">
        <is>
          <t>极少（&lt;5%）</t>
        </is>
      </c>
      <c r="FV173" s="2" t="inlineStr">
        <is>
          <t>时效/强度负荷</t>
        </is>
      </c>
      <c r="FW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t="inlineStr">
        <is>
          <t>1cbd626a-fbd2-46c4-bfd4-1c7715d79752</t>
        </is>
      </c>
      <c r="BT174" s="3" t="n">
        <v>2</v>
      </c>
      <c r="BU174" s="2" t="inlineStr">
        <is>
          <t>行政事务类</t>
        </is>
      </c>
      <c r="BV174" s="2" t="inlineStr">
        <is>
          <t>安全证书新培和延期管理</t>
        </is>
      </c>
      <c r="BW174" s="2" t="inlineStr">
        <is>
          <t>1次</t>
        </is>
      </c>
      <c r="BX174" s="3" t="n">
        <v>1</v>
      </c>
      <c r="BY174" s="3" t="n">
        <v>1</v>
      </c>
      <c r="BZ174" s="2" t="inlineStr">
        <is>
          <t>B.2小时以内</t>
        </is>
      </c>
      <c r="CA174" s="7" t="n">
        <v>2</v>
      </c>
      <c r="CB174" s="7" t="n">
        <v>2</v>
      </c>
      <c r="CC174" s="7" t="n">
        <v>2</v>
      </c>
      <c r="CD174" s="7" t="n">
        <v>2</v>
      </c>
      <c r="CE174" s="2" t="inlineStr">
        <is>
          <t>行政事务类</t>
        </is>
      </c>
      <c r="CF174" s="2"/>
      <c r="CG174" s="2" t="inlineStr">
        <is>
          <t>日常台账</t>
        </is>
      </c>
      <c r="CH174" s="2" t="inlineStr">
        <is>
          <t>岗位职责</t>
        </is>
      </c>
      <c r="CI174" s="2" t="inlineStr">
        <is>
          <t>重要且紧急</t>
        </is>
      </c>
      <c r="CJ174" s="2" t="inlineStr">
        <is>
          <t>高度标准化-有成熟SOP，照做即可</t>
        </is>
      </c>
      <c r="CK174" s="2" t="inlineStr">
        <is>
          <t>极少（&lt;5%）</t>
        </is>
      </c>
      <c r="CL174" s="2" t="inlineStr">
        <is>
          <t>责任/风险负荷</t>
        </is>
      </c>
      <c r="CM174" s="2"/>
      <c r="CN174" s="2" t="inlineStr">
        <is>
          <t>f0986cc3-d6c5-42cf-ab27-e7c0c7e900e8</t>
        </is>
      </c>
      <c r="CO174" s="3" t="n">
        <v>2</v>
      </c>
      <c r="CP174" s="2"/>
      <c r="CQ174" s="2" t="inlineStr">
        <is>
          <t>分包商资质的审核</t>
        </is>
      </c>
      <c r="CR174" s="2" t="inlineStr">
        <is>
          <t>4-5次</t>
        </is>
      </c>
      <c r="CS174" s="3" t="n">
        <v>4</v>
      </c>
      <c r="CT174" s="3" t="n">
        <v>5</v>
      </c>
      <c r="CU174" s="2" t="inlineStr">
        <is>
          <t>B.2小时以内</t>
        </is>
      </c>
      <c r="CV174" s="7" t="n">
        <v>2</v>
      </c>
      <c r="CW174" s="7" t="n">
        <v>2</v>
      </c>
      <c r="CX174" s="7" t="n">
        <v>8</v>
      </c>
      <c r="CY174" s="7" t="n">
        <v>10</v>
      </c>
      <c r="CZ174" s="2" t="inlineStr">
        <is>
          <t>专业技术类</t>
        </is>
      </c>
      <c r="DA174" s="2"/>
      <c r="DB174" s="2" t="inlineStr">
        <is>
          <t>技术交底</t>
        </is>
      </c>
      <c r="DC174" s="2" t="inlineStr">
        <is>
          <t>岗位职责</t>
        </is>
      </c>
      <c r="DD174" s="2" t="inlineStr">
        <is>
          <t>重要不紧急</t>
        </is>
      </c>
      <c r="DE174" s="2" t="inlineStr">
        <is>
          <t>高度标准化-有成熟SOP，照做即可</t>
        </is>
      </c>
      <c r="DF174" s="2" t="inlineStr">
        <is>
          <t>极少（&lt;5%）</t>
        </is>
      </c>
      <c r="DG174" s="2" t="inlineStr">
        <is>
          <t>沟通/协调负荷</t>
        </is>
      </c>
      <c r="DH174" s="2"/>
      <c r="DI174" s="2" t="inlineStr">
        <is>
          <t>8de658c4-d670-4b0a-9c6e-b76f03a493fd</t>
        </is>
      </c>
      <c r="DJ174" s="3" t="n">
        <v>2</v>
      </c>
      <c r="DK174" s="2"/>
      <c r="DL174" s="2" t="inlineStr">
        <is>
          <t>月底安全员数据更新汇总</t>
        </is>
      </c>
      <c r="DM174" s="2" t="inlineStr">
        <is>
          <t>1次</t>
        </is>
      </c>
      <c r="DN174" s="3" t="n">
        <v>1</v>
      </c>
      <c r="DO174" s="3" t="n">
        <v>1</v>
      </c>
      <c r="DP174" s="2" t="inlineStr">
        <is>
          <t>B.2小时以内</t>
        </is>
      </c>
      <c r="DQ174" s="7" t="n">
        <v>2</v>
      </c>
      <c r="DR174" s="7" t="n">
        <v>2</v>
      </c>
      <c r="DS174" s="7" t="n">
        <v>2</v>
      </c>
      <c r="DT174" s="7" t="n">
        <v>2</v>
      </c>
      <c r="DU174" s="2" t="inlineStr">
        <is>
          <t>协调沟通类</t>
        </is>
      </c>
      <c r="DV174" s="2"/>
      <c r="DW174" s="2" t="inlineStr">
        <is>
          <t>外部联络</t>
        </is>
      </c>
      <c r="DX174" s="2" t="inlineStr">
        <is>
          <t>岗位职责</t>
        </is>
      </c>
      <c r="DY174" s="2" t="inlineStr">
        <is>
          <t>重要不紧急</t>
        </is>
      </c>
      <c r="DZ174" s="2" t="inlineStr">
        <is>
          <t>高度标准化-有成熟SOP，照做即可</t>
        </is>
      </c>
      <c r="EA174" s="2" t="inlineStr">
        <is>
          <t>极少（&lt;5%）</t>
        </is>
      </c>
      <c r="EB174" s="2" t="inlineStr">
        <is>
          <t>沟通/协调负荷</t>
        </is>
      </c>
      <c r="EC174" s="2"/>
      <c r="ED174" s="2" t="inlineStr">
        <is>
          <t>80f197aa-7e6d-4b9c-8ac2-affdce421d31</t>
        </is>
      </c>
      <c r="EE174" s="3" t="n">
        <v>2</v>
      </c>
      <c r="EF174" s="2"/>
      <c r="EG174" s="2" t="inlineStr">
        <is>
          <t>安全月活动资料的收集</t>
        </is>
      </c>
      <c r="EH174" s="2" t="inlineStr">
        <is>
          <t>1次</t>
        </is>
      </c>
      <c r="EI174" s="3" t="n">
        <v>1</v>
      </c>
      <c r="EJ174" s="2" t="inlineStr">
        <is>
          <t>E.8小时以上</t>
        </is>
      </c>
      <c r="EK174" s="7" t="n">
        <v>8</v>
      </c>
      <c r="EL174" s="7" t="n">
        <v>8</v>
      </c>
      <c r="EM174" s="7" t="n">
        <v>8</v>
      </c>
      <c r="EN174" s="7" t="n">
        <v>8</v>
      </c>
      <c r="EO174" s="2" t="inlineStr">
        <is>
          <t>综合管理类</t>
        </is>
      </c>
      <c r="EP174" s="2"/>
      <c r="EQ174" s="2" t="inlineStr">
        <is>
          <t>重点任务督办</t>
        </is>
      </c>
      <c r="ER174" s="2" t="inlineStr">
        <is>
          <t>部门计划</t>
        </is>
      </c>
      <c r="ES174" s="2" t="inlineStr">
        <is>
          <t>重要且紧急</t>
        </is>
      </c>
      <c r="ET174" s="2" t="inlineStr">
        <is>
          <t>半标准化-有流程框架，需专业经验</t>
        </is>
      </c>
      <c r="EU174" s="2" t="inlineStr">
        <is>
          <t>极少（&lt;5%）</t>
        </is>
      </c>
      <c r="EV174" s="2" t="inlineStr">
        <is>
          <t>沟通/协调负荷</t>
        </is>
      </c>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t="inlineStr">
        <is>
          <t>400494d6-bfa3-4fda-acb1-0d22f05b3082</t>
        </is>
      </c>
      <c r="BT175" s="3" t="n">
        <v>3</v>
      </c>
      <c r="BU175" s="2" t="inlineStr">
        <is>
          <t>行政事务类</t>
        </is>
      </c>
      <c r="BV175" s="2" t="inlineStr">
        <is>
          <t>ERP证书台账日更新</t>
        </is>
      </c>
      <c r="BW175" s="2" t="inlineStr">
        <is>
          <t>1次</t>
        </is>
      </c>
      <c r="BX175" s="3" t="n">
        <v>1</v>
      </c>
      <c r="BY175" s="3" t="n">
        <v>1</v>
      </c>
      <c r="BZ175" s="2" t="inlineStr">
        <is>
          <t>A.20分钟以内</t>
        </is>
      </c>
      <c r="CA175" s="7" t="n">
        <v>0.33</v>
      </c>
      <c r="CB175" s="7" t="n">
        <v>0.33</v>
      </c>
      <c r="CC175" s="7" t="n">
        <v>0.33</v>
      </c>
      <c r="CD175" s="7" t="n">
        <v>0.33</v>
      </c>
      <c r="CE175" s="2" t="inlineStr">
        <is>
          <t>行政事务类</t>
        </is>
      </c>
      <c r="CF175" s="2"/>
      <c r="CG175" s="2" t="inlineStr">
        <is>
          <t>日常台账</t>
        </is>
      </c>
      <c r="CH175" s="2" t="inlineStr">
        <is>
          <t>岗位职责</t>
        </is>
      </c>
      <c r="CI175" s="2" t="inlineStr">
        <is>
          <t>重要不紧急</t>
        </is>
      </c>
      <c r="CJ175" s="2" t="inlineStr">
        <is>
          <t>高度标准化-有成熟SOP，照做即可</t>
        </is>
      </c>
      <c r="CK175" s="2" t="inlineStr">
        <is>
          <t>极少（&lt;5%）</t>
        </is>
      </c>
      <c r="CL175" s="2" t="inlineStr">
        <is>
          <t>时效/强度负荷</t>
        </is>
      </c>
      <c r="CM175" s="2"/>
      <c r="CN175" s="2" t="inlineStr">
        <is>
          <t>9eafff35-de04-4d4c-86c2-34f2ddc55306</t>
        </is>
      </c>
      <c r="CO175" s="3" t="n">
        <v>3</v>
      </c>
      <c r="CP175" s="2"/>
      <c r="CQ175" s="2" t="inlineStr">
        <is>
          <t>分包商资质审批</t>
        </is>
      </c>
      <c r="CR175" s="2" t="inlineStr">
        <is>
          <t>4-5次</t>
        </is>
      </c>
      <c r="CS175" s="3" t="n">
        <v>4</v>
      </c>
      <c r="CT175" s="3" t="n">
        <v>5</v>
      </c>
      <c r="CU175" s="2" t="inlineStr">
        <is>
          <t>A.20分钟以内</t>
        </is>
      </c>
      <c r="CV175" s="7" t="n">
        <v>0.33</v>
      </c>
      <c r="CW175" s="7" t="n">
        <v>0.33</v>
      </c>
      <c r="CX175" s="7" t="n">
        <v>1.32</v>
      </c>
      <c r="CY175" s="7" t="n">
        <v>1.65</v>
      </c>
      <c r="CZ175" s="2" t="inlineStr">
        <is>
          <t>流程审批类</t>
        </is>
      </c>
      <c r="DA175" s="2"/>
      <c r="DB175" s="2" t="inlineStr">
        <is>
          <t>协同办公流程</t>
        </is>
      </c>
      <c r="DC175" s="2" t="inlineStr">
        <is>
          <t>部门计划</t>
        </is>
      </c>
      <c r="DD175" s="2" t="inlineStr">
        <is>
          <t>重要不紧急</t>
        </is>
      </c>
      <c r="DE175" s="2" t="inlineStr">
        <is>
          <t>高度标准化-有成熟SOP，照做即可</t>
        </is>
      </c>
      <c r="DF175" s="2" t="inlineStr">
        <is>
          <t>极少（&lt;5%）</t>
        </is>
      </c>
      <c r="DG175" s="2" t="inlineStr">
        <is>
          <t>责任/风险负荷</t>
        </is>
      </c>
      <c r="DH175" s="2"/>
      <c r="DI175" s="2" t="inlineStr">
        <is>
          <t>98769efc-f24e-4d1f-8a83-fc6eae70a047</t>
        </is>
      </c>
      <c r="DJ175" s="3" t="n">
        <v>3</v>
      </c>
      <c r="DK175" s="2"/>
      <c r="DL175" s="2" t="inlineStr">
        <is>
          <t>HSE部内部培训</t>
        </is>
      </c>
      <c r="DM175" s="2" t="inlineStr">
        <is>
          <t>1次</t>
        </is>
      </c>
      <c r="DN175" s="3" t="n">
        <v>1</v>
      </c>
      <c r="DO175" s="3" t="n">
        <v>1</v>
      </c>
      <c r="DP175" s="2" t="inlineStr">
        <is>
          <t>B.2小时以内</t>
        </is>
      </c>
      <c r="DQ175" s="7" t="n">
        <v>2</v>
      </c>
      <c r="DR175" s="7" t="n">
        <v>2</v>
      </c>
      <c r="DS175" s="7" t="n">
        <v>2</v>
      </c>
      <c r="DT175" s="7" t="n">
        <v>2</v>
      </c>
      <c r="DU175" s="2" t="inlineStr">
        <is>
          <t>行政事务类</t>
        </is>
      </c>
      <c r="DV175" s="2"/>
      <c r="DW175" s="2" t="inlineStr">
        <is>
          <t>会议安排</t>
        </is>
      </c>
      <c r="DX175" s="2" t="inlineStr">
        <is>
          <t>部门计划</t>
        </is>
      </c>
      <c r="DY175" s="2" t="inlineStr">
        <is>
          <t>重要不紧急</t>
        </is>
      </c>
      <c r="DZ175" s="2" t="inlineStr">
        <is>
          <t>半标准化-有流程框架，需专业经验</t>
        </is>
      </c>
      <c r="EA175" s="2" t="inlineStr">
        <is>
          <t>极少（&lt;5%）</t>
        </is>
      </c>
      <c r="EB175" s="2" t="inlineStr">
        <is>
          <t>沟通/协调负荷</t>
        </is>
      </c>
      <c r="EC175" s="2"/>
      <c r="ED175" s="2" t="inlineStr">
        <is>
          <t>4dc339e4-d38d-4182-a574-db6eb7455855</t>
        </is>
      </c>
      <c r="EE175" s="3" t="n">
        <v>3</v>
      </c>
      <c r="EF175" s="2"/>
      <c r="EG175" s="2" t="inlineStr">
        <is>
          <t>法律法规的更新</t>
        </is>
      </c>
      <c r="EH175" s="2" t="inlineStr">
        <is>
          <t>1次</t>
        </is>
      </c>
      <c r="EI175" s="3" t="n">
        <v>1</v>
      </c>
      <c r="EJ175" s="2" t="inlineStr">
        <is>
          <t>B.2小时以内</t>
        </is>
      </c>
      <c r="EK175" s="7" t="n">
        <v>2</v>
      </c>
      <c r="EL175" s="7" t="n">
        <v>2</v>
      </c>
      <c r="EM175" s="7" t="n">
        <v>2</v>
      </c>
      <c r="EN175" s="7" t="n">
        <v>2</v>
      </c>
      <c r="EO175" s="2" t="inlineStr">
        <is>
          <t>行政事务类</t>
        </is>
      </c>
      <c r="EP175" s="2"/>
      <c r="EQ175" s="2" t="inlineStr">
        <is>
          <t>日常台账</t>
        </is>
      </c>
      <c r="ER175" s="2" t="inlineStr">
        <is>
          <t>岗位职责</t>
        </is>
      </c>
      <c r="ES175" s="2" t="inlineStr">
        <is>
          <t>重要不紧急</t>
        </is>
      </c>
      <c r="ET175" s="2" t="inlineStr">
        <is>
          <t>半标准化-有流程框架，需专业经验</t>
        </is>
      </c>
      <c r="EU175" s="2" t="inlineStr">
        <is>
          <t>极少（&lt;5%）</t>
        </is>
      </c>
      <c r="EV175" s="2" t="inlineStr">
        <is>
          <t>时效/强度负荷</t>
        </is>
      </c>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t="inlineStr">
        <is>
          <t>d5b56449-71dc-4251-b534-34a561ca1645</t>
        </is>
      </c>
      <c r="DJ176" s="3" t="n">
        <v>4</v>
      </c>
      <c r="DK176" s="2"/>
      <c r="DL176" s="2" t="inlineStr">
        <is>
          <t>安全培训试卷收集与批改</t>
        </is>
      </c>
      <c r="DM176" s="2" t="inlineStr">
        <is>
          <t>1次</t>
        </is>
      </c>
      <c r="DN176" s="3" t="n">
        <v>1</v>
      </c>
      <c r="DO176" s="3" t="n">
        <v>1</v>
      </c>
      <c r="DP176" s="2" t="inlineStr">
        <is>
          <t>E.8小时以上</t>
        </is>
      </c>
      <c r="DQ176" s="7" t="n">
        <v>8</v>
      </c>
      <c r="DR176" s="7" t="n">
        <v>8</v>
      </c>
      <c r="DS176" s="7" t="n">
        <v>8</v>
      </c>
      <c r="DT176" s="7" t="n">
        <v>8</v>
      </c>
      <c r="DU176" s="2" t="inlineStr">
        <is>
          <t>其他</t>
        </is>
      </c>
      <c r="DV176" s="2"/>
      <c r="DW176" s="2"/>
      <c r="DX176" s="2" t="inlineStr">
        <is>
          <t>部门计划</t>
        </is>
      </c>
      <c r="DY176" s="2" t="inlineStr">
        <is>
          <t>重要不紧急</t>
        </is>
      </c>
      <c r="DZ176" s="2" t="inlineStr">
        <is>
          <t>半标准化-有流程框架，需专业经验</t>
        </is>
      </c>
      <c r="EA176" s="2" t="inlineStr">
        <is>
          <t>极少（&lt;5%）</t>
        </is>
      </c>
      <c r="EB176" s="2" t="inlineStr">
        <is>
          <t>时效/强度负荷</t>
        </is>
      </c>
      <c r="EC176" s="2"/>
      <c r="ED176" s="2" t="inlineStr">
        <is>
          <t>bfac6bee-b790-45d2-b3c5-935e0507469c</t>
        </is>
      </c>
      <c r="EE176" s="3" t="n">
        <v>4</v>
      </c>
      <c r="EF176" s="2"/>
      <c r="EG176" s="2" t="inlineStr">
        <is>
          <t>HSE部外审</t>
        </is>
      </c>
      <c r="EH176" s="2" t="inlineStr">
        <is>
          <t>1次</t>
        </is>
      </c>
      <c r="EI176" s="3" t="n">
        <v>1</v>
      </c>
      <c r="EJ176" s="2" t="inlineStr">
        <is>
          <t>E.8小时以上</t>
        </is>
      </c>
      <c r="EK176" s="7" t="n">
        <v>8</v>
      </c>
      <c r="EL176" s="7" t="n">
        <v>8</v>
      </c>
      <c r="EM176" s="7" t="n">
        <v>8</v>
      </c>
      <c r="EN176" s="7" t="n">
        <v>8</v>
      </c>
      <c r="EO176" s="2" t="inlineStr">
        <is>
          <t>综合管理类</t>
        </is>
      </c>
      <c r="EP176" s="2"/>
      <c r="EQ176" s="2" t="inlineStr">
        <is>
          <t>重点任务督办</t>
        </is>
      </c>
      <c r="ER176" s="2" t="inlineStr">
        <is>
          <t>部门计划</t>
        </is>
      </c>
      <c r="ES176" s="2" t="inlineStr">
        <is>
          <t>重要且紧急</t>
        </is>
      </c>
      <c r="ET176" s="2" t="inlineStr">
        <is>
          <t>半标准化-有流程框架，需专业经验</t>
        </is>
      </c>
      <c r="EU176" s="2" t="inlineStr">
        <is>
          <t>极少（&lt;5%）</t>
        </is>
      </c>
      <c r="EV176" s="2" t="inlineStr">
        <is>
          <t>沟通/协调负荷</t>
        </is>
      </c>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t="inlineStr">
        <is>
          <t>c56d2786-0903-4c39-b515-d4a994981b1f</t>
        </is>
      </c>
      <c r="DJ177" s="3" t="n">
        <v>5</v>
      </c>
      <c r="DK177" s="2"/>
      <c r="DL177" s="2" t="inlineStr">
        <is>
          <t>劳保费用报销</t>
        </is>
      </c>
      <c r="DM177" s="2" t="inlineStr">
        <is>
          <t>1次</t>
        </is>
      </c>
      <c r="DN177" s="3" t="n">
        <v>1</v>
      </c>
      <c r="DO177" s="3" t="n">
        <v>1</v>
      </c>
      <c r="DP177" s="2" t="inlineStr">
        <is>
          <t>B.2小时以内</t>
        </is>
      </c>
      <c r="DQ177" s="7" t="n">
        <v>2</v>
      </c>
      <c r="DR177" s="7" t="n">
        <v>2</v>
      </c>
      <c r="DS177" s="7" t="n">
        <v>2</v>
      </c>
      <c r="DT177" s="7" t="n">
        <v>2</v>
      </c>
      <c r="DU177" s="2" t="inlineStr">
        <is>
          <t>流程审批类</t>
        </is>
      </c>
      <c r="DV177" s="2"/>
      <c r="DW177" s="2" t="inlineStr">
        <is>
          <t>费用报销流程</t>
        </is>
      </c>
      <c r="DX177" s="2" t="inlineStr">
        <is>
          <t>部门计划</t>
        </is>
      </c>
      <c r="DY177" s="2" t="inlineStr">
        <is>
          <t>重要不紧急</t>
        </is>
      </c>
      <c r="DZ177" s="2" t="inlineStr">
        <is>
          <t>高度标准化-有成熟SOP，照做即可</t>
        </is>
      </c>
      <c r="EA177" s="2" t="inlineStr">
        <is>
          <t>极少（&lt;5%）</t>
        </is>
      </c>
      <c r="EB177" s="2" t="inlineStr">
        <is>
          <t>责任/风险负荷</t>
        </is>
      </c>
      <c r="EC177" s="2"/>
      <c r="ED177" s="2" t="inlineStr">
        <is>
          <t>37716caf-7acd-4162-b473-fb9374a75283</t>
        </is>
      </c>
      <c r="EE177" s="3" t="n">
        <v>5</v>
      </c>
      <c r="EF177" s="2"/>
      <c r="EG177" s="2" t="inlineStr">
        <is>
          <t>新生劳保发放</t>
        </is>
      </c>
      <c r="EH177" s="2" t="inlineStr">
        <is>
          <t>1次</t>
        </is>
      </c>
      <c r="EI177" s="3" t="n">
        <v>1</v>
      </c>
      <c r="EJ177" s="2" t="inlineStr">
        <is>
          <t>D.4-8小时</t>
        </is>
      </c>
      <c r="EK177" s="7" t="n">
        <v>4</v>
      </c>
      <c r="EL177" s="7" t="n">
        <v>8</v>
      </c>
      <c r="EM177" s="7" t="n">
        <v>4</v>
      </c>
      <c r="EN177" s="7" t="n">
        <v>8</v>
      </c>
      <c r="EO177" s="2" t="inlineStr">
        <is>
          <t>其他</t>
        </is>
      </c>
      <c r="EP177" s="2"/>
      <c r="EQ177" s="2"/>
      <c r="ER177" s="2" t="inlineStr">
        <is>
          <t>岗位职责</t>
        </is>
      </c>
      <c r="ES177" s="2" t="inlineStr">
        <is>
          <t>重要不紧急</t>
        </is>
      </c>
      <c r="ET177" s="2" t="inlineStr">
        <is>
          <t>高度标准化-有成熟SOP，照做即可</t>
        </is>
      </c>
      <c r="EU177" s="2" t="inlineStr">
        <is>
          <t>极少（&lt;5%）</t>
        </is>
      </c>
      <c r="EV177" s="2" t="inlineStr">
        <is>
          <t>时效/强度负荷</t>
        </is>
      </c>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t="inlineStr">
        <is>
          <t>de44ae4e-b920-46ab-bf68-2a2a8cab0b33</t>
        </is>
      </c>
      <c r="DJ178" s="3" t="n">
        <v>6</v>
      </c>
      <c r="DK178" s="2"/>
      <c r="DL178" s="2" t="inlineStr">
        <is>
          <t>劳保用品采购流程</t>
        </is>
      </c>
      <c r="DM178" s="2" t="inlineStr">
        <is>
          <t>1次</t>
        </is>
      </c>
      <c r="DN178" s="3" t="n">
        <v>1</v>
      </c>
      <c r="DO178" s="3" t="n">
        <v>1</v>
      </c>
      <c r="DP178" s="2" t="inlineStr">
        <is>
          <t>B.2小时以内</t>
        </is>
      </c>
      <c r="DQ178" s="7" t="n">
        <v>2</v>
      </c>
      <c r="DR178" s="7" t="n">
        <v>2</v>
      </c>
      <c r="DS178" s="7" t="n">
        <v>2</v>
      </c>
      <c r="DT178" s="7" t="n">
        <v>2</v>
      </c>
      <c r="DU178" s="2" t="inlineStr">
        <is>
          <t>流程审批类</t>
        </is>
      </c>
      <c r="DV178" s="2"/>
      <c r="DW178" s="2" t="inlineStr">
        <is>
          <t>物资及采购流程</t>
        </is>
      </c>
      <c r="DX178" s="2" t="inlineStr">
        <is>
          <t>岗位职责</t>
        </is>
      </c>
      <c r="DY178" s="2" t="inlineStr">
        <is>
          <t>重要不紧急</t>
        </is>
      </c>
      <c r="DZ178" s="2" t="inlineStr">
        <is>
          <t>高度标准化-有成熟SOP，照做即可</t>
        </is>
      </c>
      <c r="EA178" s="2" t="inlineStr">
        <is>
          <t>极少（&lt;5%）</t>
        </is>
      </c>
      <c r="EB178" s="2" t="inlineStr">
        <is>
          <t>责任/风险负荷</t>
        </is>
      </c>
      <c r="EC178" s="2"/>
      <c r="ED178" s="2" t="inlineStr">
        <is>
          <t>1d1498a0-12b6-4a53-bcf9-ce5d9b7a0132</t>
        </is>
      </c>
      <c r="EE178" s="3" t="n">
        <v>6</v>
      </c>
      <c r="EF178" s="2"/>
      <c r="EG178" s="2" t="inlineStr">
        <is>
          <t>安全生产责任书的收集</t>
        </is>
      </c>
      <c r="EH178" s="2" t="inlineStr">
        <is>
          <t>1次</t>
        </is>
      </c>
      <c r="EI178" s="3" t="n">
        <v>1</v>
      </c>
      <c r="EJ178" s="2" t="inlineStr">
        <is>
          <t>E.8小时以上</t>
        </is>
      </c>
      <c r="EK178" s="7" t="n">
        <v>8</v>
      </c>
      <c r="EL178" s="7" t="n">
        <v>8</v>
      </c>
      <c r="EM178" s="7" t="n">
        <v>8</v>
      </c>
      <c r="EN178" s="7" t="n">
        <v>8</v>
      </c>
      <c r="EO178" s="2" t="inlineStr">
        <is>
          <t>监督检查类</t>
        </is>
      </c>
      <c r="EP178" s="2"/>
      <c r="EQ178" s="2" t="inlineStr">
        <is>
          <t>专项检查</t>
        </is>
      </c>
      <c r="ER178" s="2" t="inlineStr">
        <is>
          <t>部门计划</t>
        </is>
      </c>
      <c r="ES178" s="2" t="inlineStr">
        <is>
          <t>重要且紧急</t>
        </is>
      </c>
      <c r="ET178" s="2" t="inlineStr">
        <is>
          <t>高度标准化-有成熟SOP，照做即可</t>
        </is>
      </c>
      <c r="EU178" s="2" t="inlineStr">
        <is>
          <t>极少（&lt;5%）</t>
        </is>
      </c>
      <c r="EV178" s="2" t="inlineStr">
        <is>
          <t>沟通/协调负荷</t>
        </is>
      </c>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row>
    <row r="179">
      <c r="A179" s="2" t="inlineStr">
        <is>
          <t>2026-05-18 10:49:20</t>
        </is>
      </c>
      <c r="B179" s="2" t="inlineStr">
        <is>
          <t>张晶晶</t>
        </is>
      </c>
      <c r="C179" s="2" t="inlineStr">
        <is>
          <t>HSE部</t>
        </is>
      </c>
      <c r="D179" s="2" t="inlineStr">
        <is>
          <t>女</t>
        </is>
      </c>
      <c r="E179" s="2" t="inlineStr">
        <is>
          <t>320682199402175982</t>
        </is>
      </c>
      <c r="F179" s="2" t="inlineStr">
        <is>
          <t>技术助理(一)</t>
        </is>
      </c>
      <c r="G179" s="2" t="inlineStr">
        <is>
          <t>2017-07</t>
        </is>
      </c>
      <c r="H179" s="2" t="inlineStr">
        <is>
          <t>南京晓庄学院</t>
        </is>
      </c>
      <c r="I179" s="2"/>
      <c r="J179" s="2" t="inlineStr">
        <is>
          <t>本科</t>
        </is>
      </c>
      <c r="K179" s="2"/>
      <c r="L179" s="6">
        <f>HYPERLINK("https://www.h3yun.com/Form/Attachments/?schemacode=D1483577de63ede327d4760b10664bd57671d7e&amp;bizObjectId=eeecfe5f-d295-4deb-90bb-31e2c1349dcb&amp;name=F0000046","点击查看")</f>
        <v>0</v>
      </c>
      <c r="M179" s="2" t="inlineStr">
        <is>
          <t>简化安全类台账上报统计复核难度。</t>
        </is>
      </c>
      <c r="N179" s="2" t="inlineStr">
        <is>
          <t>每日工作;每月工作;每季度/阶段性工作;临时/突发工作</t>
        </is>
      </c>
      <c r="O179" s="2" t="inlineStr">
        <is>
          <t>31-35岁</t>
        </is>
      </c>
      <c r="P179" s="2" t="inlineStr">
        <is>
          <t>C.已婚已育</t>
        </is>
      </c>
      <c r="Q179" s="2" t="inlineStr">
        <is>
          <t>B.是，主要照护子女</t>
        </is>
      </c>
      <c r="R179" s="2" t="inlineStr">
        <is>
          <t>B.有1名</t>
        </is>
      </c>
      <c r="S179" s="2" t="inlineStr">
        <is>
          <t>B.希望工作更稳定、更规律，便于兼顾家庭</t>
        </is>
      </c>
      <c r="T179" s="2" t="inlineStr">
        <is>
          <t>A.基本满意，希望保持</t>
        </is>
      </c>
      <c r="U179" s="2" t="inlineStr">
        <is>
          <t>E.增加成长性和挑战性</t>
        </is>
      </c>
      <c r="V179" s="2" t="inlineStr">
        <is>
          <t>A.没有</t>
        </is>
      </c>
      <c r="W179" s="2"/>
      <c r="X179" s="2" t="inlineStr">
        <is>
          <t>C.均衡 (80%-100%)</t>
        </is>
      </c>
      <c r="Y179" s="2" t="inlineStr">
        <is>
          <t>E.临时差旅、突发事件、会议加班</t>
        </is>
      </c>
      <c r="Z179" s="2" t="inlineStr">
        <is>
          <t>专项统计</t>
        </is>
      </c>
      <c r="AA179" s="2" t="inlineStr">
        <is>
          <t>会议安排</t>
        </is>
      </c>
      <c r="AB179" s="2" t="inlineStr">
        <is>
          <t>专项统计</t>
        </is>
      </c>
      <c r="AC179" s="2" t="inlineStr">
        <is>
          <t>B.基本匹配（正常履行）</t>
        </is>
      </c>
      <c r="AD179" s="2" t="inlineStr">
        <is>
          <t>无</t>
        </is>
      </c>
      <c r="AE179" s="2"/>
      <c r="AF179" s="2"/>
      <c r="AG179" s="2"/>
      <c r="AH179" s="2"/>
      <c r="AI179" s="7" t="n">
        <v>4</v>
      </c>
      <c r="AJ179" s="7" t="n">
        <v>8</v>
      </c>
      <c r="AK179" s="7" t="n">
        <v>0</v>
      </c>
      <c r="AL179" s="7" t="n">
        <v>0</v>
      </c>
      <c r="AM179" s="7" t="n">
        <v>0.18</v>
      </c>
      <c r="AN179" s="7" t="n">
        <v>0.36</v>
      </c>
      <c r="AO179" s="7" t="n">
        <v>0.02</v>
      </c>
      <c r="AP179" s="7" t="n">
        <v>0.03</v>
      </c>
      <c r="AQ179" s="7" t="n">
        <v>0.1</v>
      </c>
      <c r="AR179" s="7" t="n">
        <v>0.1</v>
      </c>
      <c r="AS179" s="7" t="n">
        <v>4.29</v>
      </c>
      <c r="AT179" s="7" t="n">
        <v>8.49</v>
      </c>
      <c r="AU179" s="7" t="n">
        <v>6.39</v>
      </c>
      <c r="AV179" s="2" t="inlineStr">
        <is>
          <t>欠饱和</t>
        </is>
      </c>
      <c r="AW179" s="2" t="inlineStr">
        <is>
          <t>不一致</t>
        </is>
      </c>
      <c r="AX179" s="2" t="inlineStr">
        <is>
          <t>eeecfe5f-d295-4deb-90bb-31e2c1349dcb</t>
        </is>
      </c>
      <c r="AY179" s="2" t="inlineStr">
        <is>
          <t>HSE部    张晶晶</t>
        </is>
      </c>
      <c r="AZ179" s="2" t="inlineStr">
        <is>
          <t>Anonymous</t>
        </is>
      </c>
      <c r="BA179" s="2" t="inlineStr">
        <is>
          <t>Anonymous</t>
        </is>
      </c>
      <c r="BB179" s="2"/>
      <c r="BC179" s="2" t="inlineStr">
        <is>
          <t>2026-05-21 08:43:22</t>
        </is>
      </c>
      <c r="BD179" s="3" t="n">
        <v>1994</v>
      </c>
      <c r="BE179" s="3" t="n">
        <v>32</v>
      </c>
      <c r="BF179" s="2" t="inlineStr">
        <is>
          <t>A.无此需求</t>
        </is>
      </c>
      <c r="BG179" s="2" t="inlineStr">
        <is>
          <t>已生效</t>
        </is>
      </c>
      <c r="BH179" s="2" t="inlineStr">
        <is>
          <t>5484ae37-a094-46e8-81d4-a6d42f4c4a5b</t>
        </is>
      </c>
      <c r="BI179" s="3" t="n">
        <v>1</v>
      </c>
      <c r="BJ179" s="2"/>
      <c r="BK179" s="2"/>
      <c r="BL179" s="2"/>
      <c r="BM179" s="2"/>
      <c r="BN179" s="2"/>
      <c r="BO179" s="2"/>
      <c r="BP179" s="2"/>
      <c r="BQ179" s="2"/>
      <c r="BR179" s="2"/>
      <c r="BS179" s="2" t="inlineStr">
        <is>
          <t>e09e4bbc-13c2-4893-a25b-37093d134833</t>
        </is>
      </c>
      <c r="BT179" s="3" t="n">
        <v>1</v>
      </c>
      <c r="BU179" s="2" t="inlineStr">
        <is>
          <t>数据报表类</t>
        </is>
      </c>
      <c r="BV179" s="2" t="inlineStr">
        <is>
          <t>安全台账复核</t>
        </is>
      </c>
      <c r="BW179" s="2" t="inlineStr">
        <is>
          <t>1次</t>
        </is>
      </c>
      <c r="BX179" s="3" t="n">
        <v>1</v>
      </c>
      <c r="BY179" s="3" t="n">
        <v>1</v>
      </c>
      <c r="BZ179" s="2" t="inlineStr">
        <is>
          <t>D.4-8小时</t>
        </is>
      </c>
      <c r="CA179" s="7" t="n">
        <v>4</v>
      </c>
      <c r="CB179" s="7" t="n">
        <v>8</v>
      </c>
      <c r="CC179" s="7" t="n">
        <v>4</v>
      </c>
      <c r="CD179" s="7" t="n">
        <v>8</v>
      </c>
      <c r="CE179" s="2" t="inlineStr">
        <is>
          <t>数据报表类</t>
        </is>
      </c>
      <c r="CF179" s="2"/>
      <c r="CG179" s="2" t="inlineStr">
        <is>
          <t>月报</t>
        </is>
      </c>
      <c r="CH179" s="2" t="inlineStr">
        <is>
          <t>上级指令</t>
        </is>
      </c>
      <c r="CI179" s="2" t="inlineStr">
        <is>
          <t>重要不紧急</t>
        </is>
      </c>
      <c r="CJ179" s="2" t="inlineStr">
        <is>
          <t>半标准化-有流程框架，需专业经验</t>
        </is>
      </c>
      <c r="CK179" s="2" t="inlineStr">
        <is>
          <t>极少（&lt;5%）</t>
        </is>
      </c>
      <c r="CL179" s="2" t="inlineStr">
        <is>
          <t>沟通/协调负荷</t>
        </is>
      </c>
      <c r="CM179" s="2"/>
      <c r="CN179" s="2" t="inlineStr">
        <is>
          <t>40d71c1e-14e7-4c0a-8d93-a271f0588d56</t>
        </is>
      </c>
      <c r="CO179" s="3" t="n">
        <v>1</v>
      </c>
      <c r="CP179" s="2"/>
      <c r="CQ179" s="2"/>
      <c r="CR179" s="2"/>
      <c r="CS179" s="3"/>
      <c r="CT179" s="3"/>
      <c r="CU179" s="2"/>
      <c r="CV179" s="3"/>
      <c r="CW179" s="3"/>
      <c r="CX179" s="3"/>
      <c r="CY179" s="3"/>
      <c r="CZ179" s="2"/>
      <c r="DA179" s="2"/>
      <c r="DB179" s="2"/>
      <c r="DC179" s="2"/>
      <c r="DD179" s="2"/>
      <c r="DE179" s="2"/>
      <c r="DF179" s="2"/>
      <c r="DG179" s="2"/>
      <c r="DH179" s="2"/>
      <c r="DI179" s="2" t="inlineStr">
        <is>
          <t>d94dcc79-8a0a-4bb0-88c1-5c4b241474c5</t>
        </is>
      </c>
      <c r="DJ179" s="3" t="n">
        <v>1</v>
      </c>
      <c r="DK179" s="2"/>
      <c r="DL179" s="2" t="inlineStr">
        <is>
          <t>月度会议组织、会议纪要台账发布、部门之间体系管理沟通</t>
        </is>
      </c>
      <c r="DM179" s="2" t="inlineStr">
        <is>
          <t>1次</t>
        </is>
      </c>
      <c r="DN179" s="3" t="n">
        <v>1</v>
      </c>
      <c r="DO179" s="3" t="n">
        <v>1</v>
      </c>
      <c r="DP179" s="2" t="inlineStr">
        <is>
          <t>D.4-8小时</t>
        </is>
      </c>
      <c r="DQ179" s="7" t="n">
        <v>4</v>
      </c>
      <c r="DR179" s="7" t="n">
        <v>8</v>
      </c>
      <c r="DS179" s="7" t="n">
        <v>4</v>
      </c>
      <c r="DT179" s="7" t="n">
        <v>8</v>
      </c>
      <c r="DU179" s="2" t="inlineStr">
        <is>
          <t>协调沟通类</t>
        </is>
      </c>
      <c r="DV179" s="2"/>
      <c r="DW179" s="2" t="inlineStr">
        <is>
          <t>接口协调</t>
        </is>
      </c>
      <c r="DX179" s="2" t="inlineStr">
        <is>
          <t>上级指令</t>
        </is>
      </c>
      <c r="DY179" s="2" t="inlineStr">
        <is>
          <t>重要且紧急</t>
        </is>
      </c>
      <c r="DZ179" s="2" t="inlineStr">
        <is>
          <t>半标准化-有流程框架，需专业经验</t>
        </is>
      </c>
      <c r="EA179" s="2" t="inlineStr">
        <is>
          <t>极少（&lt;5%）</t>
        </is>
      </c>
      <c r="EB179" s="2" t="inlineStr">
        <is>
          <t>沟通/协调负荷</t>
        </is>
      </c>
      <c r="EC179" s="2"/>
      <c r="ED179" s="2" t="inlineStr">
        <is>
          <t>9dc40160-cc86-4372-85c0-3b16724edd82</t>
        </is>
      </c>
      <c r="EE179" s="3" t="n">
        <v>1</v>
      </c>
      <c r="EF179" s="2"/>
      <c r="EG179" s="2" t="inlineStr">
        <is>
          <t>季度会议组织、会议纪要台账发布</t>
        </is>
      </c>
      <c r="EH179" s="2" t="inlineStr">
        <is>
          <t>1次</t>
        </is>
      </c>
      <c r="EI179" s="3" t="n">
        <v>1</v>
      </c>
      <c r="EJ179" s="2" t="inlineStr">
        <is>
          <t>D.4-8小时</t>
        </is>
      </c>
      <c r="EK179" s="7" t="n">
        <v>4</v>
      </c>
      <c r="EL179" s="7" t="n">
        <v>8</v>
      </c>
      <c r="EM179" s="7" t="n">
        <v>4</v>
      </c>
      <c r="EN179" s="7" t="n">
        <v>8</v>
      </c>
      <c r="EO179" s="2" t="inlineStr">
        <is>
          <t>协调沟通类</t>
        </is>
      </c>
      <c r="EP179" s="2"/>
      <c r="EQ179" s="2" t="inlineStr">
        <is>
          <t>接口协调</t>
        </is>
      </c>
      <c r="ER179" s="2" t="inlineStr">
        <is>
          <t>上级指令</t>
        </is>
      </c>
      <c r="ES179" s="2" t="inlineStr">
        <is>
          <t>重要且紧急</t>
        </is>
      </c>
      <c r="ET179" s="2" t="inlineStr">
        <is>
          <t>半标准化-有流程框架，需专业经验</t>
        </is>
      </c>
      <c r="EU179" s="2" t="inlineStr">
        <is>
          <t>极少（&lt;5%）</t>
        </is>
      </c>
      <c r="EV179" s="2" t="inlineStr">
        <is>
          <t>沟通/协调负荷</t>
        </is>
      </c>
      <c r="EW179" s="2"/>
      <c r="EX179" s="2" t="inlineStr">
        <is>
          <t>6183b633-a6f5-4b19-ac2c-8b7d2e495cdc</t>
        </is>
      </c>
      <c r="EY179" s="3" t="n">
        <v>1</v>
      </c>
      <c r="EZ179" s="2"/>
      <c r="FA179" s="2" t="inlineStr">
        <is>
          <t>外部审计专家接待，部门协同</t>
        </is>
      </c>
      <c r="FB179" s="2" t="inlineStr">
        <is>
          <t>每年3次以上</t>
        </is>
      </c>
      <c r="FC179" s="2" t="inlineStr">
        <is>
          <t>年</t>
        </is>
      </c>
      <c r="FD179" s="3" t="n">
        <v>3</v>
      </c>
      <c r="FE179" s="3" t="n">
        <v>3</v>
      </c>
      <c r="FF179" s="2" t="inlineStr">
        <is>
          <t>E.8小时以上</t>
        </is>
      </c>
      <c r="FG179" s="7" t="n">
        <v>8</v>
      </c>
      <c r="FH179" s="7" t="n">
        <v>8</v>
      </c>
      <c r="FI179" s="7" t="n">
        <v>0</v>
      </c>
      <c r="FJ179" s="7" t="n">
        <v>0</v>
      </c>
      <c r="FK179" s="7" t="n">
        <v>0</v>
      </c>
      <c r="FL179" s="7" t="n">
        <v>0</v>
      </c>
      <c r="FM179" s="7" t="n">
        <v>24</v>
      </c>
      <c r="FN179" s="7" t="n">
        <v>24</v>
      </c>
      <c r="FO179" s="2" t="inlineStr">
        <is>
          <t>综合管理类</t>
        </is>
      </c>
      <c r="FP179" s="2"/>
      <c r="FQ179" s="2" t="inlineStr">
        <is>
          <t>重点任务督办</t>
        </is>
      </c>
      <c r="FR179" s="2" t="inlineStr">
        <is>
          <t>上级指令</t>
        </is>
      </c>
      <c r="FS179" s="2" t="inlineStr">
        <is>
          <t>重要且紧急</t>
        </is>
      </c>
      <c r="FT179" s="2" t="inlineStr">
        <is>
          <t>半标准化-有流程框架，需专业经验</t>
        </is>
      </c>
      <c r="FU179" s="2" t="inlineStr">
        <is>
          <t>极少（&lt;5%）</t>
        </is>
      </c>
      <c r="FV179" s="2" t="inlineStr">
        <is>
          <t>沟通/协调负荷</t>
        </is>
      </c>
      <c r="FW179" s="2"/>
    </row>
    <row r="180">
      <c r="A180" s="2" t="inlineStr">
        <is>
          <t>2026-05-18 10:28:09</t>
        </is>
      </c>
      <c r="B180" s="2" t="inlineStr">
        <is>
          <t>张衡博</t>
        </is>
      </c>
      <c r="C180" s="2" t="inlineStr">
        <is>
          <t>HSE部</t>
        </is>
      </c>
      <c r="D180" s="2" t="inlineStr">
        <is>
          <t>男</t>
        </is>
      </c>
      <c r="E180" s="2" t="inlineStr">
        <is>
          <t>372924198412210031</t>
        </is>
      </c>
      <c r="F180" s="2" t="inlineStr">
        <is>
          <t>中层正职级(一类)</t>
        </is>
      </c>
      <c r="G180" s="2" t="inlineStr">
        <is>
          <t>2010-02</t>
        </is>
      </c>
      <c r="H180" s="2" t="inlineStr">
        <is>
          <t>江苏大学</t>
        </is>
      </c>
      <c r="I180" s="2"/>
      <c r="J180" s="2" t="inlineStr">
        <is>
          <t>本科</t>
        </is>
      </c>
      <c r="K180" s="2"/>
      <c r="L180" s="6">
        <f>HYPERLINK("https://www.h3yun.com/Form/Attachments/?schemacode=D1483577de63ede327d4760b10664bd57671d7e&amp;bizObjectId=9d04b32a-4a62-433e-ad9e-77c3e3b02096&amp;name=F0000046","点击查看")</f>
        <v>0</v>
      </c>
      <c r="M180" s="2" t="inlineStr">
        <is>
          <t>暂无</t>
        </is>
      </c>
      <c r="N180" s="2" t="inlineStr">
        <is>
          <t>每日工作;临时/突发工作</t>
        </is>
      </c>
      <c r="O180" s="2" t="inlineStr">
        <is>
          <t>41-45岁</t>
        </is>
      </c>
      <c r="P180" s="2" t="inlineStr">
        <is>
          <t>C.已婚已育</t>
        </is>
      </c>
      <c r="Q180" s="2" t="inlineStr">
        <is>
          <t>D.是，同时照护子女和老人</t>
        </is>
      </c>
      <c r="R180" s="2" t="inlineStr">
        <is>
          <t>A.否</t>
        </is>
      </c>
      <c r="S180" s="2" t="inlineStr">
        <is>
          <t>A.保持当前工作内容和节奏，收入相对稳定即可</t>
        </is>
      </c>
      <c r="T180" s="2" t="inlineStr">
        <is>
          <t>A.基本满意，希望保持</t>
        </is>
      </c>
      <c r="U180" s="2" t="inlineStr">
        <is>
          <t>D.明确职责边界</t>
        </is>
      </c>
      <c r="V180" s="2" t="inlineStr">
        <is>
          <t>A.没有</t>
        </is>
      </c>
      <c r="W180" s="2"/>
      <c r="X180" s="2" t="inlineStr">
        <is>
          <t>C.均衡 (80%-100%)</t>
        </is>
      </c>
      <c r="Y180" s="2" t="inlineStr">
        <is>
          <t>E.项目服务按照项目作息考勤制加班;E.临时差旅、突发事件、会议加班</t>
        </is>
      </c>
      <c r="Z180" s="2" t="inlineStr">
        <is>
          <t>重点任务督办</t>
        </is>
      </c>
      <c r="AA180" s="2" t="inlineStr">
        <is>
          <t>无</t>
        </is>
      </c>
      <c r="AB180" s="2" t="inlineStr">
        <is>
          <t>HSE管理流程</t>
        </is>
      </c>
      <c r="AC180" s="2" t="inlineStr">
        <is>
          <t>B.基本匹配（正常履行）</t>
        </is>
      </c>
      <c r="AD180" s="2" t="inlineStr">
        <is>
          <t>暂无</t>
        </is>
      </c>
      <c r="AE180" s="2"/>
      <c r="AF180" s="2"/>
      <c r="AG180" s="2" t="inlineStr">
        <is>
          <t>A.配偶为公司家属，常驻南京，不影响</t>
        </is>
      </c>
      <c r="AH180" s="2"/>
      <c r="AI180" s="7" t="n">
        <v>40</v>
      </c>
      <c r="AJ180" s="7" t="n">
        <v>80</v>
      </c>
      <c r="AK180" s="7" t="n">
        <v>0</v>
      </c>
      <c r="AL180" s="7" t="n">
        <v>0</v>
      </c>
      <c r="AM180" s="7" t="n">
        <v>0</v>
      </c>
      <c r="AN180" s="7" t="n">
        <v>0</v>
      </c>
      <c r="AO180" s="7" t="n">
        <v>0</v>
      </c>
      <c r="AP180" s="7" t="n">
        <v>0</v>
      </c>
      <c r="AQ180" s="7" t="n">
        <v>0.36</v>
      </c>
      <c r="AR180" s="7" t="n">
        <v>0.73</v>
      </c>
      <c r="AS180" s="7" t="n">
        <v>40.36</v>
      </c>
      <c r="AT180" s="7" t="n">
        <v>80.73</v>
      </c>
      <c r="AU180" s="7" t="n">
        <v>60.55</v>
      </c>
      <c r="AV180" s="2" t="inlineStr">
        <is>
          <t>超负荷</t>
        </is>
      </c>
      <c r="AW180" s="2" t="inlineStr">
        <is>
          <t>不一致</t>
        </is>
      </c>
      <c r="AX180" s="2" t="inlineStr">
        <is>
          <t>9d04b32a-4a62-433e-ad9e-77c3e3b02096</t>
        </is>
      </c>
      <c r="AY180" s="2" t="inlineStr">
        <is>
          <t>HSE部    张衡博</t>
        </is>
      </c>
      <c r="AZ180" s="2" t="inlineStr">
        <is>
          <t>Anonymous</t>
        </is>
      </c>
      <c r="BA180" s="2" t="inlineStr">
        <is>
          <t>Anonymous</t>
        </is>
      </c>
      <c r="BB180" s="2"/>
      <c r="BC180" s="2" t="inlineStr">
        <is>
          <t>2026-05-21 08:43:22</t>
        </is>
      </c>
      <c r="BD180" s="3" t="n">
        <v>1984</v>
      </c>
      <c r="BE180" s="3" t="n">
        <v>42</v>
      </c>
      <c r="BF180" s="2" t="inlineStr">
        <is>
          <t>A.无此需求</t>
        </is>
      </c>
      <c r="BG180" s="2" t="inlineStr">
        <is>
          <t>已生效</t>
        </is>
      </c>
      <c r="BH180" s="2" t="inlineStr">
        <is>
          <t>9793faf6-bf77-46ec-9612-646190f4d06f</t>
        </is>
      </c>
      <c r="BI180" s="3" t="n">
        <v>1</v>
      </c>
      <c r="BJ180" s="2"/>
      <c r="BK180" s="2"/>
      <c r="BL180" s="2"/>
      <c r="BM180" s="2"/>
      <c r="BN180" s="2"/>
      <c r="BO180" s="2"/>
      <c r="BP180" s="2"/>
      <c r="BQ180" s="2"/>
      <c r="BR180" s="2"/>
      <c r="BS180" s="2" t="inlineStr">
        <is>
          <t>c44731b4-55fe-465b-95fb-3f4187a6f2b0</t>
        </is>
      </c>
      <c r="BT180" s="3" t="n">
        <v>1</v>
      </c>
      <c r="BU180" s="2" t="inlineStr">
        <is>
          <t>综合管理类</t>
        </is>
      </c>
      <c r="BV180" s="2" t="inlineStr">
        <is>
          <t>综合管理类</t>
        </is>
      </c>
      <c r="BW180" s="2" t="inlineStr">
        <is>
          <t>10次以上</t>
        </is>
      </c>
      <c r="BX180" s="3" t="n">
        <v>10</v>
      </c>
      <c r="BY180" s="3" t="n">
        <v>10</v>
      </c>
      <c r="BZ180" s="2" t="inlineStr">
        <is>
          <t>D.4-8小时</t>
        </is>
      </c>
      <c r="CA180" s="7" t="n">
        <v>4</v>
      </c>
      <c r="CB180" s="7" t="n">
        <v>8</v>
      </c>
      <c r="CC180" s="7" t="n">
        <v>40</v>
      </c>
      <c r="CD180" s="7" t="n">
        <v>80</v>
      </c>
      <c r="CE180" s="2" t="inlineStr">
        <is>
          <t>综合管理类</t>
        </is>
      </c>
      <c r="CF180" s="2"/>
      <c r="CG180" s="2" t="inlineStr">
        <is>
          <t>综合性汇报组织</t>
        </is>
      </c>
      <c r="CH180" s="2" t="inlineStr">
        <is>
          <t>岗位职责</t>
        </is>
      </c>
      <c r="CI180" s="2" t="inlineStr">
        <is>
          <t>重要且紧急</t>
        </is>
      </c>
      <c r="CJ180" s="2" t="inlineStr">
        <is>
          <t>半标准化-有流程框架，需专业经验</t>
        </is>
      </c>
      <c r="CK180" s="2" t="inlineStr">
        <is>
          <t>中频（10%-30%）</t>
        </is>
      </c>
      <c r="CL180" s="2" t="inlineStr">
        <is>
          <t>沟通/协调负荷</t>
        </is>
      </c>
      <c r="CM180" s="2"/>
      <c r="CN180" s="2" t="inlineStr">
        <is>
          <t>4d31e262-469c-4452-97b0-b8add353791f</t>
        </is>
      </c>
      <c r="CO180" s="3" t="n">
        <v>1</v>
      </c>
      <c r="CP180" s="2"/>
      <c r="CQ180" s="2"/>
      <c r="CR180" s="2"/>
      <c r="CS180" s="3"/>
      <c r="CT180" s="3"/>
      <c r="CU180" s="2"/>
      <c r="CV180" s="3"/>
      <c r="CW180" s="3"/>
      <c r="CX180" s="3"/>
      <c r="CY180" s="3"/>
      <c r="CZ180" s="2"/>
      <c r="DA180" s="2"/>
      <c r="DB180" s="2"/>
      <c r="DC180" s="2"/>
      <c r="DD180" s="2"/>
      <c r="DE180" s="2"/>
      <c r="DF180" s="2"/>
      <c r="DG180" s="2"/>
      <c r="DH180" s="2"/>
      <c r="DI180" s="2" t="inlineStr">
        <is>
          <t>64fd42b1-1ae7-48d4-8632-2d0d850ef963</t>
        </is>
      </c>
      <c r="DJ180" s="3" t="n">
        <v>1</v>
      </c>
      <c r="DK180" s="2"/>
      <c r="DL180" s="2"/>
      <c r="DM180" s="2"/>
      <c r="DN180" s="3"/>
      <c r="DO180" s="3"/>
      <c r="DP180" s="2"/>
      <c r="DQ180" s="3"/>
      <c r="DR180" s="3"/>
      <c r="DS180" s="3"/>
      <c r="DT180" s="3"/>
      <c r="DU180" s="2"/>
      <c r="DV180" s="2"/>
      <c r="DW180" s="2"/>
      <c r="DX180" s="2"/>
      <c r="DY180" s="2"/>
      <c r="DZ180" s="2"/>
      <c r="EA180" s="2"/>
      <c r="EB180" s="2"/>
      <c r="EC180" s="2"/>
      <c r="ED180" s="2" t="inlineStr">
        <is>
          <t>c088544c-7723-4f42-8138-b993dc6a885d</t>
        </is>
      </c>
      <c r="EE180" s="3" t="n">
        <v>1</v>
      </c>
      <c r="EF180" s="2"/>
      <c r="EG180" s="2"/>
      <c r="EH180" s="2"/>
      <c r="EI180" s="3"/>
      <c r="EJ180" s="2"/>
      <c r="EK180" s="3"/>
      <c r="EL180" s="3"/>
      <c r="EM180" s="3"/>
      <c r="EN180" s="3"/>
      <c r="EO180" s="2"/>
      <c r="EP180" s="2"/>
      <c r="EQ180" s="2"/>
      <c r="ER180" s="2"/>
      <c r="ES180" s="2"/>
      <c r="ET180" s="2"/>
      <c r="EU180" s="2"/>
      <c r="EV180" s="2"/>
      <c r="EW180" s="2"/>
      <c r="EX180" s="2" t="inlineStr">
        <is>
          <t>49d627df-3224-4937-9b6a-9a0d8e249278</t>
        </is>
      </c>
      <c r="EY180" s="3" t="n">
        <v>1</v>
      </c>
      <c r="EZ180" s="2"/>
      <c r="FA180" s="2" t="inlineStr">
        <is>
          <t>临时/突发工作</t>
        </is>
      </c>
      <c r="FB180" s="2" t="inlineStr">
        <is>
          <t>每月1-2次</t>
        </is>
      </c>
      <c r="FC180" s="2" t="inlineStr">
        <is>
          <t>月</t>
        </is>
      </c>
      <c r="FD180" s="3" t="n">
        <v>1</v>
      </c>
      <c r="FE180" s="3" t="n">
        <v>2</v>
      </c>
      <c r="FF180" s="2" t="inlineStr">
        <is>
          <t>E.8小时以上</t>
        </is>
      </c>
      <c r="FG180" s="7" t="n">
        <v>8</v>
      </c>
      <c r="FH180" s="7" t="n">
        <v>8</v>
      </c>
      <c r="FI180" s="7" t="n">
        <v>8</v>
      </c>
      <c r="FJ180" s="7" t="n">
        <v>16</v>
      </c>
      <c r="FK180" s="7" t="n">
        <v>0</v>
      </c>
      <c r="FL180" s="7" t="n">
        <v>0</v>
      </c>
      <c r="FM180" s="7" t="n">
        <v>0</v>
      </c>
      <c r="FN180" s="7" t="n">
        <v>0</v>
      </c>
      <c r="FO180" s="2" t="inlineStr">
        <is>
          <t>综合管理类</t>
        </is>
      </c>
      <c r="FP180" s="2"/>
      <c r="FQ180" s="2" t="inlineStr">
        <is>
          <t>重点任务督办</t>
        </is>
      </c>
      <c r="FR180" s="2" t="inlineStr">
        <is>
          <t>上级指令</t>
        </is>
      </c>
      <c r="FS180" s="2" t="inlineStr">
        <is>
          <t>重要且紧急</t>
        </is>
      </c>
      <c r="FT180" s="2" t="inlineStr">
        <is>
          <t>半标准化-有流程框架，需专业经验</t>
        </is>
      </c>
      <c r="FU180" s="2" t="inlineStr">
        <is>
          <t>中频（10%-30%）</t>
        </is>
      </c>
      <c r="FV180" s="2" t="inlineStr">
        <is>
          <t>沟通/协调负荷</t>
        </is>
      </c>
      <c r="FW180" s="2"/>
    </row>
    <row r="181">
      <c r="A181" s="2" t="inlineStr">
        <is>
          <t>2026-05-18 09:43:05</t>
        </is>
      </c>
      <c r="B181" s="2" t="inlineStr">
        <is>
          <t>周明珠</t>
        </is>
      </c>
      <c r="C181" s="2" t="inlineStr">
        <is>
          <t>海外事业部</t>
        </is>
      </c>
      <c r="D181" s="2" t="inlineStr">
        <is>
          <t>女</t>
        </is>
      </c>
      <c r="E181" s="2" t="inlineStr">
        <is>
          <t>362323198701194524</t>
        </is>
      </c>
      <c r="F181" s="2" t="inlineStr">
        <is>
          <t>专业工程师</t>
        </is>
      </c>
      <c r="G181" s="2" t="inlineStr">
        <is>
          <t>2017-10</t>
        </is>
      </c>
      <c r="H181" s="2" t="inlineStr">
        <is>
          <t>江西师范大学</t>
        </is>
      </c>
      <c r="I181" s="2" t="inlineStr">
        <is>
          <t>翻译</t>
        </is>
      </c>
      <c r="J181" s="2" t="inlineStr">
        <is>
          <t>本科</t>
        </is>
      </c>
      <c r="K181" s="2"/>
      <c r="L181" s="6">
        <f>HYPERLINK("https://www.h3yun.com/Form/Attachments/?schemacode=D1483577de63ede327d4760b10664bd57671d7e&amp;bizObjectId=66947238-40d3-4d85-a8df-d456bba8d784&amp;name=F0000046","点击查看")</f>
        <v>0</v>
      </c>
      <c r="M181" s="2" t="inlineStr">
        <is>
          <t>无</t>
        </is>
      </c>
      <c r="N181" s="2" t="inlineStr">
        <is>
          <t>临时/突发工作</t>
        </is>
      </c>
      <c r="O181" s="2" t="inlineStr">
        <is>
          <t>30-40岁</t>
        </is>
      </c>
      <c r="P181" s="2" t="inlineStr">
        <is>
          <t>C.已婚已育</t>
        </is>
      </c>
      <c r="Q181" s="2" t="inlineStr">
        <is>
          <t>B.是，主要照护子女</t>
        </is>
      </c>
      <c r="R181" s="2" t="inlineStr">
        <is>
          <t>B.有1名</t>
        </is>
      </c>
      <c r="S181" s="2" t="inlineStr">
        <is>
          <t>A.保持当前工作内容和节奏，收入相对稳定即可</t>
        </is>
      </c>
      <c r="T181" s="2" t="inlineStr">
        <is>
          <t>A.基本满意，希望保持</t>
        </is>
      </c>
      <c r="U181" s="2" t="inlineStr">
        <is>
          <t>C.增加弹性和稳定性</t>
        </is>
      </c>
      <c r="V181" s="2" t="inlineStr">
        <is>
          <t>A.没有</t>
        </is>
      </c>
      <c r="W181" s="2"/>
      <c r="X181" s="2" t="inlineStr">
        <is>
          <t>B.满负荷 (100%-120%)</t>
        </is>
      </c>
      <c r="Y181" s="2" t="inlineStr">
        <is>
          <t>E.临时差旅、突发事件、会议加班</t>
        </is>
      </c>
      <c r="Z181" s="2" t="inlineStr">
        <is>
          <t>无</t>
        </is>
      </c>
      <c r="AA181" s="2" t="inlineStr">
        <is>
          <t>无</t>
        </is>
      </c>
      <c r="AB181" s="2" t="inlineStr">
        <is>
          <t>专业问题协调</t>
        </is>
      </c>
      <c r="AC181" s="2" t="inlineStr">
        <is>
          <t>A.高度匹配（得心应手）</t>
        </is>
      </c>
      <c r="AD181" s="2" t="inlineStr">
        <is>
          <t>无</t>
        </is>
      </c>
      <c r="AE181" s="2"/>
      <c r="AF181" s="2"/>
      <c r="AG181" s="2"/>
      <c r="AH181" s="2"/>
      <c r="AI181" s="7" t="n">
        <v>0</v>
      </c>
      <c r="AJ181" s="7" t="n">
        <v>0</v>
      </c>
      <c r="AK181" s="7" t="n">
        <v>0</v>
      </c>
      <c r="AL181" s="7" t="n">
        <v>0</v>
      </c>
      <c r="AM181" s="7" t="n">
        <v>0</v>
      </c>
      <c r="AN181" s="7" t="n">
        <v>0</v>
      </c>
      <c r="AO181" s="7" t="n">
        <v>0</v>
      </c>
      <c r="AP181" s="7" t="n">
        <v>0</v>
      </c>
      <c r="AQ181" s="7" t="n">
        <v>0.91</v>
      </c>
      <c r="AR181" s="7" t="n">
        <v>1.82</v>
      </c>
      <c r="AS181" s="7" t="n">
        <v>0.91</v>
      </c>
      <c r="AT181" s="7" t="n">
        <v>1.82</v>
      </c>
      <c r="AU181" s="7" t="n">
        <v>1.36</v>
      </c>
      <c r="AV181" s="2" t="inlineStr">
        <is>
          <t>非饱和</t>
        </is>
      </c>
      <c r="AW181" s="2" t="inlineStr">
        <is>
          <t>不一致</t>
        </is>
      </c>
      <c r="AX181" s="2" t="inlineStr">
        <is>
          <t>66947238-40d3-4d85-a8df-d456bba8d784</t>
        </is>
      </c>
      <c r="AY181" s="2" t="inlineStr">
        <is>
          <t>海外事业部    周明珠</t>
        </is>
      </c>
      <c r="AZ181" s="2" t="inlineStr">
        <is>
          <t>Anonymous</t>
        </is>
      </c>
      <c r="BA181" s="2" t="inlineStr">
        <is>
          <t>Anonymous</t>
        </is>
      </c>
      <c r="BB181" s="2"/>
      <c r="BC181" s="2" t="inlineStr">
        <is>
          <t>2026-05-21 08:43:22</t>
        </is>
      </c>
      <c r="BD181" s="3" t="n">
        <v>1987</v>
      </c>
      <c r="BE181" s="3" t="n">
        <v>39</v>
      </c>
      <c r="BF181" s="2" t="inlineStr">
        <is>
          <t>A.无此需求</t>
        </is>
      </c>
      <c r="BG181" s="2" t="inlineStr">
        <is>
          <t>已生效</t>
        </is>
      </c>
      <c r="BH181" s="2" t="inlineStr">
        <is>
          <t>f27a7059-aa25-4885-8408-ad115be93f93</t>
        </is>
      </c>
      <c r="BI181" s="3" t="n">
        <v>1</v>
      </c>
      <c r="BJ181" s="2"/>
      <c r="BK181" s="2"/>
      <c r="BL181" s="2"/>
      <c r="BM181" s="2"/>
      <c r="BN181" s="2"/>
      <c r="BO181" s="2"/>
      <c r="BP181" s="2"/>
      <c r="BQ181" s="2"/>
      <c r="BR181" s="2"/>
      <c r="BS181" s="2" t="inlineStr">
        <is>
          <t>bff3ce53-61cc-4267-90fd-6da79fd43a5d</t>
        </is>
      </c>
      <c r="BT181" s="3" t="n">
        <v>1</v>
      </c>
      <c r="BU181" s="2"/>
      <c r="BV181" s="2"/>
      <c r="BW181" s="2"/>
      <c r="BX181" s="3"/>
      <c r="BY181" s="3"/>
      <c r="BZ181" s="2"/>
      <c r="CA181" s="3"/>
      <c r="CB181" s="3"/>
      <c r="CC181" s="3"/>
      <c r="CD181" s="3"/>
      <c r="CE181" s="2"/>
      <c r="CF181" s="2"/>
      <c r="CG181" s="2"/>
      <c r="CH181" s="2"/>
      <c r="CI181" s="2"/>
      <c r="CJ181" s="2"/>
      <c r="CK181" s="2"/>
      <c r="CL181" s="2"/>
      <c r="CM181" s="2"/>
      <c r="CN181" s="2" t="inlineStr">
        <is>
          <t>56d3aa38-914d-4f42-83ad-536c046e45e7</t>
        </is>
      </c>
      <c r="CO181" s="3" t="n">
        <v>1</v>
      </c>
      <c r="CP181" s="2"/>
      <c r="CQ181" s="2" t="inlineStr">
        <is>
          <t>翻译</t>
        </is>
      </c>
      <c r="CR181" s="2"/>
      <c r="CS181" s="3"/>
      <c r="CT181" s="3"/>
      <c r="CU181" s="2"/>
      <c r="CV181" s="3"/>
      <c r="CW181" s="3"/>
      <c r="CX181" s="3"/>
      <c r="CY181" s="3"/>
      <c r="CZ181" s="2"/>
      <c r="DA181" s="2"/>
      <c r="DB181" s="2"/>
      <c r="DC181" s="2"/>
      <c r="DD181" s="2"/>
      <c r="DE181" s="2"/>
      <c r="DF181" s="2"/>
      <c r="DG181" s="2"/>
      <c r="DH181" s="2"/>
      <c r="DI181" s="2" t="inlineStr">
        <is>
          <t>c7cd44f6-f7b7-4f66-b692-7b430fa96fa3</t>
        </is>
      </c>
      <c r="DJ181" s="3" t="n">
        <v>1</v>
      </c>
      <c r="DK181" s="2"/>
      <c r="DL181" s="2"/>
      <c r="DM181" s="2"/>
      <c r="DN181" s="3"/>
      <c r="DO181" s="3"/>
      <c r="DP181" s="2"/>
      <c r="DQ181" s="3"/>
      <c r="DR181" s="3"/>
      <c r="DS181" s="3"/>
      <c r="DT181" s="3"/>
      <c r="DU181" s="2"/>
      <c r="DV181" s="2"/>
      <c r="DW181" s="2"/>
      <c r="DX181" s="2"/>
      <c r="DY181" s="2"/>
      <c r="DZ181" s="2"/>
      <c r="EA181" s="2"/>
      <c r="EB181" s="2"/>
      <c r="EC181" s="2"/>
      <c r="ED181" s="2" t="inlineStr">
        <is>
          <t>d3cab4b8-2f30-4d47-8f8f-6ebe0f2445f8</t>
        </is>
      </c>
      <c r="EE181" s="3" t="n">
        <v>1</v>
      </c>
      <c r="EF181" s="2"/>
      <c r="EG181" s="2"/>
      <c r="EH181" s="2"/>
      <c r="EI181" s="3"/>
      <c r="EJ181" s="2"/>
      <c r="EK181" s="3"/>
      <c r="EL181" s="3"/>
      <c r="EM181" s="3"/>
      <c r="EN181" s="3"/>
      <c r="EO181" s="2"/>
      <c r="EP181" s="2"/>
      <c r="EQ181" s="2"/>
      <c r="ER181" s="2"/>
      <c r="ES181" s="2"/>
      <c r="ET181" s="2"/>
      <c r="EU181" s="2"/>
      <c r="EV181" s="2"/>
      <c r="EW181" s="2"/>
      <c r="EX181" s="2" t="inlineStr">
        <is>
          <t>4b187b90-b106-4eb7-95be-c51c210ed4b5</t>
        </is>
      </c>
      <c r="EY181" s="3" t="n">
        <v>1</v>
      </c>
      <c r="EZ181" s="2"/>
      <c r="FA181" s="2" t="inlineStr">
        <is>
          <t>翻译</t>
        </is>
      </c>
      <c r="FB181" s="2" t="inlineStr">
        <is>
          <t>每月3次以上</t>
        </is>
      </c>
      <c r="FC181" s="2" t="inlineStr">
        <is>
          <t>月</t>
        </is>
      </c>
      <c r="FD181" s="3" t="n">
        <v>3</v>
      </c>
      <c r="FE181" s="3" t="n">
        <v>3</v>
      </c>
      <c r="FF181" s="2" t="inlineStr">
        <is>
          <t>D.4-8小时</t>
        </is>
      </c>
      <c r="FG181" s="7" t="n">
        <v>4</v>
      </c>
      <c r="FH181" s="7" t="n">
        <v>8</v>
      </c>
      <c r="FI181" s="7" t="n">
        <v>12</v>
      </c>
      <c r="FJ181" s="7" t="n">
        <v>24</v>
      </c>
      <c r="FK181" s="7" t="n">
        <v>0</v>
      </c>
      <c r="FL181" s="7" t="n">
        <v>0</v>
      </c>
      <c r="FM181" s="7" t="n">
        <v>0</v>
      </c>
      <c r="FN181" s="7" t="n">
        <v>0</v>
      </c>
      <c r="FO181" s="2" t="inlineStr">
        <is>
          <t>专业技术类</t>
        </is>
      </c>
      <c r="FP181" s="2"/>
      <c r="FQ181" s="2" t="inlineStr">
        <is>
          <t>专业问题协调</t>
        </is>
      </c>
      <c r="FR181" s="2" t="inlineStr">
        <is>
          <t>上级指令</t>
        </is>
      </c>
      <c r="FS181" s="2" t="inlineStr">
        <is>
          <t>重要且紧急</t>
        </is>
      </c>
      <c r="FT181" s="2" t="inlineStr">
        <is>
          <t>非标准化-无先例参考，需创新协调</t>
        </is>
      </c>
      <c r="FU181" s="2" t="inlineStr">
        <is>
          <t>极少（&lt;5%）</t>
        </is>
      </c>
      <c r="FV181" s="2" t="inlineStr">
        <is>
          <t>脑力/复杂度负荷</t>
        </is>
      </c>
      <c r="FW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t="inlineStr">
        <is>
          <t>30908f98-46bd-488e-8de6-3395a475675e</t>
        </is>
      </c>
      <c r="EY182" s="3" t="n">
        <v>2</v>
      </c>
      <c r="EZ182" s="2"/>
      <c r="FA182" s="2" t="inlineStr">
        <is>
          <t>领导出国相关准备工作</t>
        </is>
      </c>
      <c r="FB182" s="2" t="inlineStr">
        <is>
          <t>每月1-2次</t>
        </is>
      </c>
      <c r="FC182" s="2" t="inlineStr">
        <is>
          <t>月</t>
        </is>
      </c>
      <c r="FD182" s="3" t="n">
        <v>1</v>
      </c>
      <c r="FE182" s="3" t="n">
        <v>2</v>
      </c>
      <c r="FF182" s="2" t="inlineStr">
        <is>
          <t>E.8小时以上</t>
        </is>
      </c>
      <c r="FG182" s="7" t="n">
        <v>8</v>
      </c>
      <c r="FH182" s="7" t="n">
        <v>8</v>
      </c>
      <c r="FI182" s="7" t="n">
        <v>8</v>
      </c>
      <c r="FJ182" s="7" t="n">
        <v>16</v>
      </c>
      <c r="FK182" s="7" t="n">
        <v>0</v>
      </c>
      <c r="FL182" s="7" t="n">
        <v>0</v>
      </c>
      <c r="FM182" s="7" t="n">
        <v>0</v>
      </c>
      <c r="FN182" s="7" t="n">
        <v>0</v>
      </c>
      <c r="FO182" s="2" t="inlineStr">
        <is>
          <t>其他</t>
        </is>
      </c>
      <c r="FP182" s="2"/>
      <c r="FQ182" s="2"/>
      <c r="FR182" s="2" t="inlineStr">
        <is>
          <t>上级指令</t>
        </is>
      </c>
      <c r="FS182" s="2" t="inlineStr">
        <is>
          <t>重要且紧急</t>
        </is>
      </c>
      <c r="FT182" s="2" t="inlineStr">
        <is>
          <t>非标准化-无先例参考，需创新协调</t>
        </is>
      </c>
      <c r="FU182" s="2" t="inlineStr">
        <is>
          <t>极少（&lt;5%）</t>
        </is>
      </c>
      <c r="FV182" s="2" t="inlineStr">
        <is>
          <t>脑力/复杂度负荷</t>
        </is>
      </c>
      <c r="FW182" s="2"/>
    </row>
    <row r="183">
      <c r="A183" s="2" t="inlineStr">
        <is>
          <t>2026-05-18 09:42:46</t>
        </is>
      </c>
      <c r="B183" s="2" t="inlineStr">
        <is>
          <t>王霞</t>
        </is>
      </c>
      <c r="C183" s="2" t="inlineStr">
        <is>
          <t>海外事业部</t>
        </is>
      </c>
      <c r="D183" s="2" t="inlineStr">
        <is>
          <t>女</t>
        </is>
      </c>
      <c r="E183" s="2" t="inlineStr">
        <is>
          <t>142201198710099022</t>
        </is>
      </c>
      <c r="F183" s="2" t="inlineStr">
        <is>
          <t>专业工程师</t>
        </is>
      </c>
      <c r="G183" s="2" t="inlineStr">
        <is>
          <t>2019-06</t>
        </is>
      </c>
      <c r="H183" s="2" t="inlineStr">
        <is>
          <t>牡丹江大学</t>
        </is>
      </c>
      <c r="I183" s="2" t="inlineStr">
        <is>
          <t>翻译</t>
        </is>
      </c>
      <c r="J183" s="2" t="inlineStr">
        <is>
          <t>本科</t>
        </is>
      </c>
      <c r="K183" s="2"/>
      <c r="L183" s="6">
        <f>HYPERLINK("https://www.h3yun.com/Form/Attachments/?schemacode=D1483577de63ede327d4760b10664bd57671d7e&amp;bizObjectId=9d8be155-1da9-48d9-8d3c-50c12192caaa&amp;name=F0000046","点击查看")</f>
        <v>0</v>
      </c>
      <c r="M183" s="2" t="inlineStr">
        <is>
          <t>无</t>
        </is>
      </c>
      <c r="N183" s="2" t="inlineStr">
        <is>
          <t>临时/突发工作</t>
        </is>
      </c>
      <c r="O183" s="2" t="inlineStr">
        <is>
          <t>30-40岁</t>
        </is>
      </c>
      <c r="P183" s="2" t="inlineStr">
        <is>
          <t>C.已婚已育</t>
        </is>
      </c>
      <c r="Q183" s="2" t="inlineStr">
        <is>
          <t>B.是，主要照护子女</t>
        </is>
      </c>
      <c r="R183" s="2" t="inlineStr">
        <is>
          <t>B.有1名</t>
        </is>
      </c>
      <c r="S183" s="2" t="inlineStr">
        <is>
          <t>A.保持当前工作内容和节奏，收入相对稳定即可</t>
        </is>
      </c>
      <c r="T183" s="2" t="inlineStr">
        <is>
          <t>A.基本满意，希望保持</t>
        </is>
      </c>
      <c r="U183" s="2" t="inlineStr">
        <is>
          <t>C.增加弹性和稳定性</t>
        </is>
      </c>
      <c r="V183" s="2" t="inlineStr">
        <is>
          <t>A.没有</t>
        </is>
      </c>
      <c r="W183" s="2"/>
      <c r="X183" s="2" t="inlineStr">
        <is>
          <t>B.满负荷 (100%-120%)</t>
        </is>
      </c>
      <c r="Y183" s="2" t="inlineStr">
        <is>
          <t>E.临时差旅、突发事件、会议加班</t>
        </is>
      </c>
      <c r="Z183" s="2" t="inlineStr">
        <is>
          <t>无</t>
        </is>
      </c>
      <c r="AA183" s="2" t="inlineStr">
        <is>
          <t>无</t>
        </is>
      </c>
      <c r="AB183" s="2" t="inlineStr">
        <is>
          <t>专业问题协调</t>
        </is>
      </c>
      <c r="AC183" s="2" t="inlineStr">
        <is>
          <t>A.高度匹配（得心应手）</t>
        </is>
      </c>
      <c r="AD183" s="2" t="inlineStr">
        <is>
          <t>无</t>
        </is>
      </c>
      <c r="AE183" s="2"/>
      <c r="AF183" s="2"/>
      <c r="AG183" s="2" t="inlineStr">
        <is>
          <t>B.配偶为公司家属，常驻项目，个人承担更多</t>
        </is>
      </c>
      <c r="AH183" s="2"/>
      <c r="AI183" s="7" t="n">
        <v>0</v>
      </c>
      <c r="AJ183" s="7" t="n">
        <v>0</v>
      </c>
      <c r="AK183" s="7" t="n">
        <v>0</v>
      </c>
      <c r="AL183" s="7" t="n">
        <v>0</v>
      </c>
      <c r="AM183" s="7" t="n">
        <v>0</v>
      </c>
      <c r="AN183" s="7" t="n">
        <v>0</v>
      </c>
      <c r="AO183" s="7" t="n">
        <v>0</v>
      </c>
      <c r="AP183" s="7" t="n">
        <v>0</v>
      </c>
      <c r="AQ183" s="7" t="n">
        <v>0.64</v>
      </c>
      <c r="AR183" s="7" t="n">
        <v>1.27</v>
      </c>
      <c r="AS183" s="7" t="n">
        <v>0.64</v>
      </c>
      <c r="AT183" s="7" t="n">
        <v>1.27</v>
      </c>
      <c r="AU183" s="7" t="n">
        <v>0.96</v>
      </c>
      <c r="AV183" s="2" t="inlineStr">
        <is>
          <t>非饱和</t>
        </is>
      </c>
      <c r="AW183" s="2" t="inlineStr">
        <is>
          <t>不一致</t>
        </is>
      </c>
      <c r="AX183" s="2" t="inlineStr">
        <is>
          <t>9d8be155-1da9-48d9-8d3c-50c12192caaa</t>
        </is>
      </c>
      <c r="AY183" s="2" t="inlineStr">
        <is>
          <t>海外事业部    王霞</t>
        </is>
      </c>
      <c r="AZ183" s="2" t="inlineStr">
        <is>
          <t>Anonymous</t>
        </is>
      </c>
      <c r="BA183" s="2" t="inlineStr">
        <is>
          <t>Anonymous</t>
        </is>
      </c>
      <c r="BB183" s="2"/>
      <c r="BC183" s="2" t="inlineStr">
        <is>
          <t>2026-05-21 08:43:22</t>
        </is>
      </c>
      <c r="BD183" s="3" t="n">
        <v>1987</v>
      </c>
      <c r="BE183" s="3" t="n">
        <v>39</v>
      </c>
      <c r="BF183" s="2" t="inlineStr">
        <is>
          <t>A.无此需求</t>
        </is>
      </c>
      <c r="BG183" s="2" t="inlineStr">
        <is>
          <t>已生效</t>
        </is>
      </c>
      <c r="BH183" s="2" t="inlineStr">
        <is>
          <t>5bf3fdf8-f0c4-4698-88c7-c56a583a6888</t>
        </is>
      </c>
      <c r="BI183" s="3" t="n">
        <v>1</v>
      </c>
      <c r="BJ183" s="2"/>
      <c r="BK183" s="2"/>
      <c r="BL183" s="2"/>
      <c r="BM183" s="2"/>
      <c r="BN183" s="2"/>
      <c r="BO183" s="2"/>
      <c r="BP183" s="2"/>
      <c r="BQ183" s="2"/>
      <c r="BR183" s="2"/>
      <c r="BS183" s="2" t="inlineStr">
        <is>
          <t>2b663ba9-a589-472c-9139-09dd31d40730</t>
        </is>
      </c>
      <c r="BT183" s="3" t="n">
        <v>1</v>
      </c>
      <c r="BU183" s="2"/>
      <c r="BV183" s="2"/>
      <c r="BW183" s="2"/>
      <c r="BX183" s="3"/>
      <c r="BY183" s="3"/>
      <c r="BZ183" s="2"/>
      <c r="CA183" s="3"/>
      <c r="CB183" s="3"/>
      <c r="CC183" s="3"/>
      <c r="CD183" s="3"/>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t="inlineStr">
        <is>
          <t>54f57b64-9051-4cb8-b2e9-4b9e1677cc93</t>
        </is>
      </c>
      <c r="DJ183" s="3" t="n">
        <v>1</v>
      </c>
      <c r="DK183" s="2"/>
      <c r="DL183" s="2"/>
      <c r="DM183" s="2"/>
      <c r="DN183" s="3"/>
      <c r="DO183" s="3"/>
      <c r="DP183" s="2"/>
      <c r="DQ183" s="3"/>
      <c r="DR183" s="3"/>
      <c r="DS183" s="3"/>
      <c r="DT183" s="3"/>
      <c r="DU183" s="2"/>
      <c r="DV183" s="2"/>
      <c r="DW183" s="2"/>
      <c r="DX183" s="2"/>
      <c r="DY183" s="2"/>
      <c r="DZ183" s="2"/>
      <c r="EA183" s="2"/>
      <c r="EB183" s="2"/>
      <c r="EC183" s="2"/>
      <c r="ED183" s="2" t="inlineStr">
        <is>
          <t>93628b65-11e6-4773-b1f2-0f091d625184</t>
        </is>
      </c>
      <c r="EE183" s="3" t="n">
        <v>1</v>
      </c>
      <c r="EF183" s="2"/>
      <c r="EG183" s="2"/>
      <c r="EH183" s="2"/>
      <c r="EI183" s="3"/>
      <c r="EJ183" s="2"/>
      <c r="EK183" s="3"/>
      <c r="EL183" s="3"/>
      <c r="EM183" s="3"/>
      <c r="EN183" s="3"/>
      <c r="EO183" s="2"/>
      <c r="EP183" s="2"/>
      <c r="EQ183" s="2"/>
      <c r="ER183" s="2"/>
      <c r="ES183" s="2"/>
      <c r="ET183" s="2"/>
      <c r="EU183" s="2"/>
      <c r="EV183" s="2"/>
      <c r="EW183" s="2"/>
      <c r="EX183" s="2" t="inlineStr">
        <is>
          <t>99378788-0d0c-4604-8039-90c856eaa131</t>
        </is>
      </c>
      <c r="EY183" s="3" t="n">
        <v>1</v>
      </c>
      <c r="EZ183" s="2"/>
      <c r="FA183" s="2" t="inlineStr">
        <is>
          <t>翻译工作</t>
        </is>
      </c>
      <c r="FB183" s="2" t="inlineStr">
        <is>
          <t>每月3次以上</t>
        </is>
      </c>
      <c r="FC183" s="2" t="inlineStr">
        <is>
          <t>月</t>
        </is>
      </c>
      <c r="FD183" s="3" t="n">
        <v>3</v>
      </c>
      <c r="FE183" s="3" t="n">
        <v>3</v>
      </c>
      <c r="FF183" s="2" t="inlineStr">
        <is>
          <t>D.4-8小时</t>
        </is>
      </c>
      <c r="FG183" s="7" t="n">
        <v>4</v>
      </c>
      <c r="FH183" s="7" t="n">
        <v>8</v>
      </c>
      <c r="FI183" s="7" t="n">
        <v>12</v>
      </c>
      <c r="FJ183" s="7" t="n">
        <v>24</v>
      </c>
      <c r="FK183" s="7" t="n">
        <v>0</v>
      </c>
      <c r="FL183" s="7" t="n">
        <v>0</v>
      </c>
      <c r="FM183" s="7" t="n">
        <v>0</v>
      </c>
      <c r="FN183" s="7" t="n">
        <v>0</v>
      </c>
      <c r="FO183" s="2" t="inlineStr">
        <is>
          <t>专业技术类</t>
        </is>
      </c>
      <c r="FP183" s="2"/>
      <c r="FQ183" s="2" t="inlineStr">
        <is>
          <t>专业问题协调</t>
        </is>
      </c>
      <c r="FR183" s="2" t="inlineStr">
        <is>
          <t>上级指令</t>
        </is>
      </c>
      <c r="FS183" s="2" t="inlineStr">
        <is>
          <t>重要且紧急</t>
        </is>
      </c>
      <c r="FT183" s="2" t="inlineStr">
        <is>
          <t>非标准化-无先例参考，需创新协调</t>
        </is>
      </c>
      <c r="FU183" s="2" t="inlineStr">
        <is>
          <t>极少（&lt;5%）</t>
        </is>
      </c>
      <c r="FV183" s="2" t="inlineStr">
        <is>
          <t>脑力/复杂度负荷</t>
        </is>
      </c>
      <c r="FW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t="inlineStr">
        <is>
          <t>1ad1faba-531b-460a-a232-683d173b94d5</t>
        </is>
      </c>
      <c r="EY184" s="3" t="n">
        <v>2</v>
      </c>
      <c r="EZ184" s="2"/>
      <c r="FA184" s="2" t="inlineStr">
        <is>
          <t>费用报销</t>
        </is>
      </c>
      <c r="FB184" s="2" t="inlineStr">
        <is>
          <t>每年3次以上</t>
        </is>
      </c>
      <c r="FC184" s="2" t="inlineStr">
        <is>
          <t>年</t>
        </is>
      </c>
      <c r="FD184" s="3" t="n">
        <v>3</v>
      </c>
      <c r="FE184" s="3" t="n">
        <v>3</v>
      </c>
      <c r="FF184" s="2" t="inlineStr">
        <is>
          <t>B.2小时以内</t>
        </is>
      </c>
      <c r="FG184" s="7" t="n">
        <v>2</v>
      </c>
      <c r="FH184" s="7" t="n">
        <v>2</v>
      </c>
      <c r="FI184" s="7" t="n">
        <v>0</v>
      </c>
      <c r="FJ184" s="7" t="n">
        <v>0</v>
      </c>
      <c r="FK184" s="7" t="n">
        <v>0</v>
      </c>
      <c r="FL184" s="7" t="n">
        <v>0</v>
      </c>
      <c r="FM184" s="7" t="n">
        <v>6</v>
      </c>
      <c r="FN184" s="7" t="n">
        <v>6</v>
      </c>
      <c r="FO184" s="2" t="inlineStr">
        <is>
          <t>流程审批类</t>
        </is>
      </c>
      <c r="FP184" s="2"/>
      <c r="FQ184" s="2" t="inlineStr">
        <is>
          <t>费用报销流程</t>
        </is>
      </c>
      <c r="FR184" s="2" t="inlineStr">
        <is>
          <t>上级指令</t>
        </is>
      </c>
      <c r="FS184" s="2" t="inlineStr">
        <is>
          <t>重要且紧急</t>
        </is>
      </c>
      <c r="FT184" s="2" t="inlineStr">
        <is>
          <t>半标准化-有流程框架，需专业经验</t>
        </is>
      </c>
      <c r="FU184" s="2" t="inlineStr">
        <is>
          <t>极少（&lt;5%）</t>
        </is>
      </c>
      <c r="FV184" s="2" t="inlineStr">
        <is>
          <t>沟通/协调负荷</t>
        </is>
      </c>
      <c r="FW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t="inlineStr">
        <is>
          <t>855456cd-0d10-436e-848d-ac3f3953c398</t>
        </is>
      </c>
      <c r="EY185" s="3" t="n">
        <v>3</v>
      </c>
      <c r="EZ185" s="2"/>
      <c r="FA185" s="2" t="inlineStr">
        <is>
          <t>合同管理</t>
        </is>
      </c>
      <c r="FB185" s="2" t="inlineStr">
        <is>
          <t>每年1-2次</t>
        </is>
      </c>
      <c r="FC185" s="2" t="inlineStr">
        <is>
          <t>年</t>
        </is>
      </c>
      <c r="FD185" s="3" t="n">
        <v>1</v>
      </c>
      <c r="FE185" s="3" t="n">
        <v>2</v>
      </c>
      <c r="FF185" s="2" t="inlineStr">
        <is>
          <t>B.2小时以内</t>
        </is>
      </c>
      <c r="FG185" s="7" t="n">
        <v>2</v>
      </c>
      <c r="FH185" s="7" t="n">
        <v>2</v>
      </c>
      <c r="FI185" s="7" t="n">
        <v>0</v>
      </c>
      <c r="FJ185" s="7" t="n">
        <v>0</v>
      </c>
      <c r="FK185" s="7" t="n">
        <v>0</v>
      </c>
      <c r="FL185" s="7" t="n">
        <v>0</v>
      </c>
      <c r="FM185" s="7" t="n">
        <v>2</v>
      </c>
      <c r="FN185" s="7" t="n">
        <v>4</v>
      </c>
      <c r="FO185" s="2" t="inlineStr">
        <is>
          <t>流程审批类</t>
        </is>
      </c>
      <c r="FP185" s="2"/>
      <c r="FQ185" s="2" t="inlineStr">
        <is>
          <t>合同流程</t>
        </is>
      </c>
      <c r="FR185" s="2" t="inlineStr">
        <is>
          <t>上级指令</t>
        </is>
      </c>
      <c r="FS185" s="2" t="inlineStr">
        <is>
          <t>重要且紧急</t>
        </is>
      </c>
      <c r="FT185" s="2" t="inlineStr">
        <is>
          <t>半标准化-有流程框架，需专业经验</t>
        </is>
      </c>
      <c r="FU185" s="2" t="inlineStr">
        <is>
          <t>极少（&lt;5%）</t>
        </is>
      </c>
      <c r="FV185" s="2" t="inlineStr">
        <is>
          <t>沟通/协调负荷</t>
        </is>
      </c>
      <c r="FW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t="inlineStr">
        <is>
          <t>233ce1b7-9fdc-4e6a-a17a-5fc37df48487</t>
        </is>
      </c>
      <c r="EY186" s="3" t="n">
        <v>4</v>
      </c>
      <c r="EZ186" s="2"/>
      <c r="FA186" s="2" t="inlineStr">
        <is>
          <t>票务预订</t>
        </is>
      </c>
      <c r="FB186" s="2" t="inlineStr">
        <is>
          <t>每年3次以上</t>
        </is>
      </c>
      <c r="FC186" s="2" t="inlineStr">
        <is>
          <t>年</t>
        </is>
      </c>
      <c r="FD186" s="3" t="n">
        <v>3</v>
      </c>
      <c r="FE186" s="3" t="n">
        <v>3</v>
      </c>
      <c r="FF186" s="2" t="inlineStr">
        <is>
          <t>C.2-4小时</t>
        </is>
      </c>
      <c r="FG186" s="7" t="n">
        <v>2</v>
      </c>
      <c r="FH186" s="7" t="n">
        <v>4</v>
      </c>
      <c r="FI186" s="7" t="n">
        <v>0</v>
      </c>
      <c r="FJ186" s="7" t="n">
        <v>0</v>
      </c>
      <c r="FK186" s="7" t="n">
        <v>0</v>
      </c>
      <c r="FL186" s="7" t="n">
        <v>0</v>
      </c>
      <c r="FM186" s="7" t="n">
        <v>6</v>
      </c>
      <c r="FN186" s="7" t="n">
        <v>12</v>
      </c>
      <c r="FO186" s="2" t="inlineStr">
        <is>
          <t>其他</t>
        </is>
      </c>
      <c r="FP186" s="2"/>
      <c r="FQ186" s="2"/>
      <c r="FR186" s="2" t="inlineStr">
        <is>
          <t>上级指令</t>
        </is>
      </c>
      <c r="FS186" s="2" t="inlineStr">
        <is>
          <t>重要且紧急</t>
        </is>
      </c>
      <c r="FT186" s="2" t="inlineStr">
        <is>
          <t>非标准化-无先例参考，需创新协调</t>
        </is>
      </c>
      <c r="FU186" s="2" t="inlineStr">
        <is>
          <t>极少（&lt;5%）</t>
        </is>
      </c>
      <c r="FV186" s="2" t="inlineStr">
        <is>
          <t>时效/强度负荷</t>
        </is>
      </c>
      <c r="FW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t="inlineStr">
        <is>
          <t>f6d1ad05-1ba9-4434-98bc-d69ad7ab3c39</t>
        </is>
      </c>
      <c r="EY187" s="3" t="n">
        <v>5</v>
      </c>
      <c r="EZ187" s="2"/>
      <c r="FA187" s="2" t="inlineStr">
        <is>
          <t>差旅行程表</t>
        </is>
      </c>
      <c r="FB187" s="2" t="inlineStr">
        <is>
          <t>每年3次以上</t>
        </is>
      </c>
      <c r="FC187" s="2" t="inlineStr">
        <is>
          <t>年</t>
        </is>
      </c>
      <c r="FD187" s="3" t="n">
        <v>3</v>
      </c>
      <c r="FE187" s="3" t="n">
        <v>3</v>
      </c>
      <c r="FF187" s="2" t="inlineStr">
        <is>
          <t>B.2小时以内</t>
        </is>
      </c>
      <c r="FG187" s="7" t="n">
        <v>2</v>
      </c>
      <c r="FH187" s="7" t="n">
        <v>2</v>
      </c>
      <c r="FI187" s="7" t="n">
        <v>0</v>
      </c>
      <c r="FJ187" s="7" t="n">
        <v>0</v>
      </c>
      <c r="FK187" s="7" t="n">
        <v>0</v>
      </c>
      <c r="FL187" s="7" t="n">
        <v>0</v>
      </c>
      <c r="FM187" s="7" t="n">
        <v>6</v>
      </c>
      <c r="FN187" s="7" t="n">
        <v>6</v>
      </c>
      <c r="FO187" s="2" t="inlineStr">
        <is>
          <t>数据报表类</t>
        </is>
      </c>
      <c r="FP187" s="2"/>
      <c r="FQ187" s="2" t="inlineStr">
        <is>
          <t>专项统计</t>
        </is>
      </c>
      <c r="FR187" s="2" t="inlineStr">
        <is>
          <t>岗位职责</t>
        </is>
      </c>
      <c r="FS187" s="2" t="inlineStr">
        <is>
          <t>重要且紧急</t>
        </is>
      </c>
      <c r="FT187" s="2" t="inlineStr">
        <is>
          <t>半标准化-有流程框架，需专业经验</t>
        </is>
      </c>
      <c r="FU187" s="2" t="inlineStr">
        <is>
          <t>极少（&lt;5%）</t>
        </is>
      </c>
      <c r="FV187" s="2" t="inlineStr">
        <is>
          <t>脑力/复杂度负荷</t>
        </is>
      </c>
      <c r="FW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t="inlineStr">
        <is>
          <t>9a6fe291-5879-4489-a7dd-5e4995f2a11e</t>
        </is>
      </c>
      <c r="EY188" s="3" t="n">
        <v>6</v>
      </c>
      <c r="EZ188" s="2"/>
      <c r="FA188" s="2" t="inlineStr">
        <is>
          <t>与外部单位相关工作推进，如海外分公司注册、Ecovadis认证等</t>
        </is>
      </c>
      <c r="FB188" s="2" t="inlineStr">
        <is>
          <t>每年1-2次</t>
        </is>
      </c>
      <c r="FC188" s="2" t="inlineStr">
        <is>
          <t>年</t>
        </is>
      </c>
      <c r="FD188" s="3" t="n">
        <v>1</v>
      </c>
      <c r="FE188" s="3" t="n">
        <v>2</v>
      </c>
      <c r="FF188" s="2" t="inlineStr">
        <is>
          <t>D.4-8小时</t>
        </is>
      </c>
      <c r="FG188" s="7" t="n">
        <v>4</v>
      </c>
      <c r="FH188" s="7" t="n">
        <v>8</v>
      </c>
      <c r="FI188" s="7" t="n">
        <v>0</v>
      </c>
      <c r="FJ188" s="7" t="n">
        <v>0</v>
      </c>
      <c r="FK188" s="7" t="n">
        <v>0</v>
      </c>
      <c r="FL188" s="7" t="n">
        <v>0</v>
      </c>
      <c r="FM188" s="7" t="n">
        <v>4</v>
      </c>
      <c r="FN188" s="7" t="n">
        <v>16</v>
      </c>
      <c r="FO188" s="2" t="inlineStr">
        <is>
          <t>协调沟通类</t>
        </is>
      </c>
      <c r="FP188" s="2"/>
      <c r="FQ188" s="2" t="inlineStr">
        <is>
          <t>外部联络</t>
        </is>
      </c>
      <c r="FR188" s="2" t="inlineStr">
        <is>
          <t>上级指令</t>
        </is>
      </c>
      <c r="FS188" s="2" t="inlineStr">
        <is>
          <t>重要且紧急</t>
        </is>
      </c>
      <c r="FT188" s="2" t="inlineStr">
        <is>
          <t>非标准化-无先例参考，需创新协调</t>
        </is>
      </c>
      <c r="FU188" s="2" t="inlineStr">
        <is>
          <t>极少（&lt;5%）</t>
        </is>
      </c>
      <c r="FV188" s="2" t="inlineStr">
        <is>
          <t>脑力/复杂度负荷</t>
        </is>
      </c>
      <c r="FW188" s="2"/>
    </row>
    <row r="189">
      <c r="A189" s="2" t="inlineStr">
        <is>
          <t>2026-05-18 09:41:32</t>
        </is>
      </c>
      <c r="B189" s="2" t="inlineStr">
        <is>
          <t>韩丰萍</t>
        </is>
      </c>
      <c r="C189" s="2" t="inlineStr">
        <is>
          <t>海外事业部</t>
        </is>
      </c>
      <c r="D189" s="2" t="inlineStr">
        <is>
          <t>女</t>
        </is>
      </c>
      <c r="E189" s="2" t="inlineStr">
        <is>
          <t>320321198004047260</t>
        </is>
      </c>
      <c r="F189" s="2" t="inlineStr">
        <is>
          <t>业务主管</t>
        </is>
      </c>
      <c r="G189" s="2" t="inlineStr">
        <is>
          <t>2004-08</t>
        </is>
      </c>
      <c r="H189" s="2" t="inlineStr">
        <is>
          <t>南京林业大学</t>
        </is>
      </c>
      <c r="I189" s="2" t="inlineStr">
        <is>
          <t>翻译</t>
        </is>
      </c>
      <c r="J189" s="2" t="inlineStr">
        <is>
          <t>本科</t>
        </is>
      </c>
      <c r="K189" s="2"/>
      <c r="L189" s="6">
        <f>HYPERLINK("https://www.h3yun.com/Form/Attachments/?schemacode=D1483577de63ede327d4760b10664bd57671d7e&amp;bizObjectId=2a768998-e883-484a-ab54-af3f4d2c378c&amp;name=F0000046","点击查看")</f>
        <v>0</v>
      </c>
      <c r="M189" s="2" t="inlineStr">
        <is>
          <t>无</t>
        </is>
      </c>
      <c r="N189" s="2" t="inlineStr">
        <is>
          <t>每周工作;每月工作;每季度/阶段性工作;临时/突发工作</t>
        </is>
      </c>
      <c r="O189" s="2" t="inlineStr">
        <is>
          <t>46岁及以上</t>
        </is>
      </c>
      <c r="P189" s="2" t="inlineStr">
        <is>
          <t>C.已婚已育</t>
        </is>
      </c>
      <c r="Q189" s="2" t="inlineStr">
        <is>
          <t>A.否</t>
        </is>
      </c>
      <c r="R189" s="2" t="inlineStr">
        <is>
          <t>A.否</t>
        </is>
      </c>
      <c r="S189" s="2" t="inlineStr">
        <is>
          <t>A.保持当前工作内容和节奏，收入相对稳定即可</t>
        </is>
      </c>
      <c r="T189" s="2" t="inlineStr">
        <is>
          <t>A.基本满意，希望保持</t>
        </is>
      </c>
      <c r="U189" s="2" t="inlineStr">
        <is>
          <t>C.增加弹性和稳定性</t>
        </is>
      </c>
      <c r="V189" s="2" t="inlineStr">
        <is>
          <t>A.没有</t>
        </is>
      </c>
      <c r="W189" s="2"/>
      <c r="X189" s="2" t="inlineStr">
        <is>
          <t>B.满负荷 (100%-120%)</t>
        </is>
      </c>
      <c r="Y189" s="2" t="inlineStr">
        <is>
          <t>E.临时差旅、突发事件、会议加班</t>
        </is>
      </c>
      <c r="Z189" s="2" t="inlineStr">
        <is>
          <t>无</t>
        </is>
      </c>
      <c r="AA189" s="2" t="inlineStr">
        <is>
          <t>无</t>
        </is>
      </c>
      <c r="AB189" s="2" t="inlineStr">
        <is>
          <t>专业问题协调</t>
        </is>
      </c>
      <c r="AC189" s="2" t="inlineStr">
        <is>
          <t>A.高度匹配（得心应手）</t>
        </is>
      </c>
      <c r="AD189" s="2" t="inlineStr">
        <is>
          <t>无</t>
        </is>
      </c>
      <c r="AE189" s="2"/>
      <c r="AF189" s="2"/>
      <c r="AG189" s="2"/>
      <c r="AH189" s="2"/>
      <c r="AI189" s="7" t="n">
        <v>0</v>
      </c>
      <c r="AJ189" s="7" t="n">
        <v>0</v>
      </c>
      <c r="AK189" s="7" t="n">
        <v>0</v>
      </c>
      <c r="AL189" s="7" t="n">
        <v>0</v>
      </c>
      <c r="AM189" s="7" t="n">
        <v>0.18</v>
      </c>
      <c r="AN189" s="7" t="n">
        <v>0.27</v>
      </c>
      <c r="AO189" s="7" t="n">
        <v>0.07</v>
      </c>
      <c r="AP189" s="7" t="n">
        <v>0.08</v>
      </c>
      <c r="AQ189" s="7" t="n">
        <v>1.05</v>
      </c>
      <c r="AR189" s="7" t="n">
        <v>1.59</v>
      </c>
      <c r="AS189" s="7" t="n">
        <v>1.3</v>
      </c>
      <c r="AT189" s="7" t="n">
        <v>1.94</v>
      </c>
      <c r="AU189" s="7" t="n">
        <v>1.62</v>
      </c>
      <c r="AV189" s="2" t="inlineStr">
        <is>
          <t>非饱和</t>
        </is>
      </c>
      <c r="AW189" s="2" t="inlineStr">
        <is>
          <t>不一致</t>
        </is>
      </c>
      <c r="AX189" s="2" t="inlineStr">
        <is>
          <t>2a768998-e883-484a-ab54-af3f4d2c378c</t>
        </is>
      </c>
      <c r="AY189" s="2" t="inlineStr">
        <is>
          <t>海外事业部    韩丰萍</t>
        </is>
      </c>
      <c r="AZ189" s="2" t="inlineStr">
        <is>
          <t>Anonymous</t>
        </is>
      </c>
      <c r="BA189" s="2" t="inlineStr">
        <is>
          <t>Anonymous</t>
        </is>
      </c>
      <c r="BB189" s="2"/>
      <c r="BC189" s="2" t="inlineStr">
        <is>
          <t>2026-05-21 08:43:22</t>
        </is>
      </c>
      <c r="BD189" s="3" t="n">
        <v>1980</v>
      </c>
      <c r="BE189" s="3" t="n">
        <v>46</v>
      </c>
      <c r="BF189" s="2" t="inlineStr">
        <is>
          <t>A.无此需求</t>
        </is>
      </c>
      <c r="BG189" s="2" t="inlineStr">
        <is>
          <t>已生效</t>
        </is>
      </c>
      <c r="BH189" s="2" t="inlineStr">
        <is>
          <t>32441b6f-6bd9-44ed-8117-7dfa73b3a184</t>
        </is>
      </c>
      <c r="BI189" s="3" t="n">
        <v>1</v>
      </c>
      <c r="BJ189" s="2"/>
      <c r="BK189" s="2"/>
      <c r="BL189" s="2"/>
      <c r="BM189" s="2"/>
      <c r="BN189" s="2"/>
      <c r="BO189" s="2"/>
      <c r="BP189" s="2"/>
      <c r="BQ189" s="2"/>
      <c r="BR189" s="2"/>
      <c r="BS189" s="2" t="inlineStr">
        <is>
          <t>4664198b-82a7-44cb-813b-c5b0c41ffab3</t>
        </is>
      </c>
      <c r="BT189" s="3" t="n">
        <v>1</v>
      </c>
      <c r="BU189" s="2"/>
      <c r="BV189" s="2"/>
      <c r="BW189" s="2"/>
      <c r="BX189" s="3"/>
      <c r="BY189" s="3"/>
      <c r="BZ189" s="2"/>
      <c r="CA189" s="3"/>
      <c r="CB189" s="3"/>
      <c r="CC189" s="3"/>
      <c r="CD189" s="3"/>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t="inlineStr">
        <is>
          <t>737b58a2-d62f-4c4a-8c7a-097e7de83259</t>
        </is>
      </c>
      <c r="DJ189" s="3" t="n">
        <v>1</v>
      </c>
      <c r="DK189" s="2"/>
      <c r="DL189" s="2" t="inlineStr">
        <is>
          <t>APEC使用情况月度报告</t>
        </is>
      </c>
      <c r="DM189" s="2" t="inlineStr">
        <is>
          <t>1次</t>
        </is>
      </c>
      <c r="DN189" s="3" t="n">
        <v>1</v>
      </c>
      <c r="DO189" s="3" t="n">
        <v>1</v>
      </c>
      <c r="DP189" s="2" t="inlineStr">
        <is>
          <t>B.2小时以内</t>
        </is>
      </c>
      <c r="DQ189" s="7" t="n">
        <v>2</v>
      </c>
      <c r="DR189" s="7" t="n">
        <v>2</v>
      </c>
      <c r="DS189" s="7" t="n">
        <v>2</v>
      </c>
      <c r="DT189" s="7" t="n">
        <v>2</v>
      </c>
      <c r="DU189" s="2" t="inlineStr">
        <is>
          <t>数据报表类</t>
        </is>
      </c>
      <c r="DV189" s="2"/>
      <c r="DW189" s="2" t="inlineStr">
        <is>
          <t>月报</t>
        </is>
      </c>
      <c r="DX189" s="2" t="inlineStr">
        <is>
          <t>岗位职责</t>
        </is>
      </c>
      <c r="DY189" s="2" t="inlineStr">
        <is>
          <t>重要且紧急</t>
        </is>
      </c>
      <c r="DZ189" s="2" t="inlineStr">
        <is>
          <t>高度标准化-有成熟SOP，照做即可</t>
        </is>
      </c>
      <c r="EA189" s="2" t="inlineStr">
        <is>
          <t>极少（&lt;5%）</t>
        </is>
      </c>
      <c r="EB189" s="2" t="inlineStr">
        <is>
          <t>沟通/协调负荷</t>
        </is>
      </c>
      <c r="EC189" s="2" t="inlineStr">
        <is>
          <t>无</t>
        </is>
      </c>
      <c r="ED189" s="2" t="inlineStr">
        <is>
          <t>56025df4-0e37-4984-a5d6-37501ef5e08d</t>
        </is>
      </c>
      <c r="EE189" s="3" t="n">
        <v>1</v>
      </c>
      <c r="EF189" s="2"/>
      <c r="EG189" s="2" t="inlineStr">
        <is>
          <t>对外承包工程企业相关数据统计表</t>
        </is>
      </c>
      <c r="EH189" s="2" t="inlineStr">
        <is>
          <t>1次</t>
        </is>
      </c>
      <c r="EI189" s="3" t="n">
        <v>1</v>
      </c>
      <c r="EJ189" s="2" t="inlineStr">
        <is>
          <t>C.2-4小时</t>
        </is>
      </c>
      <c r="EK189" s="7" t="n">
        <v>2</v>
      </c>
      <c r="EL189" s="7" t="n">
        <v>4</v>
      </c>
      <c r="EM189" s="7" t="n">
        <v>2</v>
      </c>
      <c r="EN189" s="7" t="n">
        <v>4</v>
      </c>
      <c r="EO189" s="2" t="inlineStr">
        <is>
          <t>数据报表类</t>
        </is>
      </c>
      <c r="EP189" s="2"/>
      <c r="EQ189" s="2" t="inlineStr">
        <is>
          <t>监管报送</t>
        </is>
      </c>
      <c r="ER189" s="2" t="inlineStr">
        <is>
          <t>上级指令</t>
        </is>
      </c>
      <c r="ES189" s="2" t="inlineStr">
        <is>
          <t>重要且紧急</t>
        </is>
      </c>
      <c r="ET189" s="2" t="inlineStr">
        <is>
          <t>半标准化-有流程框架，需专业经验</t>
        </is>
      </c>
      <c r="EU189" s="2" t="inlineStr">
        <is>
          <t>极少（&lt;5%）</t>
        </is>
      </c>
      <c r="EV189" s="2" t="inlineStr">
        <is>
          <t>沟通/协调负荷</t>
        </is>
      </c>
      <c r="EW189" s="2"/>
      <c r="EX189" s="2" t="inlineStr">
        <is>
          <t>a7c9f972-8064-4f1c-b050-6fe5ec6b1726</t>
        </is>
      </c>
      <c r="EY189" s="3" t="n">
        <v>1</v>
      </c>
      <c r="EZ189" s="2"/>
      <c r="FA189" s="2" t="inlineStr">
        <is>
          <t>招投标文件翻译</t>
        </is>
      </c>
      <c r="FB189" s="2" t="inlineStr">
        <is>
          <t>每月3次以上</t>
        </is>
      </c>
      <c r="FC189" s="2" t="inlineStr">
        <is>
          <t>月</t>
        </is>
      </c>
      <c r="FD189" s="3" t="n">
        <v>3</v>
      </c>
      <c r="FE189" s="3" t="n">
        <v>3</v>
      </c>
      <c r="FF189" s="2" t="inlineStr">
        <is>
          <t>D.4-8小时</t>
        </is>
      </c>
      <c r="FG189" s="7" t="n">
        <v>4</v>
      </c>
      <c r="FH189" s="7" t="n">
        <v>8</v>
      </c>
      <c r="FI189" s="7" t="n">
        <v>12</v>
      </c>
      <c r="FJ189" s="7" t="n">
        <v>24</v>
      </c>
      <c r="FK189" s="7" t="n">
        <v>0</v>
      </c>
      <c r="FL189" s="7" t="n">
        <v>0</v>
      </c>
      <c r="FM189" s="7" t="n">
        <v>0</v>
      </c>
      <c r="FN189" s="7" t="n">
        <v>0</v>
      </c>
      <c r="FO189" s="2" t="inlineStr">
        <is>
          <t>专业技术类</t>
        </is>
      </c>
      <c r="FP189" s="2"/>
      <c r="FQ189" s="2" t="inlineStr">
        <is>
          <t>专业问题协调</t>
        </is>
      </c>
      <c r="FR189" s="2" t="inlineStr">
        <is>
          <t>上级指令</t>
        </is>
      </c>
      <c r="FS189" s="2" t="inlineStr">
        <is>
          <t>重要且紧急</t>
        </is>
      </c>
      <c r="FT189" s="2" t="inlineStr">
        <is>
          <t>非标准化-无先例参考，需创新协调</t>
        </is>
      </c>
      <c r="FU189" s="2" t="inlineStr">
        <is>
          <t>极少（&lt;5%）</t>
        </is>
      </c>
      <c r="FV189" s="2" t="inlineStr">
        <is>
          <t>脑力/复杂度负荷</t>
        </is>
      </c>
      <c r="FW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t="inlineStr">
        <is>
          <t>72d530e9-8214-48a5-8f19-a8e8e1515107</t>
        </is>
      </c>
      <c r="DJ190" s="3" t="n">
        <v>2</v>
      </c>
      <c r="DK190" s="2"/>
      <c r="DL190" s="2" t="inlineStr">
        <is>
          <t>部门考勤及加班餐费报销</t>
        </is>
      </c>
      <c r="DM190" s="2" t="inlineStr">
        <is>
          <t>1次</t>
        </is>
      </c>
      <c r="DN190" s="3" t="n">
        <v>1</v>
      </c>
      <c r="DO190" s="3" t="n">
        <v>1</v>
      </c>
      <c r="DP190" s="2" t="inlineStr">
        <is>
          <t>C.2-4小时</t>
        </is>
      </c>
      <c r="DQ190" s="7" t="n">
        <v>2</v>
      </c>
      <c r="DR190" s="7" t="n">
        <v>4</v>
      </c>
      <c r="DS190" s="7" t="n">
        <v>2</v>
      </c>
      <c r="DT190" s="7" t="n">
        <v>4</v>
      </c>
      <c r="DU190" s="2" t="inlineStr">
        <is>
          <t>数据报表类</t>
        </is>
      </c>
      <c r="DV190" s="2"/>
      <c r="DW190" s="2" t="inlineStr">
        <is>
          <t>月报</t>
        </is>
      </c>
      <c r="DX190" s="2" t="inlineStr">
        <is>
          <t>岗位职责</t>
        </is>
      </c>
      <c r="DY190" s="2" t="inlineStr">
        <is>
          <t>重要且紧急</t>
        </is>
      </c>
      <c r="DZ190" s="2" t="inlineStr">
        <is>
          <t>高度标准化-有成熟SOP，照做即可</t>
        </is>
      </c>
      <c r="EA190" s="2" t="inlineStr">
        <is>
          <t>极少（&lt;5%）</t>
        </is>
      </c>
      <c r="EB190" s="2" t="inlineStr">
        <is>
          <t>时效/强度负荷</t>
        </is>
      </c>
      <c r="EC190" s="2" t="inlineStr">
        <is>
          <t>无</t>
        </is>
      </c>
      <c r="ED190" s="2" t="inlineStr">
        <is>
          <t>d1a2671c-51b2-4774-8590-fb651027fbb0</t>
        </is>
      </c>
      <c r="EE190" s="3" t="n">
        <v>2</v>
      </c>
      <c r="EF190" s="2"/>
      <c r="EG190" s="2" t="inlineStr">
        <is>
          <t>商务部网站对外承包工程半年报报送</t>
        </is>
      </c>
      <c r="EH190" s="2" t="inlineStr">
        <is>
          <t>1次</t>
        </is>
      </c>
      <c r="EI190" s="3" t="n">
        <v>1</v>
      </c>
      <c r="EJ190" s="2" t="inlineStr">
        <is>
          <t>E.8小时以上</t>
        </is>
      </c>
      <c r="EK190" s="7" t="n">
        <v>8</v>
      </c>
      <c r="EL190" s="7" t="n">
        <v>8</v>
      </c>
      <c r="EM190" s="7" t="n">
        <v>8</v>
      </c>
      <c r="EN190" s="7" t="n">
        <v>8</v>
      </c>
      <c r="EO190" s="2" t="inlineStr">
        <is>
          <t>数据报表类</t>
        </is>
      </c>
      <c r="EP190" s="2"/>
      <c r="EQ190" s="2" t="inlineStr">
        <is>
          <t>监管报送</t>
        </is>
      </c>
      <c r="ER190" s="2" t="inlineStr">
        <is>
          <t>上级指令</t>
        </is>
      </c>
      <c r="ES190" s="2" t="inlineStr">
        <is>
          <t>重要且紧急</t>
        </is>
      </c>
      <c r="ET190" s="2" t="inlineStr">
        <is>
          <t>半标准化-有流程框架，需专业经验</t>
        </is>
      </c>
      <c r="EU190" s="2" t="inlineStr">
        <is>
          <t>极少（&lt;5%）</t>
        </is>
      </c>
      <c r="EV190" s="2" t="inlineStr">
        <is>
          <t>沟通/协调负荷</t>
        </is>
      </c>
      <c r="EW190" s="2"/>
      <c r="EX190" s="2" t="inlineStr">
        <is>
          <t>06aef7aa-f556-4a71-a08c-4c933847ccf3</t>
        </is>
      </c>
      <c r="EY190" s="3" t="n">
        <v>2</v>
      </c>
      <c r="EZ190" s="2"/>
      <c r="FA190" s="2" t="inlineStr">
        <is>
          <t>对外承包工程备案</t>
        </is>
      </c>
      <c r="FB190" s="2" t="inlineStr">
        <is>
          <t>每季3次以上</t>
        </is>
      </c>
      <c r="FC190" s="2" t="inlineStr">
        <is>
          <t>季</t>
        </is>
      </c>
      <c r="FD190" s="3" t="n">
        <v>3</v>
      </c>
      <c r="FE190" s="3" t="n">
        <v>3</v>
      </c>
      <c r="FF190" s="2" t="inlineStr">
        <is>
          <t>E.8小时以上</t>
        </is>
      </c>
      <c r="FG190" s="7" t="n">
        <v>8</v>
      </c>
      <c r="FH190" s="7" t="n">
        <v>8</v>
      </c>
      <c r="FI190" s="7" t="n">
        <v>0</v>
      </c>
      <c r="FJ190" s="7" t="n">
        <v>0</v>
      </c>
      <c r="FK190" s="7" t="n">
        <v>24</v>
      </c>
      <c r="FL190" s="7" t="n">
        <v>24</v>
      </c>
      <c r="FM190" s="7" t="n">
        <v>0</v>
      </c>
      <c r="FN190" s="7" t="n">
        <v>0</v>
      </c>
      <c r="FO190" s="2" t="inlineStr">
        <is>
          <t>数据报表类</t>
        </is>
      </c>
      <c r="FP190" s="2"/>
      <c r="FQ190" s="2" t="inlineStr">
        <is>
          <t>监管报送</t>
        </is>
      </c>
      <c r="FR190" s="2" t="inlineStr">
        <is>
          <t>上级指令</t>
        </is>
      </c>
      <c r="FS190" s="2" t="inlineStr">
        <is>
          <t>重要且紧急</t>
        </is>
      </c>
      <c r="FT190" s="2" t="inlineStr">
        <is>
          <t>半标准化-有流程框架，需专业经验</t>
        </is>
      </c>
      <c r="FU190" s="2" t="inlineStr">
        <is>
          <t>极少（&lt;5%）</t>
        </is>
      </c>
      <c r="FV190" s="2" t="inlineStr">
        <is>
          <t>时效/强度负荷</t>
        </is>
      </c>
      <c r="FW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t="inlineStr">
        <is>
          <t>6b5ebb3d-e3ea-451b-a6c3-d06c50ca630d</t>
        </is>
      </c>
      <c r="EE191" s="3" t="n">
        <v>3</v>
      </c>
      <c r="EF191" s="2"/>
      <c r="EG191" s="2" t="inlineStr">
        <is>
          <t>商务部网站投资半年报、年报报送</t>
        </is>
      </c>
      <c r="EH191" s="2" t="inlineStr">
        <is>
          <t>1次</t>
        </is>
      </c>
      <c r="EI191" s="3" t="n">
        <v>1</v>
      </c>
      <c r="EJ191" s="2" t="inlineStr">
        <is>
          <t>E.8小时以上</t>
        </is>
      </c>
      <c r="EK191" s="7" t="n">
        <v>8</v>
      </c>
      <c r="EL191" s="7" t="n">
        <v>8</v>
      </c>
      <c r="EM191" s="7" t="n">
        <v>8</v>
      </c>
      <c r="EN191" s="7" t="n">
        <v>8</v>
      </c>
      <c r="EO191" s="2" t="inlineStr">
        <is>
          <t>数据报表类</t>
        </is>
      </c>
      <c r="EP191" s="2"/>
      <c r="EQ191" s="2" t="inlineStr">
        <is>
          <t>监管报送</t>
        </is>
      </c>
      <c r="ER191" s="2" t="inlineStr">
        <is>
          <t>上级指令</t>
        </is>
      </c>
      <c r="ES191" s="2" t="inlineStr">
        <is>
          <t>重要且紧急</t>
        </is>
      </c>
      <c r="ET191" s="2" t="inlineStr">
        <is>
          <t>半标准化-有流程框架，需专业经验</t>
        </is>
      </c>
      <c r="EU191" s="2" t="inlineStr">
        <is>
          <t>极少（&lt;5%）</t>
        </is>
      </c>
      <c r="EV191" s="2" t="inlineStr">
        <is>
          <t>沟通/协调负荷</t>
        </is>
      </c>
      <c r="EW191" s="2"/>
      <c r="EX191" s="2" t="inlineStr">
        <is>
          <t>78244481-8832-4864-b49b-0e616b504acd</t>
        </is>
      </c>
      <c r="EY191" s="3" t="n">
        <v>3</v>
      </c>
      <c r="EZ191" s="2"/>
      <c r="FA191" s="2" t="inlineStr">
        <is>
          <t>APEC 卡借卡管理工作</t>
        </is>
      </c>
      <c r="FB191" s="2" t="inlineStr">
        <is>
          <t>每季3次以上</t>
        </is>
      </c>
      <c r="FC191" s="2" t="inlineStr">
        <is>
          <t>季</t>
        </is>
      </c>
      <c r="FD191" s="3" t="n">
        <v>3</v>
      </c>
      <c r="FE191" s="3" t="n">
        <v>3</v>
      </c>
      <c r="FF191" s="2" t="inlineStr">
        <is>
          <t>A.20分钟以内</t>
        </is>
      </c>
      <c r="FG191" s="7" t="n">
        <v>0.33</v>
      </c>
      <c r="FH191" s="7" t="n">
        <v>0.33</v>
      </c>
      <c r="FI191" s="7" t="n">
        <v>0</v>
      </c>
      <c r="FJ191" s="7" t="n">
        <v>0</v>
      </c>
      <c r="FK191" s="7" t="n">
        <v>0.99</v>
      </c>
      <c r="FL191" s="7" t="n">
        <v>0.99</v>
      </c>
      <c r="FM191" s="7" t="n">
        <v>0</v>
      </c>
      <c r="FN191" s="7" t="n">
        <v>0</v>
      </c>
      <c r="FO191" s="2" t="inlineStr">
        <is>
          <t>其他</t>
        </is>
      </c>
      <c r="FP191" s="2" t="inlineStr">
        <is>
          <t>代市外办管理卡片，做记录备查</t>
        </is>
      </c>
      <c r="FQ191" s="2"/>
      <c r="FR191" s="2" t="inlineStr">
        <is>
          <t>上级指令</t>
        </is>
      </c>
      <c r="FS191" s="2" t="inlineStr">
        <is>
          <t>重要不紧急</t>
        </is>
      </c>
      <c r="FT191" s="2" t="inlineStr">
        <is>
          <t>高度标准化-有成熟SOP，照做即可</t>
        </is>
      </c>
      <c r="FU191" s="2" t="inlineStr">
        <is>
          <t>极少（&lt;5%）</t>
        </is>
      </c>
      <c r="FV191" s="2" t="inlineStr">
        <is>
          <t>沟通/协调负荷</t>
        </is>
      </c>
      <c r="FW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t="inlineStr">
        <is>
          <t>2d3896b4-aa2a-495d-9265-75f411950667</t>
        </is>
      </c>
      <c r="EY192" s="3" t="n">
        <v>4</v>
      </c>
      <c r="EZ192" s="2"/>
      <c r="FA192" s="2" t="inlineStr">
        <is>
          <t>Apec 换卡</t>
        </is>
      </c>
      <c r="FB192" s="2" t="inlineStr">
        <is>
          <t>每年3次以上</t>
        </is>
      </c>
      <c r="FC192" s="2" t="inlineStr">
        <is>
          <t>年</t>
        </is>
      </c>
      <c r="FD192" s="3" t="n">
        <v>3</v>
      </c>
      <c r="FE192" s="3" t="n">
        <v>3</v>
      </c>
      <c r="FF192" s="2" t="inlineStr">
        <is>
          <t>E.8小时以上</t>
        </is>
      </c>
      <c r="FG192" s="7" t="n">
        <v>8</v>
      </c>
      <c r="FH192" s="7" t="n">
        <v>8</v>
      </c>
      <c r="FI192" s="7" t="n">
        <v>0</v>
      </c>
      <c r="FJ192" s="7" t="n">
        <v>0</v>
      </c>
      <c r="FK192" s="7" t="n">
        <v>0</v>
      </c>
      <c r="FL192" s="7" t="n">
        <v>0</v>
      </c>
      <c r="FM192" s="7" t="n">
        <v>24</v>
      </c>
      <c r="FN192" s="7" t="n">
        <v>24</v>
      </c>
      <c r="FO192" s="2" t="inlineStr">
        <is>
          <t>其他</t>
        </is>
      </c>
      <c r="FP192" s="2"/>
      <c r="FQ192" s="2"/>
      <c r="FR192" s="2" t="inlineStr">
        <is>
          <t>上级指令</t>
        </is>
      </c>
      <c r="FS192" s="2" t="inlineStr">
        <is>
          <t>重要且紧急</t>
        </is>
      </c>
      <c r="FT192" s="2" t="inlineStr">
        <is>
          <t>半标准化-有流程框架，需专业经验</t>
        </is>
      </c>
      <c r="FU192" s="2" t="inlineStr">
        <is>
          <t>极少（&lt;5%）</t>
        </is>
      </c>
      <c r="FV192" s="2" t="inlineStr">
        <is>
          <t>沟通/协调负荷</t>
        </is>
      </c>
      <c r="FW192" s="2"/>
    </row>
    <row r="193">
      <c r="A193" s="2" t="inlineStr">
        <is>
          <t>2026-05-18 09:21:59</t>
        </is>
      </c>
      <c r="B193" s="2" t="inlineStr">
        <is>
          <t>刘少兵</t>
        </is>
      </c>
      <c r="C193" s="2" t="inlineStr">
        <is>
          <t>HSE部</t>
        </is>
      </c>
      <c r="D193" s="2" t="inlineStr">
        <is>
          <t>男</t>
        </is>
      </c>
      <c r="E193" s="2" t="inlineStr">
        <is>
          <t>320924198511256114</t>
        </is>
      </c>
      <c r="F193" s="2" t="inlineStr">
        <is>
          <t>副总师</t>
        </is>
      </c>
      <c r="G193" s="2" t="inlineStr">
        <is>
          <t>2007-08</t>
        </is>
      </c>
      <c r="H193" s="2" t="inlineStr">
        <is>
          <t>南京工业大学</t>
        </is>
      </c>
      <c r="I193" s="2"/>
      <c r="J193" s="2" t="inlineStr">
        <is>
          <t>本科</t>
        </is>
      </c>
      <c r="K193" s="2"/>
      <c r="L193" s="6">
        <f>HYPERLINK("https://www.h3yun.com/Form/Attachments/?schemacode=D1483577de63ede327d4760b10664bd57671d7e&amp;bizObjectId=683ce564-d134-4e62-9927-d85ba174ef09&amp;name=F0000046","点击查看")</f>
        <v>0</v>
      </c>
      <c r="M193" s="2" t="inlineStr">
        <is>
          <t>部门涉及多类型外部审计，如公司能合并资质类外审，建立专门资质类维护部门为佳。</t>
        </is>
      </c>
      <c r="N193" s="2" t="inlineStr">
        <is>
          <t>每月工作;每季度/阶段性工作;临时/突发工作</t>
        </is>
      </c>
      <c r="O193" s="2" t="inlineStr">
        <is>
          <t>41-45岁</t>
        </is>
      </c>
      <c r="P193" s="2" t="inlineStr">
        <is>
          <t>C.已婚已育</t>
        </is>
      </c>
      <c r="Q193" s="2" t="inlineStr">
        <is>
          <t>A.否</t>
        </is>
      </c>
      <c r="R193" s="2" t="inlineStr">
        <is>
          <t>B.有1名</t>
        </is>
      </c>
      <c r="S193" s="2" t="inlineStr">
        <is>
          <t>A.保持当前工作内容和节奏，收入相对稳定即可</t>
        </is>
      </c>
      <c r="T193" s="2" t="inlineStr">
        <is>
          <t>A.基本满意，希望保持</t>
        </is>
      </c>
      <c r="U193" s="2" t="inlineStr">
        <is>
          <t>F.提高支持资源或人员配置</t>
        </is>
      </c>
      <c r="V193" s="2" t="inlineStr">
        <is>
          <t>A.没有</t>
        </is>
      </c>
      <c r="W193" s="2"/>
      <c r="X193" s="2" t="inlineStr">
        <is>
          <t>C.均衡 (80%-100%)</t>
        </is>
      </c>
      <c r="Y193" s="2" t="inlineStr">
        <is>
          <t>E.临时差旅、突发事件、会议加班</t>
        </is>
      </c>
      <c r="Z193" s="2" t="inlineStr">
        <is>
          <t>专项统计</t>
        </is>
      </c>
      <c r="AA193" s="2" t="inlineStr">
        <is>
          <t>会议安排</t>
        </is>
      </c>
      <c r="AB193" s="2" t="inlineStr">
        <is>
          <t>专项统计</t>
        </is>
      </c>
      <c r="AC193" s="2" t="inlineStr">
        <is>
          <t>B.基本匹配（正常履行）</t>
        </is>
      </c>
      <c r="AD193" s="2" t="inlineStr">
        <is>
          <t>推动人才制度合规化，资源健全化，薪资明确化</t>
        </is>
      </c>
      <c r="AE193" s="2"/>
      <c r="AF193" s="2"/>
      <c r="AG193" s="2"/>
      <c r="AH193" s="2"/>
      <c r="AI193" s="7" t="n">
        <v>0</v>
      </c>
      <c r="AJ193" s="7" t="n">
        <v>0</v>
      </c>
      <c r="AK193" s="7" t="n">
        <v>0</v>
      </c>
      <c r="AL193" s="7" t="n">
        <v>0</v>
      </c>
      <c r="AM193" s="7" t="n">
        <v>0.73</v>
      </c>
      <c r="AN193" s="7" t="n">
        <v>1.09</v>
      </c>
      <c r="AO193" s="7" t="n">
        <v>0.03</v>
      </c>
      <c r="AP193" s="7" t="n">
        <v>0.03</v>
      </c>
      <c r="AQ193" s="7" t="n">
        <v>0.1</v>
      </c>
      <c r="AR193" s="7" t="n">
        <v>0.1</v>
      </c>
      <c r="AS193" s="7" t="n">
        <v>0.86</v>
      </c>
      <c r="AT193" s="7" t="n">
        <v>1.22</v>
      </c>
      <c r="AU193" s="7" t="n">
        <v>1.04</v>
      </c>
      <c r="AV193" s="2" t="inlineStr">
        <is>
          <t>非饱和</t>
        </is>
      </c>
      <c r="AW193" s="2" t="inlineStr">
        <is>
          <t>不一致</t>
        </is>
      </c>
      <c r="AX193" s="2" t="inlineStr">
        <is>
          <t>683ce564-d134-4e62-9927-d85ba174ef09</t>
        </is>
      </c>
      <c r="AY193" s="2" t="inlineStr">
        <is>
          <t>HSE部    刘少兵</t>
        </is>
      </c>
      <c r="AZ193" s="2" t="inlineStr">
        <is>
          <t>Anonymous</t>
        </is>
      </c>
      <c r="BA193" s="2" t="inlineStr">
        <is>
          <t>Anonymous</t>
        </is>
      </c>
      <c r="BB193" s="2"/>
      <c r="BC193" s="2" t="inlineStr">
        <is>
          <t>2026-05-21 08:43:22</t>
        </is>
      </c>
      <c r="BD193" s="3" t="n">
        <v>1985</v>
      </c>
      <c r="BE193" s="3" t="n">
        <v>41</v>
      </c>
      <c r="BF193" s="2" t="inlineStr">
        <is>
          <t>A.无此需求</t>
        </is>
      </c>
      <c r="BG193" s="2" t="inlineStr">
        <is>
          <t>已生效</t>
        </is>
      </c>
      <c r="BH193" s="2" t="inlineStr">
        <is>
          <t>5848bc6a-2992-4db2-970d-fe248e013164</t>
        </is>
      </c>
      <c r="BI193" s="3" t="n">
        <v>1</v>
      </c>
      <c r="BJ193" s="2"/>
      <c r="BK193" s="2"/>
      <c r="BL193" s="2"/>
      <c r="BM193" s="2"/>
      <c r="BN193" s="2"/>
      <c r="BO193" s="2"/>
      <c r="BP193" s="2"/>
      <c r="BQ193" s="2"/>
      <c r="BR193" s="2"/>
      <c r="BS193" s="2" t="inlineStr">
        <is>
          <t>d65ef86b-ad49-4b0b-a625-655554c4cb17</t>
        </is>
      </c>
      <c r="BT193" s="3" t="n">
        <v>1</v>
      </c>
      <c r="BU193" s="2"/>
      <c r="BV193" s="2"/>
      <c r="BW193" s="2"/>
      <c r="BX193" s="3"/>
      <c r="BY193" s="3"/>
      <c r="BZ193" s="2"/>
      <c r="CA193" s="3"/>
      <c r="CB193" s="3"/>
      <c r="CC193" s="3"/>
      <c r="CD193" s="3"/>
      <c r="CE193" s="2"/>
      <c r="CF193" s="2"/>
      <c r="CG193" s="2"/>
      <c r="CH193" s="2"/>
      <c r="CI193" s="2"/>
      <c r="CJ193" s="2"/>
      <c r="CK193" s="2"/>
      <c r="CL193" s="2"/>
      <c r="CM193" s="2"/>
      <c r="CN193" s="2" t="inlineStr">
        <is>
          <t>2f8cc28d-4680-4c28-a2c1-f8b385cda9fc</t>
        </is>
      </c>
      <c r="CO193" s="3" t="n">
        <v>1</v>
      </c>
      <c r="CP193" s="2"/>
      <c r="CQ193" s="2"/>
      <c r="CR193" s="2"/>
      <c r="CS193" s="3"/>
      <c r="CT193" s="3"/>
      <c r="CU193" s="2"/>
      <c r="CV193" s="3"/>
      <c r="CW193" s="3"/>
      <c r="CX193" s="3"/>
      <c r="CY193" s="3"/>
      <c r="CZ193" s="2"/>
      <c r="DA193" s="2"/>
      <c r="DB193" s="2"/>
      <c r="DC193" s="2"/>
      <c r="DD193" s="2"/>
      <c r="DE193" s="2"/>
      <c r="DF193" s="2"/>
      <c r="DG193" s="2"/>
      <c r="DH193" s="2"/>
      <c r="DI193" s="2" t="inlineStr">
        <is>
          <t>9adc79ca-df91-4ad5-9e7a-fe00e8b92d8d</t>
        </is>
      </c>
      <c r="DJ193" s="3" t="n">
        <v>1</v>
      </c>
      <c r="DK193" s="2"/>
      <c r="DL193" s="2" t="inlineStr">
        <is>
          <t>制定每月部门工作计划，收集和整理月度安全问题，召集月度例会，组织月度安全检查，</t>
        </is>
      </c>
      <c r="DM193" s="2" t="inlineStr">
        <is>
          <t>2-3次</t>
        </is>
      </c>
      <c r="DN193" s="3" t="n">
        <v>2</v>
      </c>
      <c r="DO193" s="3" t="n">
        <v>3</v>
      </c>
      <c r="DP193" s="2" t="inlineStr">
        <is>
          <t>E.8小时以上</t>
        </is>
      </c>
      <c r="DQ193" s="7" t="n">
        <v>8</v>
      </c>
      <c r="DR193" s="7" t="n">
        <v>8</v>
      </c>
      <c r="DS193" s="7" t="n">
        <v>16</v>
      </c>
      <c r="DT193" s="7" t="n">
        <v>24</v>
      </c>
      <c r="DU193" s="2" t="inlineStr">
        <is>
          <t>综合管理类</t>
        </is>
      </c>
      <c r="DV193" s="2"/>
      <c r="DW193" s="2" t="inlineStr">
        <is>
          <t>专题工作推进</t>
        </is>
      </c>
      <c r="DX193" s="2" t="inlineStr">
        <is>
          <t>岗位职责</t>
        </is>
      </c>
      <c r="DY193" s="2" t="inlineStr">
        <is>
          <t>重要不紧急</t>
        </is>
      </c>
      <c r="DZ193" s="2" t="inlineStr">
        <is>
          <t>高度标准化-有成熟SOP，照做即可</t>
        </is>
      </c>
      <c r="EA193" s="2" t="inlineStr">
        <is>
          <t>极少（&lt;5%）</t>
        </is>
      </c>
      <c r="EB193" s="2" t="inlineStr">
        <is>
          <t>沟通/协调负荷</t>
        </is>
      </c>
      <c r="EC193" s="2"/>
      <c r="ED193" s="2" t="inlineStr">
        <is>
          <t>d326ee1c-839a-40d7-818f-62fbdcf7d4bd</t>
        </is>
      </c>
      <c r="EE193" s="3" t="n">
        <v>1</v>
      </c>
      <c r="EF193" s="2"/>
      <c r="EG193" s="2" t="inlineStr">
        <is>
          <t>组织召开季度安全委员会会议</t>
        </is>
      </c>
      <c r="EH193" s="2" t="inlineStr">
        <is>
          <t>1次</t>
        </is>
      </c>
      <c r="EI193" s="3" t="n">
        <v>1</v>
      </c>
      <c r="EJ193" s="2" t="inlineStr">
        <is>
          <t>E.8小时以上</t>
        </is>
      </c>
      <c r="EK193" s="7" t="n">
        <v>8</v>
      </c>
      <c r="EL193" s="7" t="n">
        <v>8</v>
      </c>
      <c r="EM193" s="7" t="n">
        <v>8</v>
      </c>
      <c r="EN193" s="7" t="n">
        <v>8</v>
      </c>
      <c r="EO193" s="2" t="inlineStr">
        <is>
          <t>综合管理类</t>
        </is>
      </c>
      <c r="EP193" s="2"/>
      <c r="EQ193" s="2" t="inlineStr">
        <is>
          <t>综合性汇报组织</t>
        </is>
      </c>
      <c r="ER193" s="2" t="inlineStr">
        <is>
          <t>岗位职责</t>
        </is>
      </c>
      <c r="ES193" s="2" t="inlineStr">
        <is>
          <t>重要且紧急</t>
        </is>
      </c>
      <c r="ET193" s="2" t="inlineStr">
        <is>
          <t>高度标准化-有成熟SOP，照做即可</t>
        </is>
      </c>
      <c r="EU193" s="2" t="inlineStr">
        <is>
          <t>极少（&lt;5%）</t>
        </is>
      </c>
      <c r="EV193" s="2" t="inlineStr">
        <is>
          <t>时效/强度负荷</t>
        </is>
      </c>
      <c r="EW193" s="2"/>
      <c r="EX193" s="2" t="inlineStr">
        <is>
          <t>8e82618c-7fb4-45ee-ab96-63f95f63f8bd</t>
        </is>
      </c>
      <c r="EY193" s="3" t="n">
        <v>1</v>
      </c>
      <c r="EZ193" s="2"/>
      <c r="FA193" s="2" t="inlineStr">
        <is>
          <t>安全事件处理，迎接政府、外部第三方机构评价审计</t>
        </is>
      </c>
      <c r="FB193" s="2" t="inlineStr">
        <is>
          <t>每年3次以上</t>
        </is>
      </c>
      <c r="FC193" s="2" t="inlineStr">
        <is>
          <t>年</t>
        </is>
      </c>
      <c r="FD193" s="3" t="n">
        <v>3</v>
      </c>
      <c r="FE193" s="3" t="n">
        <v>3</v>
      </c>
      <c r="FF193" s="2" t="inlineStr">
        <is>
          <t>E.8小时以上</t>
        </is>
      </c>
      <c r="FG193" s="7" t="n">
        <v>8</v>
      </c>
      <c r="FH193" s="7" t="n">
        <v>8</v>
      </c>
      <c r="FI193" s="7" t="n">
        <v>0</v>
      </c>
      <c r="FJ193" s="7" t="n">
        <v>0</v>
      </c>
      <c r="FK193" s="7" t="n">
        <v>0</v>
      </c>
      <c r="FL193" s="7" t="n">
        <v>0</v>
      </c>
      <c r="FM193" s="7" t="n">
        <v>24</v>
      </c>
      <c r="FN193" s="7" t="n">
        <v>24</v>
      </c>
      <c r="FO193" s="2" t="inlineStr">
        <is>
          <t>综合管理类</t>
        </is>
      </c>
      <c r="FP193" s="2"/>
      <c r="FQ193" s="2" t="inlineStr">
        <is>
          <t>专题工作推进</t>
        </is>
      </c>
      <c r="FR193" s="2" t="inlineStr">
        <is>
          <t>岗位职责</t>
        </is>
      </c>
      <c r="FS193" s="2" t="inlineStr">
        <is>
          <t>重要且紧急</t>
        </is>
      </c>
      <c r="FT193" s="2" t="inlineStr">
        <is>
          <t>半标准化-有流程框架，需专业经验</t>
        </is>
      </c>
      <c r="FU193" s="2" t="inlineStr">
        <is>
          <t>极少（&lt;5%）</t>
        </is>
      </c>
      <c r="FV193" s="2" t="inlineStr">
        <is>
          <t>时效/强度负荷</t>
        </is>
      </c>
      <c r="FW193" s="2"/>
    </row>
    <row r="194">
      <c r="A194" s="2" t="inlineStr">
        <is>
          <t>2026-05-18 08:19:13</t>
        </is>
      </c>
      <c r="B194" s="2" t="inlineStr">
        <is>
          <t>张晓</t>
        </is>
      </c>
      <c r="C194" s="2" t="inlineStr">
        <is>
          <t>海外事业部</t>
        </is>
      </c>
      <c r="D194" s="2" t="inlineStr">
        <is>
          <t>男</t>
        </is>
      </c>
      <c r="E194" s="2" t="inlineStr">
        <is>
          <t>341124199810124838</t>
        </is>
      </c>
      <c r="F194" s="2" t="inlineStr">
        <is>
          <t>技术助理(二)</t>
        </is>
      </c>
      <c r="G194" s="2" t="inlineStr">
        <is>
          <t>2022-08</t>
        </is>
      </c>
      <c r="H194" s="2" t="inlineStr">
        <is>
          <t>常州大学怀德学院</t>
        </is>
      </c>
      <c r="I194" s="2" t="inlineStr">
        <is>
          <t>机制</t>
        </is>
      </c>
      <c r="J194" s="2" t="inlineStr">
        <is>
          <t>本科</t>
        </is>
      </c>
      <c r="K194" s="2"/>
      <c r="L194" s="6">
        <f>HYPERLINK("https://www.h3yun.com/Form/Attachments/?schemacode=D1483577de63ede327d4760b10664bd57671d7e&amp;bizObjectId=9ae98e27-8e97-49e1-9004-b678da30b65e&amp;name=F0000046","点击查看")</f>
        <v>0</v>
      </c>
      <c r="M194" s="2" t="inlineStr">
        <is>
          <t>针对公司的相关资质及业绩合同和必要的相关资料，应由专门人员进行收集。这样在需要使用时可以节约多次跨部门沟通时间，提高效率。</t>
        </is>
      </c>
      <c r="N194" s="2" t="inlineStr">
        <is>
          <t>每周工作</t>
        </is>
      </c>
      <c r="O194" s="2" t="inlineStr">
        <is>
          <t>26-30岁</t>
        </is>
      </c>
      <c r="P194" s="2" t="inlineStr">
        <is>
          <t>B.已婚未育</t>
        </is>
      </c>
      <c r="Q194" s="2" t="inlineStr">
        <is>
          <t>A.否</t>
        </is>
      </c>
      <c r="R194" s="2" t="inlineStr">
        <is>
          <t>A.否</t>
        </is>
      </c>
      <c r="S194" s="2" t="inlineStr">
        <is>
          <t>D.希望承担更有挑战性的工作，并争取更大发展空间</t>
        </is>
      </c>
      <c r="T194" s="2" t="inlineStr">
        <is>
          <t>C.工作较稳定，但发展空间不足</t>
        </is>
      </c>
      <c r="U194" s="2" t="inlineStr">
        <is>
          <t>B.减少无效流转和返工</t>
        </is>
      </c>
      <c r="V194" s="2" t="inlineStr">
        <is>
          <t>B.提出过建议，但未推动</t>
        </is>
      </c>
      <c r="W194" s="2" t="inlineStr">
        <is>
          <t>B.涉及多部门，协调难度大</t>
        </is>
      </c>
      <c r="X194" s="2" t="inlineStr">
        <is>
          <t>C.均衡 (80%-100%)</t>
        </is>
      </c>
      <c r="Y194" s="2" t="inlineStr">
        <is>
          <t>G.接收到任务分配单完成周期内要求的加班;I.因正常工作任务截止日遇上节假日所需加班</t>
        </is>
      </c>
      <c r="Z194" s="2" t="inlineStr">
        <is>
          <t>跨部门对接</t>
        </is>
      </c>
      <c r="AA194" s="2" t="inlineStr">
        <is>
          <t>跨部门对接</t>
        </is>
      </c>
      <c r="AB194" s="2" t="inlineStr">
        <is>
          <t>专业问题协调</t>
        </is>
      </c>
      <c r="AC194" s="2" t="inlineStr">
        <is>
          <t>B.基本匹配（正常履行）</t>
        </is>
      </c>
      <c r="AD194" s="2" t="inlineStr">
        <is>
          <t>公司的相关业绩没有明确的台账清单，只能通过日常积累及公司官网系统（有权限）后查询。公司项目的中交及终交报告以及现场的照片应该上传至公司合同系统，这样在日常投标的业绩采用能大量节约时间。</t>
        </is>
      </c>
      <c r="AE194" s="2" t="inlineStr">
        <is>
          <t>无</t>
        </is>
      </c>
      <c r="AF194" s="2" t="inlineStr">
        <is>
          <t>无</t>
        </is>
      </c>
      <c r="AG194" s="2" t="inlineStr">
        <is>
          <t>D.配偶不是公司家属</t>
        </is>
      </c>
      <c r="AH194" s="2"/>
      <c r="AI194" s="7" t="n">
        <v>0</v>
      </c>
      <c r="AJ194" s="7" t="n">
        <v>0</v>
      </c>
      <c r="AK194" s="7" t="n">
        <v>1.6</v>
      </c>
      <c r="AL194" s="7" t="n">
        <v>4.8</v>
      </c>
      <c r="AM194" s="7" t="n">
        <v>0</v>
      </c>
      <c r="AN194" s="7" t="n">
        <v>0</v>
      </c>
      <c r="AO194" s="7" t="n">
        <v>0</v>
      </c>
      <c r="AP194" s="7" t="n">
        <v>0</v>
      </c>
      <c r="AQ194" s="7" t="n">
        <v>0</v>
      </c>
      <c r="AR194" s="7" t="n">
        <v>0</v>
      </c>
      <c r="AS194" s="7" t="n">
        <v>1.6</v>
      </c>
      <c r="AT194" s="7" t="n">
        <v>4.8</v>
      </c>
      <c r="AU194" s="7" t="n">
        <v>3.2</v>
      </c>
      <c r="AV194" s="2" t="inlineStr">
        <is>
          <t>非饱和</t>
        </is>
      </c>
      <c r="AW194" s="2" t="inlineStr">
        <is>
          <t>不一致</t>
        </is>
      </c>
      <c r="AX194" s="2" t="inlineStr">
        <is>
          <t>9ae98e27-8e97-49e1-9004-b678da30b65e</t>
        </is>
      </c>
      <c r="AY194" s="2" t="inlineStr">
        <is>
          <t>海外事业部    张晓</t>
        </is>
      </c>
      <c r="AZ194" s="2" t="inlineStr">
        <is>
          <t>Anonymous</t>
        </is>
      </c>
      <c r="BA194" s="2" t="inlineStr">
        <is>
          <t>Anonymous</t>
        </is>
      </c>
      <c r="BB194" s="2"/>
      <c r="BC194" s="2" t="inlineStr">
        <is>
          <t>2026-05-21 08:43:22</t>
        </is>
      </c>
      <c r="BD194" s="3" t="n">
        <v>1998</v>
      </c>
      <c r="BE194" s="3" t="n">
        <v>28</v>
      </c>
      <c r="BF194" s="2" t="inlineStr">
        <is>
          <t>A.无此需求</t>
        </is>
      </c>
      <c r="BG194" s="2" t="inlineStr">
        <is>
          <t>已生效</t>
        </is>
      </c>
      <c r="BH194" s="2" t="inlineStr">
        <is>
          <t>f980e300-5887-4dd6-b6e5-f6240cf0f7b7</t>
        </is>
      </c>
      <c r="BI194" s="3" t="n">
        <v>1</v>
      </c>
      <c r="BJ194" s="2"/>
      <c r="BK194" s="2"/>
      <c r="BL194" s="2"/>
      <c r="BM194" s="2"/>
      <c r="BN194" s="2"/>
      <c r="BO194" s="2"/>
      <c r="BP194" s="2"/>
      <c r="BQ194" s="2"/>
      <c r="BR194" s="2"/>
      <c r="BS194" s="2" t="inlineStr">
        <is>
          <t>7774bc0b-1915-435b-a5c5-85538d9df35c</t>
        </is>
      </c>
      <c r="BT194" s="3" t="n">
        <v>1</v>
      </c>
      <c r="BU194" s="2"/>
      <c r="BV194" s="2"/>
      <c r="BW194" s="2"/>
      <c r="BX194" s="3"/>
      <c r="BY194" s="3"/>
      <c r="BZ194" s="2"/>
      <c r="CA194" s="3"/>
      <c r="CB194" s="3"/>
      <c r="CC194" s="3"/>
      <c r="CD194" s="3"/>
      <c r="CE194" s="2"/>
      <c r="CF194" s="2"/>
      <c r="CG194" s="2"/>
      <c r="CH194" s="2"/>
      <c r="CI194" s="2"/>
      <c r="CJ194" s="2"/>
      <c r="CK194" s="2"/>
      <c r="CL194" s="2"/>
      <c r="CM194" s="2"/>
      <c r="CN194" s="2" t="inlineStr">
        <is>
          <t>d64dd55b-2480-46af-9bed-67e6cb4cb441</t>
        </is>
      </c>
      <c r="CO194" s="3" t="n">
        <v>1</v>
      </c>
      <c r="CP194" s="2"/>
      <c r="CQ194" s="2" t="inlineStr">
        <is>
          <t>海外项目投标工作</t>
        </is>
      </c>
      <c r="CR194" s="2" t="inlineStr">
        <is>
          <t>2-3次</t>
        </is>
      </c>
      <c r="CS194" s="3" t="n">
        <v>2</v>
      </c>
      <c r="CT194" s="3" t="n">
        <v>3</v>
      </c>
      <c r="CU194" s="2" t="inlineStr">
        <is>
          <t>D.4-8小时</t>
        </is>
      </c>
      <c r="CV194" s="7" t="n">
        <v>4</v>
      </c>
      <c r="CW194" s="7" t="n">
        <v>8</v>
      </c>
      <c r="CX194" s="7" t="n">
        <v>8</v>
      </c>
      <c r="CY194" s="7" t="n">
        <v>24</v>
      </c>
      <c r="CZ194" s="2" t="inlineStr">
        <is>
          <t>专业技术类</t>
        </is>
      </c>
      <c r="DA194" s="2"/>
      <c r="DB194" s="2" t="inlineStr">
        <is>
          <t>专业问题协调</t>
        </is>
      </c>
      <c r="DC194" s="2" t="inlineStr">
        <is>
          <t>上级指令</t>
        </is>
      </c>
      <c r="DD194" s="2" t="inlineStr">
        <is>
          <t>重要且紧急</t>
        </is>
      </c>
      <c r="DE194" s="2" t="inlineStr">
        <is>
          <t>半标准化-有流程框架，需专业经验</t>
        </is>
      </c>
      <c r="DF194" s="2" t="inlineStr">
        <is>
          <t>低频（5%-10%）</t>
        </is>
      </c>
      <c r="DG194" s="2" t="inlineStr">
        <is>
          <t>时效/强度负荷</t>
        </is>
      </c>
      <c r="DH194" s="2" t="inlineStr">
        <is>
          <t>无</t>
        </is>
      </c>
      <c r="DI194" s="2" t="inlineStr">
        <is>
          <t>5737ccbd-2bb1-4cdd-8d8d-2b7c2dfd0117</t>
        </is>
      </c>
      <c r="DJ194" s="3" t="n">
        <v>1</v>
      </c>
      <c r="DK194" s="2"/>
      <c r="DL194" s="2"/>
      <c r="DM194" s="2"/>
      <c r="DN194" s="3"/>
      <c r="DO194" s="3"/>
      <c r="DP194" s="2"/>
      <c r="DQ194" s="3"/>
      <c r="DR194" s="3"/>
      <c r="DS194" s="3"/>
      <c r="DT194" s="3"/>
      <c r="DU194" s="2"/>
      <c r="DV194" s="2"/>
      <c r="DW194" s="2"/>
      <c r="DX194" s="2"/>
      <c r="DY194" s="2"/>
      <c r="DZ194" s="2"/>
      <c r="EA194" s="2"/>
      <c r="EB194" s="2"/>
      <c r="EC194" s="2"/>
      <c r="ED194" s="2" t="inlineStr">
        <is>
          <t>ab74995d-7081-451e-89b5-79292ef9af52</t>
        </is>
      </c>
      <c r="EE194" s="3" t="n">
        <v>1</v>
      </c>
      <c r="EF194" s="2"/>
      <c r="EG194" s="2"/>
      <c r="EH194" s="2"/>
      <c r="EI194" s="3"/>
      <c r="EJ194" s="2"/>
      <c r="EK194" s="3"/>
      <c r="EL194" s="3"/>
      <c r="EM194" s="3"/>
      <c r="EN194" s="3"/>
      <c r="EO194" s="2"/>
      <c r="EP194" s="2"/>
      <c r="EQ194" s="2"/>
      <c r="ER194" s="2"/>
      <c r="ES194" s="2"/>
      <c r="ET194" s="2"/>
      <c r="EU194" s="2"/>
      <c r="EV194" s="2"/>
      <c r="EW194" s="2"/>
      <c r="EX194" s="2" t="inlineStr">
        <is>
          <t>3a242047-56c5-4c78-a407-bc14578b81c3</t>
        </is>
      </c>
      <c r="EY194" s="3" t="n">
        <v>1</v>
      </c>
      <c r="EZ194" s="2"/>
      <c r="FA194" s="2"/>
      <c r="FB194" s="2"/>
      <c r="FC194" s="2"/>
      <c r="FD194" s="3"/>
      <c r="FE194" s="3"/>
      <c r="FF194" s="2"/>
      <c r="FG194" s="3"/>
      <c r="FH194" s="3"/>
      <c r="FI194" s="7" t="n">
        <v>0</v>
      </c>
      <c r="FJ194" s="7" t="n">
        <v>0</v>
      </c>
      <c r="FK194" s="7" t="n">
        <v>0</v>
      </c>
      <c r="FL194" s="7" t="n">
        <v>0</v>
      </c>
      <c r="FM194" s="7" t="n">
        <v>0</v>
      </c>
      <c r="FN194" s="7" t="n">
        <v>0</v>
      </c>
      <c r="FO194" s="2"/>
      <c r="FP194" s="2"/>
      <c r="FQ194" s="2"/>
      <c r="FR194" s="2"/>
      <c r="FS194" s="2"/>
      <c r="FT194" s="2"/>
      <c r="FU194" s="2"/>
      <c r="FV194" s="2"/>
      <c r="FW194" s="2"/>
    </row>
    <row r="195">
      <c r="A195" s="2" t="inlineStr">
        <is>
          <t>2026-05-15 17:09:50</t>
        </is>
      </c>
      <c r="B195" s="2" t="inlineStr">
        <is>
          <t>沈宗豪</t>
        </is>
      </c>
      <c r="C195" s="2" t="inlineStr">
        <is>
          <t>海外事业部</t>
        </is>
      </c>
      <c r="D195" s="2" t="inlineStr">
        <is>
          <t>男</t>
        </is>
      </c>
      <c r="E195" s="2" t="inlineStr">
        <is>
          <t>320982200011231774</t>
        </is>
      </c>
      <c r="F195" s="2" t="inlineStr">
        <is>
          <t>技术助理(二)</t>
        </is>
      </c>
      <c r="G195" s="2" t="inlineStr">
        <is>
          <t>2022-08</t>
        </is>
      </c>
      <c r="H195" s="2" t="inlineStr">
        <is>
          <t>扬州大学广陵学院</t>
        </is>
      </c>
      <c r="I195" s="2" t="inlineStr">
        <is>
          <t>机制</t>
        </is>
      </c>
      <c r="J195" s="2" t="inlineStr">
        <is>
          <t>本科</t>
        </is>
      </c>
      <c r="K195" s="2"/>
      <c r="L195" s="6">
        <f>HYPERLINK("https://www.h3yun.com/Form/Attachments/?schemacode=D1483577de63ede327d4760b10664bd57671d7e&amp;bizObjectId=2ba4f311-ed14-4c8f-b77f-4a290228bab0&amp;name=F0000046","点击查看")</f>
        <v>0</v>
      </c>
      <c r="M195" s="2" t="inlineStr">
        <is>
          <t>无</t>
        </is>
      </c>
      <c r="N195" s="2" t="inlineStr">
        <is>
          <t>每周工作</t>
        </is>
      </c>
      <c r="O195" s="2" t="inlineStr">
        <is>
          <t>26-30岁</t>
        </is>
      </c>
      <c r="P195" s="2" t="inlineStr">
        <is>
          <t>A.未婚</t>
        </is>
      </c>
      <c r="Q195" s="2" t="inlineStr">
        <is>
          <t>A.否</t>
        </is>
      </c>
      <c r="R195" s="2" t="inlineStr">
        <is>
          <t>A.否</t>
        </is>
      </c>
      <c r="S195" s="2" t="inlineStr">
        <is>
          <t>E.愿意承担更高挑战和更大压力，以换取更高回报或晋升机会</t>
        </is>
      </c>
      <c r="T195" s="2" t="inlineStr">
        <is>
          <t>C.工作较稳定，但发展空间不足</t>
        </is>
      </c>
      <c r="U195" s="2" t="inlineStr">
        <is>
          <t>D.明确职责边界</t>
        </is>
      </c>
      <c r="V195" s="2" t="inlineStr">
        <is>
          <t>A.没有</t>
        </is>
      </c>
      <c r="W195" s="2"/>
      <c r="X195" s="2" t="inlineStr">
        <is>
          <t>C.均衡 (80%-100%)</t>
        </is>
      </c>
      <c r="Y195" s="2" t="inlineStr">
        <is>
          <t>G.接收到任务分配单完成周期内要求的加班</t>
        </is>
      </c>
      <c r="Z195" s="2" t="inlineStr">
        <is>
          <t>市场投标管理</t>
        </is>
      </c>
      <c r="AA195" s="2" t="inlineStr">
        <is>
          <t>月报</t>
        </is>
      </c>
      <c r="AB195" s="2" t="inlineStr">
        <is>
          <t>市场投标管理</t>
        </is>
      </c>
      <c r="AC195" s="2" t="inlineStr">
        <is>
          <t>B.基本匹配（正常履行）</t>
        </is>
      </c>
      <c r="AD195" s="2" t="inlineStr">
        <is>
          <t>无</t>
        </is>
      </c>
      <c r="AE195" s="2"/>
      <c r="AF195" s="2"/>
      <c r="AG195" s="2"/>
      <c r="AH195" s="2"/>
      <c r="AI195" s="7" t="n">
        <v>0</v>
      </c>
      <c r="AJ195" s="7" t="n">
        <v>0</v>
      </c>
      <c r="AK195" s="7" t="n">
        <v>4</v>
      </c>
      <c r="AL195" s="7" t="n">
        <v>8</v>
      </c>
      <c r="AM195" s="7" t="n">
        <v>0</v>
      </c>
      <c r="AN195" s="7" t="n">
        <v>0</v>
      </c>
      <c r="AO195" s="7" t="n">
        <v>0</v>
      </c>
      <c r="AP195" s="7" t="n">
        <v>0</v>
      </c>
      <c r="AQ195" s="7" t="n">
        <v>0</v>
      </c>
      <c r="AR195" s="7" t="n">
        <v>0</v>
      </c>
      <c r="AS195" s="7" t="n">
        <v>4</v>
      </c>
      <c r="AT195" s="7" t="n">
        <v>8</v>
      </c>
      <c r="AU195" s="7" t="n">
        <v>6</v>
      </c>
      <c r="AV195" s="2" t="inlineStr">
        <is>
          <t>欠饱和</t>
        </is>
      </c>
      <c r="AW195" s="2" t="inlineStr">
        <is>
          <t>不一致</t>
        </is>
      </c>
      <c r="AX195" s="2" t="inlineStr">
        <is>
          <t>2ba4f311-ed14-4c8f-b77f-4a290228bab0</t>
        </is>
      </c>
      <c r="AY195" s="2" t="inlineStr">
        <is>
          <t>海外事业部    沈宗豪</t>
        </is>
      </c>
      <c r="AZ195" s="2" t="inlineStr">
        <is>
          <t>Anonymous</t>
        </is>
      </c>
      <c r="BA195" s="2" t="inlineStr">
        <is>
          <t>Anonymous</t>
        </is>
      </c>
      <c r="BB195" s="2"/>
      <c r="BC195" s="2" t="inlineStr">
        <is>
          <t>2026-05-21 08:43:22</t>
        </is>
      </c>
      <c r="BD195" s="3" t="n">
        <v>2000</v>
      </c>
      <c r="BE195" s="3" t="n">
        <v>26</v>
      </c>
      <c r="BF195" s="2" t="inlineStr">
        <is>
          <t>A.无此需求</t>
        </is>
      </c>
      <c r="BG195" s="2" t="inlineStr">
        <is>
          <t>已生效</t>
        </is>
      </c>
      <c r="BH195" s="2" t="inlineStr">
        <is>
          <t>bd2d6901-58ed-44e9-b1b1-53753926a6b7</t>
        </is>
      </c>
      <c r="BI195" s="3" t="n">
        <v>1</v>
      </c>
      <c r="BJ195" s="2"/>
      <c r="BK195" s="2"/>
      <c r="BL195" s="2"/>
      <c r="BM195" s="2"/>
      <c r="BN195" s="2"/>
      <c r="BO195" s="2"/>
      <c r="BP195" s="2"/>
      <c r="BQ195" s="2"/>
      <c r="BR195" s="2"/>
      <c r="BS195" s="2" t="inlineStr">
        <is>
          <t>249c1c0a-8716-476c-b636-80f59a0c08a2</t>
        </is>
      </c>
      <c r="BT195" s="3" t="n">
        <v>1</v>
      </c>
      <c r="BU195" s="2"/>
      <c r="BV195" s="2"/>
      <c r="BW195" s="2"/>
      <c r="BX195" s="3"/>
      <c r="BY195" s="3"/>
      <c r="BZ195" s="2"/>
      <c r="CA195" s="3"/>
      <c r="CB195" s="3"/>
      <c r="CC195" s="3"/>
      <c r="CD195" s="3"/>
      <c r="CE195" s="2"/>
      <c r="CF195" s="2"/>
      <c r="CG195" s="2"/>
      <c r="CH195" s="2"/>
      <c r="CI195" s="2"/>
      <c r="CJ195" s="2"/>
      <c r="CK195" s="2"/>
      <c r="CL195" s="2"/>
      <c r="CM195" s="2"/>
      <c r="CN195" s="2" t="inlineStr">
        <is>
          <t>08fb64f0-de5f-4d66-abce-270d1ba09e32</t>
        </is>
      </c>
      <c r="CO195" s="3" t="n">
        <v>1</v>
      </c>
      <c r="CP195" s="2"/>
      <c r="CQ195" s="2" t="inlineStr">
        <is>
          <t>投标管理及计划编制</t>
        </is>
      </c>
      <c r="CR195" s="2" t="inlineStr">
        <is>
          <t>5次以上</t>
        </is>
      </c>
      <c r="CS195" s="3" t="n">
        <v>5</v>
      </c>
      <c r="CT195" s="3" t="n">
        <v>5</v>
      </c>
      <c r="CU195" s="2" t="inlineStr">
        <is>
          <t>D.4-8小时</t>
        </is>
      </c>
      <c r="CV195" s="7" t="n">
        <v>4</v>
      </c>
      <c r="CW195" s="7" t="n">
        <v>8</v>
      </c>
      <c r="CX195" s="7" t="n">
        <v>20</v>
      </c>
      <c r="CY195" s="7" t="n">
        <v>40</v>
      </c>
      <c r="CZ195" s="2" t="inlineStr">
        <is>
          <t>专业技术类</t>
        </is>
      </c>
      <c r="DA195" s="2"/>
      <c r="DB195" s="2" t="inlineStr">
        <is>
          <t>专业问题协调</t>
        </is>
      </c>
      <c r="DC195" s="2" t="inlineStr">
        <is>
          <t>部门计划</t>
        </is>
      </c>
      <c r="DD195" s="2" t="inlineStr">
        <is>
          <t>重要且紧急</t>
        </is>
      </c>
      <c r="DE195" s="2" t="inlineStr">
        <is>
          <t>半标准化-有流程框架，需专业经验</t>
        </is>
      </c>
      <c r="DF195" s="2" t="inlineStr">
        <is>
          <t>极少（&lt;5%）</t>
        </is>
      </c>
      <c r="DG195" s="2" t="inlineStr">
        <is>
          <t>时效/强度负荷</t>
        </is>
      </c>
      <c r="DH195" s="2"/>
      <c r="DI195" s="2" t="inlineStr">
        <is>
          <t>c0060413-a609-4b19-8bc3-cd6f046ca25b</t>
        </is>
      </c>
      <c r="DJ195" s="3" t="n">
        <v>1</v>
      </c>
      <c r="DK195" s="2"/>
      <c r="DL195" s="2"/>
      <c r="DM195" s="2"/>
      <c r="DN195" s="3"/>
      <c r="DO195" s="3"/>
      <c r="DP195" s="2"/>
      <c r="DQ195" s="3"/>
      <c r="DR195" s="3"/>
      <c r="DS195" s="3"/>
      <c r="DT195" s="3"/>
      <c r="DU195" s="2"/>
      <c r="DV195" s="2"/>
      <c r="DW195" s="2"/>
      <c r="DX195" s="2"/>
      <c r="DY195" s="2"/>
      <c r="DZ195" s="2"/>
      <c r="EA195" s="2"/>
      <c r="EB195" s="2"/>
      <c r="EC195" s="2"/>
      <c r="ED195" s="2" t="inlineStr">
        <is>
          <t>e1c8397e-967c-4161-8338-6ab7645881f8</t>
        </is>
      </c>
      <c r="EE195" s="3" t="n">
        <v>1</v>
      </c>
      <c r="EF195" s="2"/>
      <c r="EG195" s="2"/>
      <c r="EH195" s="2"/>
      <c r="EI195" s="3"/>
      <c r="EJ195" s="2"/>
      <c r="EK195" s="3"/>
      <c r="EL195" s="3"/>
      <c r="EM195" s="3"/>
      <c r="EN195" s="3"/>
      <c r="EO195" s="2"/>
      <c r="EP195" s="2"/>
      <c r="EQ195" s="2"/>
      <c r="ER195" s="2"/>
      <c r="ES195" s="2"/>
      <c r="ET195" s="2"/>
      <c r="EU195" s="2"/>
      <c r="EV195" s="2"/>
      <c r="EW195" s="2"/>
      <c r="EX195" s="2" t="inlineStr">
        <is>
          <t>b32fa986-7358-4310-b3a2-567ff168fe3d</t>
        </is>
      </c>
      <c r="EY195" s="3" t="n">
        <v>1</v>
      </c>
      <c r="EZ195" s="2"/>
      <c r="FA195" s="2"/>
      <c r="FB195" s="2"/>
      <c r="FC195" s="2"/>
      <c r="FD195" s="3"/>
      <c r="FE195" s="3"/>
      <c r="FF195" s="2"/>
      <c r="FG195" s="3"/>
      <c r="FH195" s="3"/>
      <c r="FI195" s="7" t="n">
        <v>0</v>
      </c>
      <c r="FJ195" s="7" t="n">
        <v>0</v>
      </c>
      <c r="FK195" s="7" t="n">
        <v>0</v>
      </c>
      <c r="FL195" s="7" t="n">
        <v>0</v>
      </c>
      <c r="FM195" s="7" t="n">
        <v>0</v>
      </c>
      <c r="FN195" s="7" t="n">
        <v>0</v>
      </c>
      <c r="FO195" s="2"/>
      <c r="FP195" s="2"/>
      <c r="FQ195" s="2"/>
      <c r="FR195" s="2"/>
      <c r="FS195" s="2"/>
      <c r="FT195" s="2"/>
      <c r="FU195" s="2"/>
      <c r="FV195" s="2"/>
      <c r="FW195" s="2"/>
    </row>
    <row r="196">
      <c r="A196" s="2" t="inlineStr">
        <is>
          <t>2026-05-15 16:54:24</t>
        </is>
      </c>
      <c r="B196" s="2" t="inlineStr">
        <is>
          <t>许世杰</t>
        </is>
      </c>
      <c r="C196" s="2" t="inlineStr">
        <is>
          <t>海外事业部</t>
        </is>
      </c>
      <c r="D196" s="2" t="inlineStr">
        <is>
          <t>男</t>
        </is>
      </c>
      <c r="E196" s="2" t="inlineStr">
        <is>
          <t>320112197503220417</t>
        </is>
      </c>
      <c r="F196" s="2" t="inlineStr">
        <is>
          <t>副高级业务主管</t>
        </is>
      </c>
      <c r="G196" s="2" t="inlineStr">
        <is>
          <t>1995-08</t>
        </is>
      </c>
      <c r="H196" s="2"/>
      <c r="I196" s="2" t="inlineStr">
        <is>
          <t>翻译</t>
        </is>
      </c>
      <c r="J196" s="2" t="inlineStr">
        <is>
          <t>本科</t>
        </is>
      </c>
      <c r="K196" s="2"/>
      <c r="L196" s="6">
        <f>HYPERLINK("https://www.h3yun.com/Form/Attachments/?schemacode=D1483577de63ede327d4760b10664bd57671d7e&amp;bizObjectId=0d097e7f-62e0-4208-852e-12163fb5f536&amp;name=F0000046","点击查看")</f>
        <v>0</v>
      </c>
      <c r="M196" s="2" t="inlineStr">
        <is>
          <t>无</t>
        </is>
      </c>
      <c r="N196" s="2" t="inlineStr">
        <is>
          <t>临时/突发工作</t>
        </is>
      </c>
      <c r="O196" s="2" t="inlineStr">
        <is>
          <t>46岁及以上</t>
        </is>
      </c>
      <c r="P196" s="2" t="inlineStr">
        <is>
          <t>C.已婚已育</t>
        </is>
      </c>
      <c r="Q196" s="2" t="inlineStr">
        <is>
          <t>B.是，主要照护子女</t>
        </is>
      </c>
      <c r="R196" s="2" t="inlineStr">
        <is>
          <t>B.有1名</t>
        </is>
      </c>
      <c r="S196" s="2" t="inlineStr">
        <is>
          <t>A.保持当前工作内容和节奏，收入相对稳定即可</t>
        </is>
      </c>
      <c r="T196" s="2" t="inlineStr">
        <is>
          <t>A.基本满意，希望保持</t>
        </is>
      </c>
      <c r="U196" s="2" t="inlineStr">
        <is>
          <t>A.减少重复性事务</t>
        </is>
      </c>
      <c r="V196" s="2" t="inlineStr">
        <is>
          <t>A.没有</t>
        </is>
      </c>
      <c r="W196" s="2"/>
      <c r="X196" s="2" t="inlineStr">
        <is>
          <t>C.均衡 (80%-100%)</t>
        </is>
      </c>
      <c r="Y196" s="2" t="inlineStr">
        <is>
          <t>E.临时差旅、突发事件、会议加班</t>
        </is>
      </c>
      <c r="Z196" s="2" t="inlineStr">
        <is>
          <t>无</t>
        </is>
      </c>
      <c r="AA196" s="2" t="inlineStr">
        <is>
          <t>无</t>
        </is>
      </c>
      <c r="AB196" s="2" t="inlineStr">
        <is>
          <t>无</t>
        </is>
      </c>
      <c r="AC196" s="2" t="inlineStr">
        <is>
          <t>A.高度匹配（得心应手）</t>
        </is>
      </c>
      <c r="AD196" s="2" t="inlineStr">
        <is>
          <t>无</t>
        </is>
      </c>
      <c r="AE196" s="2"/>
      <c r="AF196" s="2"/>
      <c r="AG196" s="2"/>
      <c r="AH196" s="2"/>
      <c r="AI196" s="7" t="n">
        <v>0</v>
      </c>
      <c r="AJ196" s="7" t="n">
        <v>0</v>
      </c>
      <c r="AK196" s="7" t="n">
        <v>0</v>
      </c>
      <c r="AL196" s="7" t="n">
        <v>0</v>
      </c>
      <c r="AM196" s="7" t="n">
        <v>0</v>
      </c>
      <c r="AN196" s="7" t="n">
        <v>0</v>
      </c>
      <c r="AO196" s="7" t="n">
        <v>0</v>
      </c>
      <c r="AP196" s="7" t="n">
        <v>0</v>
      </c>
      <c r="AQ196" s="7" t="n">
        <v>0</v>
      </c>
      <c r="AR196" s="7" t="n">
        <v>0</v>
      </c>
      <c r="AS196" s="7" t="n">
        <v>0</v>
      </c>
      <c r="AT196" s="7" t="n">
        <v>0</v>
      </c>
      <c r="AU196" s="7" t="n">
        <v>0</v>
      </c>
      <c r="AV196" s="2" t="inlineStr">
        <is>
          <t>非饱和</t>
        </is>
      </c>
      <c r="AW196" s="2" t="inlineStr">
        <is>
          <t>不一致</t>
        </is>
      </c>
      <c r="AX196" s="2" t="inlineStr">
        <is>
          <t>0d097e7f-62e0-4208-852e-12163fb5f536</t>
        </is>
      </c>
      <c r="AY196" s="2" t="inlineStr">
        <is>
          <t>海外事业部    许世杰</t>
        </is>
      </c>
      <c r="AZ196" s="2" t="inlineStr">
        <is>
          <t>Anonymous</t>
        </is>
      </c>
      <c r="BA196" s="2" t="inlineStr">
        <is>
          <t>Anonymous</t>
        </is>
      </c>
      <c r="BB196" s="2"/>
      <c r="BC196" s="2" t="inlineStr">
        <is>
          <t>2026-05-21 08:43:22</t>
        </is>
      </c>
      <c r="BD196" s="3" t="n">
        <v>1975</v>
      </c>
      <c r="BE196" s="3" t="n">
        <v>51</v>
      </c>
      <c r="BF196" s="2" t="inlineStr">
        <is>
          <t>A.无此需求</t>
        </is>
      </c>
      <c r="BG196" s="2" t="inlineStr">
        <is>
          <t>已生效</t>
        </is>
      </c>
      <c r="BH196" s="2" t="inlineStr">
        <is>
          <t>dd21c9ca-516f-411a-9db7-6c03884f0777</t>
        </is>
      </c>
      <c r="BI196" s="3" t="n">
        <v>1</v>
      </c>
      <c r="BJ196" s="2"/>
      <c r="BK196" s="2"/>
      <c r="BL196" s="2"/>
      <c r="BM196" s="2"/>
      <c r="BN196" s="2"/>
      <c r="BO196" s="2"/>
      <c r="BP196" s="2"/>
      <c r="BQ196" s="2"/>
      <c r="BR196" s="2"/>
      <c r="BS196" s="2" t="inlineStr">
        <is>
          <t>37542534-b400-41fb-a519-3fafb036360a</t>
        </is>
      </c>
      <c r="BT196" s="3" t="n">
        <v>1</v>
      </c>
      <c r="BU196" s="2"/>
      <c r="BV196" s="2"/>
      <c r="BW196" s="2"/>
      <c r="BX196" s="3"/>
      <c r="BY196" s="3"/>
      <c r="BZ196" s="2"/>
      <c r="CA196" s="3"/>
      <c r="CB196" s="3"/>
      <c r="CC196" s="3"/>
      <c r="CD196" s="3"/>
      <c r="CE196" s="2"/>
      <c r="CF196" s="2"/>
      <c r="CG196" s="2"/>
      <c r="CH196" s="2"/>
      <c r="CI196" s="2"/>
      <c r="CJ196" s="2"/>
      <c r="CK196" s="2"/>
      <c r="CL196" s="2"/>
      <c r="CM196" s="2"/>
      <c r="CN196" s="2" t="inlineStr">
        <is>
          <t>8703b78f-948e-4772-9d8e-d6b61dff5897</t>
        </is>
      </c>
      <c r="CO196" s="3" t="n">
        <v>1</v>
      </c>
      <c r="CP196" s="2"/>
      <c r="CQ196" s="2"/>
      <c r="CR196" s="2"/>
      <c r="CS196" s="3"/>
      <c r="CT196" s="3"/>
      <c r="CU196" s="2"/>
      <c r="CV196" s="3"/>
      <c r="CW196" s="3"/>
      <c r="CX196" s="3"/>
      <c r="CY196" s="3"/>
      <c r="CZ196" s="2"/>
      <c r="DA196" s="2"/>
      <c r="DB196" s="2"/>
      <c r="DC196" s="2"/>
      <c r="DD196" s="2"/>
      <c r="DE196" s="2"/>
      <c r="DF196" s="2"/>
      <c r="DG196" s="2"/>
      <c r="DH196" s="2"/>
      <c r="DI196" s="2" t="inlineStr">
        <is>
          <t>3fdbaced-ce92-46d4-8614-0ac94615ac3a</t>
        </is>
      </c>
      <c r="DJ196" s="3" t="n">
        <v>1</v>
      </c>
      <c r="DK196" s="2"/>
      <c r="DL196" s="2"/>
      <c r="DM196" s="2"/>
      <c r="DN196" s="3"/>
      <c r="DO196" s="3"/>
      <c r="DP196" s="2"/>
      <c r="DQ196" s="3"/>
      <c r="DR196" s="3"/>
      <c r="DS196" s="3"/>
      <c r="DT196" s="3"/>
      <c r="DU196" s="2"/>
      <c r="DV196" s="2"/>
      <c r="DW196" s="2"/>
      <c r="DX196" s="2"/>
      <c r="DY196" s="2"/>
      <c r="DZ196" s="2"/>
      <c r="EA196" s="2"/>
      <c r="EB196" s="2"/>
      <c r="EC196" s="2"/>
      <c r="ED196" s="2" t="inlineStr">
        <is>
          <t>0d18b379-7825-4af4-aca6-f2cd09bb6d9b</t>
        </is>
      </c>
      <c r="EE196" s="3" t="n">
        <v>1</v>
      </c>
      <c r="EF196" s="2"/>
      <c r="EG196" s="2"/>
      <c r="EH196" s="2"/>
      <c r="EI196" s="3"/>
      <c r="EJ196" s="2"/>
      <c r="EK196" s="3"/>
      <c r="EL196" s="3"/>
      <c r="EM196" s="3"/>
      <c r="EN196" s="3"/>
      <c r="EO196" s="2"/>
      <c r="EP196" s="2"/>
      <c r="EQ196" s="2"/>
      <c r="ER196" s="2"/>
      <c r="ES196" s="2"/>
      <c r="ET196" s="2"/>
      <c r="EU196" s="2"/>
      <c r="EV196" s="2"/>
      <c r="EW196" s="2"/>
      <c r="EX196" s="2" t="inlineStr">
        <is>
          <t>87a72598-fce9-47d2-9337-b07d9a76e9bd</t>
        </is>
      </c>
      <c r="EY196" s="3" t="n">
        <v>1</v>
      </c>
      <c r="EZ196" s="2"/>
      <c r="FA196" s="2" t="inlineStr">
        <is>
          <t>开会</t>
        </is>
      </c>
      <c r="FB196" s="2" t="inlineStr">
        <is>
          <t>也有可能不发生</t>
        </is>
      </c>
      <c r="FC196" s="2" t="inlineStr">
        <is>
          <t>无</t>
        </is>
      </c>
      <c r="FD196" s="3" t="n">
        <v>0</v>
      </c>
      <c r="FE196" s="3" t="n">
        <v>0</v>
      </c>
      <c r="FF196" s="2" t="inlineStr">
        <is>
          <t>C.2-4小时</t>
        </is>
      </c>
      <c r="FG196" s="7" t="n">
        <v>2</v>
      </c>
      <c r="FH196" s="7" t="n">
        <v>4</v>
      </c>
      <c r="FI196" s="7" t="n">
        <v>0</v>
      </c>
      <c r="FJ196" s="7" t="n">
        <v>0</v>
      </c>
      <c r="FK196" s="7" t="n">
        <v>0</v>
      </c>
      <c r="FL196" s="7" t="n">
        <v>0</v>
      </c>
      <c r="FM196" s="7" t="n">
        <v>0</v>
      </c>
      <c r="FN196" s="7" t="n">
        <v>0</v>
      </c>
      <c r="FO196" s="2" t="inlineStr">
        <is>
          <t>其他</t>
        </is>
      </c>
      <c r="FP196" s="2"/>
      <c r="FQ196" s="2"/>
      <c r="FR196" s="2" t="inlineStr">
        <is>
          <t>上级指令</t>
        </is>
      </c>
      <c r="FS196" s="2" t="inlineStr">
        <is>
          <t>重要且紧急</t>
        </is>
      </c>
      <c r="FT196" s="2" t="inlineStr">
        <is>
          <t>半标准化-有流程框架，需专业经验</t>
        </is>
      </c>
      <c r="FU196" s="2" t="inlineStr">
        <is>
          <t>极少（&lt;5%）</t>
        </is>
      </c>
      <c r="FV196" s="2" t="inlineStr">
        <is>
          <t>脑力/复杂度负荷</t>
        </is>
      </c>
      <c r="FW196" s="2"/>
    </row>
    <row r="197">
      <c r="A197" s="2" t="inlineStr">
        <is>
          <t>2026-05-15 16:51:15</t>
        </is>
      </c>
      <c r="B197" s="2" t="inlineStr">
        <is>
          <t>李威</t>
        </is>
      </c>
      <c r="C197" s="2" t="inlineStr">
        <is>
          <t>马来西亚分公司（国内采购）</t>
        </is>
      </c>
      <c r="D197" s="2" t="inlineStr">
        <is>
          <t>男</t>
        </is>
      </c>
      <c r="E197" s="2" t="inlineStr">
        <is>
          <t>412728199512201695</t>
        </is>
      </c>
      <c r="F197" s="2" t="inlineStr">
        <is>
          <t>专业工程师</t>
        </is>
      </c>
      <c r="G197" s="2" t="inlineStr">
        <is>
          <t>2017-08</t>
        </is>
      </c>
      <c r="H197" s="2" t="inlineStr">
        <is>
          <t>南京工业职业技术学院</t>
        </is>
      </c>
      <c r="I197" s="2" t="inlineStr">
        <is>
          <t>材料员</t>
        </is>
      </c>
      <c r="J197" s="2" t="inlineStr">
        <is>
          <t>大专</t>
        </is>
      </c>
      <c r="K197" s="2"/>
      <c r="L197" s="6">
        <f>HYPERLINK("https://www.h3yun.com/Form/Attachments/?schemacode=D1483577de63ede327d4760b10664bd57671d7e&amp;bizObjectId=23666ba1-949b-4687-b749-ab493d9afeeb&amp;name=F0000046","点击查看")</f>
        <v>0</v>
      </c>
      <c r="M197" s="2" t="inlineStr">
        <is>
          <t>1、投标文件数据不够完善，缺少主要材料参数信息和技术要求，不便于询价-需要技术员进一步完善；
2、同一时间段同类型材料重复性询价</t>
        </is>
      </c>
      <c r="N197" s="2" t="inlineStr">
        <is>
          <t>每日工作;每周工作</t>
        </is>
      </c>
      <c r="O197" s="2" t="inlineStr">
        <is>
          <t>31-35岁</t>
        </is>
      </c>
      <c r="P197" s="2" t="inlineStr">
        <is>
          <t>B.已婚未育</t>
        </is>
      </c>
      <c r="Q197" s="2" t="inlineStr">
        <is>
          <t>A.否</t>
        </is>
      </c>
      <c r="R197" s="2"/>
      <c r="S197" s="2" t="inlineStr">
        <is>
          <t>D.希望承担更有挑战性的工作，并争取更大发展空间</t>
        </is>
      </c>
      <c r="T197" s="2" t="inlineStr">
        <is>
          <t>E.希望承担更重要、更有挑战的职责</t>
        </is>
      </c>
      <c r="U197" s="2" t="inlineStr">
        <is>
          <t>B.减少无效流转和返工</t>
        </is>
      </c>
      <c r="V197" s="2" t="inlineStr">
        <is>
          <t>B.提出过建议，但未推动</t>
        </is>
      </c>
      <c r="W197" s="2" t="inlineStr">
        <is>
          <t>D.系统/技术条件不具备</t>
        </is>
      </c>
      <c r="X197" s="2" t="inlineStr">
        <is>
          <t>C.均衡 (80%-100%)</t>
        </is>
      </c>
      <c r="Y197" s="2" t="inlineStr">
        <is>
          <t>B.上游资料不全，导致反复沟通/返工;E.临时差旅、突发事件、会议加班;G.接收到任务分配单完成周期内要求的加班</t>
        </is>
      </c>
      <c r="Z197" s="2" t="inlineStr">
        <is>
          <t>专业问题协调</t>
        </is>
      </c>
      <c r="AA197" s="2" t="inlineStr">
        <is>
          <t>专业问题协调</t>
        </is>
      </c>
      <c r="AB197" s="2" t="inlineStr">
        <is>
          <t>物资及采购流程</t>
        </is>
      </c>
      <c r="AC197" s="2" t="inlineStr">
        <is>
          <t>B.基本匹配（正常履行）</t>
        </is>
      </c>
      <c r="AD197" s="2" t="inlineStr">
        <is>
          <t>综合各分公司项目材料采购台账的信息收集，统一格式，建立数据库，定期更新发布便于采购、成本测算和投标参考</t>
        </is>
      </c>
      <c r="AE197" s="2" t="inlineStr">
        <is>
          <t>夫妻双方同位公司员工，应阶段性的考虑兼顾家庭</t>
        </is>
      </c>
      <c r="AF197" s="2" t="inlineStr">
        <is>
          <t>无</t>
        </is>
      </c>
      <c r="AG197" s="2" t="inlineStr">
        <is>
          <t>A.配偶为公司家属，常驻南京，不影响</t>
        </is>
      </c>
      <c r="AH197" s="2"/>
      <c r="AI197" s="7" t="n">
        <v>11.98</v>
      </c>
      <c r="AJ197" s="7" t="n">
        <v>27.3</v>
      </c>
      <c r="AK197" s="7" t="n">
        <v>1.27</v>
      </c>
      <c r="AL197" s="7" t="n">
        <v>2.87</v>
      </c>
      <c r="AM197" s="7" t="n">
        <v>0</v>
      </c>
      <c r="AN197" s="7" t="n">
        <v>0</v>
      </c>
      <c r="AO197" s="7" t="n">
        <v>0</v>
      </c>
      <c r="AP197" s="7" t="n">
        <v>0</v>
      </c>
      <c r="AQ197" s="7" t="n">
        <v>0</v>
      </c>
      <c r="AR197" s="7" t="n">
        <v>0</v>
      </c>
      <c r="AS197" s="7" t="n">
        <v>13.25</v>
      </c>
      <c r="AT197" s="7" t="n">
        <v>30.17</v>
      </c>
      <c r="AU197" s="7" t="n">
        <v>21.71</v>
      </c>
      <c r="AV197" s="2" t="inlineStr">
        <is>
          <t>超负荷</t>
        </is>
      </c>
      <c r="AW197" s="2" t="inlineStr">
        <is>
          <t>不一致</t>
        </is>
      </c>
      <c r="AX197" s="2" t="inlineStr">
        <is>
          <t>23666ba1-949b-4687-b749-ab493d9afeeb</t>
        </is>
      </c>
      <c r="AY197" s="2" t="inlineStr">
        <is>
          <t>马来西亚分公司（国内采购）    李威</t>
        </is>
      </c>
      <c r="AZ197" s="2" t="inlineStr">
        <is>
          <t>Anonymous</t>
        </is>
      </c>
      <c r="BA197" s="2" t="inlineStr">
        <is>
          <t>Anonymous</t>
        </is>
      </c>
      <c r="BB197" s="2"/>
      <c r="BC197" s="2" t="inlineStr">
        <is>
          <t>2026-05-21 08:43:22</t>
        </is>
      </c>
      <c r="BD197" s="3" t="n">
        <v>1995</v>
      </c>
      <c r="BE197" s="3" t="n">
        <v>31</v>
      </c>
      <c r="BF197" s="2" t="inlineStr">
        <is>
          <t>A.无此需求</t>
        </is>
      </c>
      <c r="BG197" s="2" t="inlineStr">
        <is>
          <t>已生效</t>
        </is>
      </c>
      <c r="BH197" s="2" t="inlineStr">
        <is>
          <t>ab428a44-4028-4b71-bbd0-56b930d62761</t>
        </is>
      </c>
      <c r="BI197" s="3" t="n">
        <v>1</v>
      </c>
      <c r="BJ197" s="2"/>
      <c r="BK197" s="2"/>
      <c r="BL197" s="2"/>
      <c r="BM197" s="2"/>
      <c r="BN197" s="2"/>
      <c r="BO197" s="2"/>
      <c r="BP197" s="2"/>
      <c r="BQ197" s="2"/>
      <c r="BR197" s="2"/>
      <c r="BS197" s="2" t="inlineStr">
        <is>
          <t>7a942c0a-5692-4b59-8989-a50709a7d528</t>
        </is>
      </c>
      <c r="BT197" s="3" t="n">
        <v>1</v>
      </c>
      <c r="BU197" s="2" t="inlineStr">
        <is>
          <t>协调沟通类</t>
        </is>
      </c>
      <c r="BV197" s="2" t="inlineStr">
        <is>
          <t>材料投标询价</t>
        </is>
      </c>
      <c r="BW197" s="2" t="inlineStr">
        <is>
          <t>2-5次</t>
        </is>
      </c>
      <c r="BX197" s="3" t="n">
        <v>2</v>
      </c>
      <c r="BY197" s="3" t="n">
        <v>5</v>
      </c>
      <c r="BZ197" s="2" t="inlineStr">
        <is>
          <t>B.2小时以内</t>
        </is>
      </c>
      <c r="CA197" s="7" t="n">
        <v>2</v>
      </c>
      <c r="CB197" s="7" t="n">
        <v>2</v>
      </c>
      <c r="CC197" s="7" t="n">
        <v>4</v>
      </c>
      <c r="CD197" s="7" t="n">
        <v>10</v>
      </c>
      <c r="CE197" s="2" t="inlineStr">
        <is>
          <t>协调沟通类</t>
        </is>
      </c>
      <c r="CF197" s="2"/>
      <c r="CG197" s="2" t="inlineStr">
        <is>
          <t>外部联络</t>
        </is>
      </c>
      <c r="CH197" s="2" t="inlineStr">
        <is>
          <t>岗位职责</t>
        </is>
      </c>
      <c r="CI197" s="2" t="inlineStr">
        <is>
          <t>重要且紧急</t>
        </is>
      </c>
      <c r="CJ197" s="2" t="inlineStr">
        <is>
          <t>半标准化-有流程框架，需专业经验</t>
        </is>
      </c>
      <c r="CK197" s="2" t="inlineStr">
        <is>
          <t>极少（&lt;5%）</t>
        </is>
      </c>
      <c r="CL197" s="2" t="inlineStr">
        <is>
          <t>时效/强度负荷</t>
        </is>
      </c>
      <c r="CM197" s="2"/>
      <c r="CN197" s="2" t="inlineStr">
        <is>
          <t>87e486a2-a3ed-4156-8ca7-4eb583da425e</t>
        </is>
      </c>
      <c r="CO197" s="3" t="n">
        <v>1</v>
      </c>
      <c r="CP197" s="2"/>
      <c r="CQ197" s="2" t="inlineStr">
        <is>
          <t>材料报价更新汇总建立台账</t>
        </is>
      </c>
      <c r="CR197" s="2" t="inlineStr">
        <is>
          <t>2-3次</t>
        </is>
      </c>
      <c r="CS197" s="3" t="n">
        <v>2</v>
      </c>
      <c r="CT197" s="3" t="n">
        <v>3</v>
      </c>
      <c r="CU197" s="2" t="inlineStr">
        <is>
          <t>C.2-4小时</t>
        </is>
      </c>
      <c r="CV197" s="7" t="n">
        <v>2</v>
      </c>
      <c r="CW197" s="7" t="n">
        <v>4</v>
      </c>
      <c r="CX197" s="7" t="n">
        <v>4</v>
      </c>
      <c r="CY197" s="7" t="n">
        <v>12</v>
      </c>
      <c r="CZ197" s="2" t="inlineStr">
        <is>
          <t>数据报表类</t>
        </is>
      </c>
      <c r="DA197" s="2"/>
      <c r="DB197" s="2" t="inlineStr">
        <is>
          <t>专项统计</t>
        </is>
      </c>
      <c r="DC197" s="2" t="inlineStr">
        <is>
          <t>自主发起</t>
        </is>
      </c>
      <c r="DD197" s="2" t="inlineStr">
        <is>
          <t>重要不紧急</t>
        </is>
      </c>
      <c r="DE197" s="2" t="inlineStr">
        <is>
          <t>非标准化-无先例参考，需创新协调</t>
        </is>
      </c>
      <c r="DF197" s="2" t="inlineStr">
        <is>
          <t>极少（&lt;5%）</t>
        </is>
      </c>
      <c r="DG197" s="2" t="inlineStr">
        <is>
          <t>责任/风险负荷</t>
        </is>
      </c>
      <c r="DH197" s="2"/>
      <c r="DI197" s="2" t="inlineStr">
        <is>
          <t>47da5e1d-2dd0-4fdf-9e35-4ad8cc9f28dd</t>
        </is>
      </c>
      <c r="DJ197" s="3" t="n">
        <v>1</v>
      </c>
      <c r="DK197" s="2"/>
      <c r="DL197" s="2"/>
      <c r="DM197" s="2"/>
      <c r="DN197" s="3"/>
      <c r="DO197" s="3"/>
      <c r="DP197" s="2"/>
      <c r="DQ197" s="3"/>
      <c r="DR197" s="3"/>
      <c r="DS197" s="3"/>
      <c r="DT197" s="3"/>
      <c r="DU197" s="2"/>
      <c r="DV197" s="2"/>
      <c r="DW197" s="2"/>
      <c r="DX197" s="2"/>
      <c r="DY197" s="2"/>
      <c r="DZ197" s="2"/>
      <c r="EA197" s="2"/>
      <c r="EB197" s="2"/>
      <c r="EC197" s="2"/>
      <c r="ED197" s="2" t="inlineStr">
        <is>
          <t>3921fdfa-1f9a-4855-ad24-226629dd72a5</t>
        </is>
      </c>
      <c r="EE197" s="3" t="n">
        <v>1</v>
      </c>
      <c r="EF197" s="2"/>
      <c r="EG197" s="2"/>
      <c r="EH197" s="2"/>
      <c r="EI197" s="3"/>
      <c r="EJ197" s="2"/>
      <c r="EK197" s="3"/>
      <c r="EL197" s="3"/>
      <c r="EM197" s="3"/>
      <c r="EN197" s="3"/>
      <c r="EO197" s="2"/>
      <c r="EP197" s="2"/>
      <c r="EQ197" s="2"/>
      <c r="ER197" s="2"/>
      <c r="ES197" s="2"/>
      <c r="ET197" s="2"/>
      <c r="EU197" s="2"/>
      <c r="EV197" s="2"/>
      <c r="EW197" s="2"/>
      <c r="EX197" s="2" t="inlineStr">
        <is>
          <t>fccffe45-139f-41ab-89ec-e2ce7ed6413e</t>
        </is>
      </c>
      <c r="EY197" s="3" t="n">
        <v>1</v>
      </c>
      <c r="EZ197" s="2"/>
      <c r="FA197" s="2"/>
      <c r="FB197" s="2"/>
      <c r="FC197" s="2"/>
      <c r="FD197" s="3"/>
      <c r="FE197" s="3"/>
      <c r="FF197" s="2"/>
      <c r="FG197" s="3"/>
      <c r="FH197" s="3"/>
      <c r="FI197" s="7" t="n">
        <v>0</v>
      </c>
      <c r="FJ197" s="7" t="n">
        <v>0</v>
      </c>
      <c r="FK197" s="7" t="n">
        <v>0</v>
      </c>
      <c r="FL197" s="7" t="n">
        <v>0</v>
      </c>
      <c r="FM197" s="7" t="n">
        <v>0</v>
      </c>
      <c r="FN197" s="7" t="n">
        <v>0</v>
      </c>
      <c r="FO197" s="2"/>
      <c r="FP197" s="2"/>
      <c r="FQ197" s="2"/>
      <c r="FR197" s="2"/>
      <c r="FS197" s="2"/>
      <c r="FT197" s="2"/>
      <c r="FU197" s="2"/>
      <c r="FV197" s="2"/>
      <c r="FW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t="inlineStr">
        <is>
          <t>1e71c6a8-f941-4dfd-bb2c-5d5102889637</t>
        </is>
      </c>
      <c r="BT198" s="3" t="n">
        <v>2</v>
      </c>
      <c r="BU198" s="2" t="inlineStr">
        <is>
          <t>协调沟通类</t>
        </is>
      </c>
      <c r="BV198" s="2" t="inlineStr">
        <is>
          <t>国外海运费询价</t>
        </is>
      </c>
      <c r="BW198" s="2" t="inlineStr">
        <is>
          <t>2-5次</t>
        </is>
      </c>
      <c r="BX198" s="3" t="n">
        <v>2</v>
      </c>
      <c r="BY198" s="3" t="n">
        <v>5</v>
      </c>
      <c r="BZ198" s="2" t="inlineStr">
        <is>
          <t>B.2小时以内</t>
        </is>
      </c>
      <c r="CA198" s="7" t="n">
        <v>2</v>
      </c>
      <c r="CB198" s="7" t="n">
        <v>2</v>
      </c>
      <c r="CC198" s="7" t="n">
        <v>4</v>
      </c>
      <c r="CD198" s="7" t="n">
        <v>10</v>
      </c>
      <c r="CE198" s="2" t="inlineStr">
        <is>
          <t>协调沟通类</t>
        </is>
      </c>
      <c r="CF198" s="2"/>
      <c r="CG198" s="2" t="inlineStr">
        <is>
          <t>外部联络</t>
        </is>
      </c>
      <c r="CH198" s="2" t="inlineStr">
        <is>
          <t>上级指令</t>
        </is>
      </c>
      <c r="CI198" s="2" t="inlineStr">
        <is>
          <t>重要不紧急</t>
        </is>
      </c>
      <c r="CJ198" s="2" t="inlineStr">
        <is>
          <t>非标准化-无先例参考，需创新协调</t>
        </is>
      </c>
      <c r="CK198" s="2" t="inlineStr">
        <is>
          <t>极少（&lt;5%）</t>
        </is>
      </c>
      <c r="CL198" s="2" t="inlineStr">
        <is>
          <t>时效/强度负荷</t>
        </is>
      </c>
      <c r="CM198" s="2"/>
      <c r="CN198" s="2" t="inlineStr">
        <is>
          <t>c7696b58-7a7b-4407-af2c-96de7a944ec7</t>
        </is>
      </c>
      <c r="CO198" s="3" t="n">
        <v>2</v>
      </c>
      <c r="CP198" s="2"/>
      <c r="CQ198" s="2" t="inlineStr">
        <is>
          <t>海运费投标统计台账</t>
        </is>
      </c>
      <c r="CR198" s="2" t="inlineStr">
        <is>
          <t>1次</t>
        </is>
      </c>
      <c r="CS198" s="3" t="n">
        <v>1</v>
      </c>
      <c r="CT198" s="3" t="n">
        <v>1</v>
      </c>
      <c r="CU198" s="2" t="inlineStr">
        <is>
          <t>B.2小时以内</t>
        </is>
      </c>
      <c r="CV198" s="7" t="n">
        <v>2</v>
      </c>
      <c r="CW198" s="7" t="n">
        <v>2</v>
      </c>
      <c r="CX198" s="7" t="n">
        <v>2</v>
      </c>
      <c r="CY198" s="7" t="n">
        <v>2</v>
      </c>
      <c r="CZ198" s="2" t="inlineStr">
        <is>
          <t>数据报表类</t>
        </is>
      </c>
      <c r="DA198" s="2"/>
      <c r="DB198" s="2" t="inlineStr">
        <is>
          <t>专项统计</t>
        </is>
      </c>
      <c r="DC198" s="2" t="inlineStr">
        <is>
          <t>自主发起</t>
        </is>
      </c>
      <c r="DD198" s="2" t="inlineStr">
        <is>
          <t>重要不紧急</t>
        </is>
      </c>
      <c r="DE198" s="2" t="inlineStr">
        <is>
          <t>非标准化-无先例参考，需创新协调</t>
        </is>
      </c>
      <c r="DF198" s="2" t="inlineStr">
        <is>
          <t>低频（5%-10%）</t>
        </is>
      </c>
      <c r="DG198" s="2" t="inlineStr">
        <is>
          <t>责任/风险负荷</t>
        </is>
      </c>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t="inlineStr">
        <is>
          <t>da798f52-dfcd-4191-92e5-1ce6d5d52115</t>
        </is>
      </c>
      <c r="BT199" s="3" t="n">
        <v>3</v>
      </c>
      <c r="BU199" s="2" t="inlineStr">
        <is>
          <t>专业技术类</t>
        </is>
      </c>
      <c r="BV199" s="2" t="inlineStr">
        <is>
          <t>海外进出口限制</t>
        </is>
      </c>
      <c r="BW199" s="2" t="inlineStr">
        <is>
          <t>1次</t>
        </is>
      </c>
      <c r="BX199" s="3" t="n">
        <v>1</v>
      </c>
      <c r="BY199" s="3" t="n">
        <v>1</v>
      </c>
      <c r="BZ199" s="2" t="inlineStr">
        <is>
          <t>C.2-4小时</t>
        </is>
      </c>
      <c r="CA199" s="7" t="n">
        <v>2</v>
      </c>
      <c r="CB199" s="7" t="n">
        <v>4</v>
      </c>
      <c r="CC199" s="7" t="n">
        <v>2</v>
      </c>
      <c r="CD199" s="7" t="n">
        <v>4</v>
      </c>
      <c r="CE199" s="2" t="inlineStr">
        <is>
          <t>专业技术类</t>
        </is>
      </c>
      <c r="CF199" s="2"/>
      <c r="CG199" s="2" t="inlineStr">
        <is>
          <t>外部联络</t>
        </is>
      </c>
      <c r="CH199" s="2" t="inlineStr">
        <is>
          <t>上级指令</t>
        </is>
      </c>
      <c r="CI199" s="2" t="inlineStr">
        <is>
          <t>重要不紧急</t>
        </is>
      </c>
      <c r="CJ199" s="2" t="inlineStr">
        <is>
          <t>非标准化-无先例参考，需创新协调</t>
        </is>
      </c>
      <c r="CK199" s="2" t="inlineStr">
        <is>
          <t>低频（5%-10%）</t>
        </is>
      </c>
      <c r="CL199" s="2" t="inlineStr">
        <is>
          <t>沟通/协调负荷</t>
        </is>
      </c>
      <c r="CM199" s="2"/>
      <c r="CN199" s="2" t="inlineStr">
        <is>
          <t>d8a2b22a-e22c-4864-be41-a699261ce109</t>
        </is>
      </c>
      <c r="CO199" s="3" t="n">
        <v>3</v>
      </c>
      <c r="CP199" s="2"/>
      <c r="CQ199" s="2" t="inlineStr">
        <is>
          <t>部门周报</t>
        </is>
      </c>
      <c r="CR199" s="2" t="inlineStr">
        <is>
          <t>1次</t>
        </is>
      </c>
      <c r="CS199" s="3" t="n">
        <v>1</v>
      </c>
      <c r="CT199" s="3" t="n">
        <v>1</v>
      </c>
      <c r="CU199" s="2" t="inlineStr">
        <is>
          <t>A.20分钟以内</t>
        </is>
      </c>
      <c r="CV199" s="7" t="n">
        <v>0.33</v>
      </c>
      <c r="CW199" s="7" t="n">
        <v>0.33</v>
      </c>
      <c r="CX199" s="7" t="n">
        <v>0.33</v>
      </c>
      <c r="CY199" s="7" t="n">
        <v>0.33</v>
      </c>
      <c r="CZ199" s="2" t="inlineStr">
        <is>
          <t>数据报表类</t>
        </is>
      </c>
      <c r="DA199" s="2"/>
      <c r="DB199" s="2" t="inlineStr">
        <is>
          <t>专项统计</t>
        </is>
      </c>
      <c r="DC199" s="2" t="inlineStr">
        <is>
          <t>部门计划</t>
        </is>
      </c>
      <c r="DD199" s="2" t="inlineStr">
        <is>
          <t>重要不紧急</t>
        </is>
      </c>
      <c r="DE199" s="2" t="inlineStr">
        <is>
          <t>半标准化-有流程框架，需专业经验</t>
        </is>
      </c>
      <c r="DF199" s="2" t="inlineStr">
        <is>
          <t>极少（&lt;5%）</t>
        </is>
      </c>
      <c r="DG199" s="2" t="inlineStr">
        <is>
          <t>时效/强度负荷</t>
        </is>
      </c>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t="inlineStr">
        <is>
          <t>67144094-5132-415f-bba1-17003a711f0a</t>
        </is>
      </c>
      <c r="BT200" s="3" t="n">
        <v>4</v>
      </c>
      <c r="BU200" s="2" t="inlineStr">
        <is>
          <t>协调沟通类</t>
        </is>
      </c>
      <c r="BV200" s="2" t="inlineStr">
        <is>
          <t>与技术员沟通确认材料参数和技术要求</t>
        </is>
      </c>
      <c r="BW200" s="2" t="inlineStr">
        <is>
          <t>6-10次</t>
        </is>
      </c>
      <c r="BX200" s="3" t="n">
        <v>6</v>
      </c>
      <c r="BY200" s="3" t="n">
        <v>10</v>
      </c>
      <c r="BZ200" s="2" t="inlineStr">
        <is>
          <t>A.20分钟以内</t>
        </is>
      </c>
      <c r="CA200" s="7" t="n">
        <v>0.33</v>
      </c>
      <c r="CB200" s="7" t="n">
        <v>0.33</v>
      </c>
      <c r="CC200" s="7" t="n">
        <v>1.98</v>
      </c>
      <c r="CD200" s="7" t="n">
        <v>3.3</v>
      </c>
      <c r="CE200" s="2" t="inlineStr">
        <is>
          <t>协调沟通类</t>
        </is>
      </c>
      <c r="CF200" s="2"/>
      <c r="CG200" s="2" t="inlineStr">
        <is>
          <t>接口协调</t>
        </is>
      </c>
      <c r="CH200" s="2" t="inlineStr">
        <is>
          <t>岗位职责</t>
        </is>
      </c>
      <c r="CI200" s="2" t="inlineStr">
        <is>
          <t>重要不紧急</t>
        </is>
      </c>
      <c r="CJ200" s="2" t="inlineStr">
        <is>
          <t>非标准化-无先例参考，需创新协调</t>
        </is>
      </c>
      <c r="CK200" s="2" t="inlineStr">
        <is>
          <t>低频（5%-10%）</t>
        </is>
      </c>
      <c r="CL200" s="2" t="inlineStr">
        <is>
          <t>沟通/协调负荷</t>
        </is>
      </c>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row>
    <row r="201">
      <c r="A201" s="2" t="inlineStr">
        <is>
          <t>2026-05-14 10:26:04</t>
        </is>
      </c>
      <c r="B201" s="2" t="inlineStr">
        <is>
          <t>付海翔</t>
        </is>
      </c>
      <c r="C201" s="2" t="inlineStr">
        <is>
          <t>合同管理部</t>
        </is>
      </c>
      <c r="D201" s="2" t="inlineStr">
        <is>
          <t>男</t>
        </is>
      </c>
      <c r="E201" s="2" t="inlineStr">
        <is>
          <t>320112198607210437</t>
        </is>
      </c>
      <c r="F201" s="2" t="inlineStr">
        <is>
          <t>专业工程师</t>
        </is>
      </c>
      <c r="G201" s="2" t="inlineStr">
        <is>
          <t>2007-08</t>
        </is>
      </c>
      <c r="H201" s="2" t="inlineStr">
        <is>
          <t>钟山职业技术学院</t>
        </is>
      </c>
      <c r="I201" s="2" t="inlineStr">
        <is>
          <t>电气</t>
        </is>
      </c>
      <c r="J201" s="2" t="inlineStr">
        <is>
          <t>大专</t>
        </is>
      </c>
      <c r="K201" s="2"/>
      <c r="L201" s="6">
        <f>HYPERLINK("https://www.h3yun.com/Form/Attachments/?schemacode=D1483577de63ede327d4760b10664bd57671d7e&amp;bizObjectId=43a8be01-2053-4050-90fd-98446c9b45ba&amp;name=F0000046","点击查看")</f>
        <v>0</v>
      </c>
      <c r="M201" s="2" t="inlineStr">
        <is>
          <t>无</t>
        </is>
      </c>
      <c r="N201" s="2" t="inlineStr">
        <is>
          <t>每日工作</t>
        </is>
      </c>
      <c r="O201" s="2" t="inlineStr">
        <is>
          <t>30-40岁</t>
        </is>
      </c>
      <c r="P201" s="2" t="inlineStr">
        <is>
          <t>A.未婚</t>
        </is>
      </c>
      <c r="Q201" s="2" t="inlineStr">
        <is>
          <t>C.是，主要照护老人</t>
        </is>
      </c>
      <c r="R201" s="2" t="inlineStr">
        <is>
          <t>A.否</t>
        </is>
      </c>
      <c r="S201" s="2" t="inlineStr">
        <is>
          <t>A.保持当前工作内容和节奏，收入相对稳定即可</t>
        </is>
      </c>
      <c r="T201" s="2" t="inlineStr">
        <is>
          <t>A.基本满意，希望保持</t>
        </is>
      </c>
      <c r="U201" s="2" t="inlineStr">
        <is>
          <t>B.减少无效流转和返工</t>
        </is>
      </c>
      <c r="V201" s="2" t="inlineStr">
        <is>
          <t>A.没有</t>
        </is>
      </c>
      <c r="W201" s="2"/>
      <c r="X201" s="2" t="inlineStr">
        <is>
          <t>C.均衡 (80%-100%)</t>
        </is>
      </c>
      <c r="Y201" s="2" t="inlineStr">
        <is>
          <t>E.临时差旅、突发事件、会议加班</t>
        </is>
      </c>
      <c r="Z201" s="2" t="inlineStr">
        <is>
          <t>无</t>
        </is>
      </c>
      <c r="AA201" s="2" t="inlineStr">
        <is>
          <t>无</t>
        </is>
      </c>
      <c r="AB201" s="2" t="inlineStr">
        <is>
          <t>无</t>
        </is>
      </c>
      <c r="AC201" s="2" t="inlineStr">
        <is>
          <t>B.基本匹配（正常履行）</t>
        </is>
      </c>
      <c r="AD201" s="2" t="inlineStr">
        <is>
          <t>无</t>
        </is>
      </c>
      <c r="AE201" s="2"/>
      <c r="AF201" s="2"/>
      <c r="AG201" s="2"/>
      <c r="AH201" s="2"/>
      <c r="AI201" s="7" t="n">
        <v>8</v>
      </c>
      <c r="AJ201" s="7" t="n">
        <v>20</v>
      </c>
      <c r="AK201" s="7" t="n">
        <v>0</v>
      </c>
      <c r="AL201" s="7" t="n">
        <v>0</v>
      </c>
      <c r="AM201" s="7" t="n">
        <v>0</v>
      </c>
      <c r="AN201" s="7" t="n">
        <v>0</v>
      </c>
      <c r="AO201" s="7" t="n">
        <v>0</v>
      </c>
      <c r="AP201" s="7" t="n">
        <v>0</v>
      </c>
      <c r="AQ201" s="7" t="n">
        <v>0</v>
      </c>
      <c r="AR201" s="7" t="n">
        <v>0</v>
      </c>
      <c r="AS201" s="7" t="n">
        <v>8</v>
      </c>
      <c r="AT201" s="7" t="n">
        <v>20</v>
      </c>
      <c r="AU201" s="7" t="n">
        <v>14</v>
      </c>
      <c r="AV201" s="2" t="inlineStr">
        <is>
          <t>超负荷</t>
        </is>
      </c>
      <c r="AW201" s="2" t="inlineStr">
        <is>
          <t>不一致</t>
        </is>
      </c>
      <c r="AX201" s="2" t="inlineStr">
        <is>
          <t>43a8be01-2053-4050-90fd-98446c9b45ba</t>
        </is>
      </c>
      <c r="AY201" s="2" t="inlineStr">
        <is>
          <t>合同管理部    付海翔</t>
        </is>
      </c>
      <c r="AZ201" s="2" t="inlineStr">
        <is>
          <t>Anonymous</t>
        </is>
      </c>
      <c r="BA201" s="2" t="inlineStr">
        <is>
          <t>Anonymous</t>
        </is>
      </c>
      <c r="BB201" s="2"/>
      <c r="BC201" s="2" t="inlineStr">
        <is>
          <t>2026-05-22 16:58:40</t>
        </is>
      </c>
      <c r="BD201" s="3" t="n">
        <v>1986</v>
      </c>
      <c r="BE201" s="3" t="n">
        <v>40</v>
      </c>
      <c r="BF201" s="2" t="inlineStr">
        <is>
          <t>A.无此需求</t>
        </is>
      </c>
      <c r="BG201" s="2" t="inlineStr">
        <is>
          <t>已生效</t>
        </is>
      </c>
      <c r="BH201" s="2" t="inlineStr">
        <is>
          <t>74be0592-d2f9-459b-9282-a912c66f6151</t>
        </is>
      </c>
      <c r="BI201" s="3" t="n">
        <v>1</v>
      </c>
      <c r="BJ201" s="2"/>
      <c r="BK201" s="2"/>
      <c r="BL201" s="2"/>
      <c r="BM201" s="2"/>
      <c r="BN201" s="2"/>
      <c r="BO201" s="2"/>
      <c r="BP201" s="2"/>
      <c r="BQ201" s="2"/>
      <c r="BR201" s="2"/>
      <c r="BS201" s="2" t="inlineStr">
        <is>
          <t>990785d2-9adc-4e1a-b308-7a5f766a29ed</t>
        </is>
      </c>
      <c r="BT201" s="3" t="n">
        <v>1</v>
      </c>
      <c r="BU201" s="2" t="inlineStr">
        <is>
          <t>数据报表类</t>
        </is>
      </c>
      <c r="BV201" s="2" t="inlineStr">
        <is>
          <t>分包方注册年审</t>
        </is>
      </c>
      <c r="BW201" s="2" t="inlineStr">
        <is>
          <t>2-5次</t>
        </is>
      </c>
      <c r="BX201" s="3" t="n">
        <v>2</v>
      </c>
      <c r="BY201" s="3" t="n">
        <v>5</v>
      </c>
      <c r="BZ201" s="2" t="inlineStr">
        <is>
          <t>B.2小时以内</t>
        </is>
      </c>
      <c r="CA201" s="7" t="n">
        <v>2</v>
      </c>
      <c r="CB201" s="7" t="n">
        <v>2</v>
      </c>
      <c r="CC201" s="7" t="n">
        <v>4</v>
      </c>
      <c r="CD201" s="7" t="n">
        <v>10</v>
      </c>
      <c r="CE201" s="2" t="inlineStr">
        <is>
          <t>数据报表类</t>
        </is>
      </c>
      <c r="CF201" s="2"/>
      <c r="CG201" s="2" t="inlineStr">
        <is>
          <t>专项统计</t>
        </is>
      </c>
      <c r="CH201" s="2" t="inlineStr">
        <is>
          <t>岗位职责</t>
        </is>
      </c>
      <c r="CI201" s="2" t="inlineStr">
        <is>
          <t>重要不紧急</t>
        </is>
      </c>
      <c r="CJ201" s="2" t="inlineStr">
        <is>
          <t>半标准化-有流程框架，需专业经验</t>
        </is>
      </c>
      <c r="CK201" s="2" t="inlineStr">
        <is>
          <t>低频（5%-10%）</t>
        </is>
      </c>
      <c r="CL201" s="2" t="inlineStr">
        <is>
          <t>沟通/协调负荷</t>
        </is>
      </c>
      <c r="CM201" s="2" t="inlineStr">
        <is>
          <t>工作内容有时多，有是少</t>
        </is>
      </c>
      <c r="CN201" s="2" t="inlineStr">
        <is>
          <t>39d55ef4-f397-4df4-9aad-36b28215e46c</t>
        </is>
      </c>
      <c r="CO201" s="3" t="n">
        <v>1</v>
      </c>
      <c r="CP201" s="2"/>
      <c r="CQ201" s="2"/>
      <c r="CR201" s="2"/>
      <c r="CS201" s="3"/>
      <c r="CT201" s="3"/>
      <c r="CU201" s="2"/>
      <c r="CV201" s="3"/>
      <c r="CW201" s="3"/>
      <c r="CX201" s="3"/>
      <c r="CY201" s="3"/>
      <c r="CZ201" s="2"/>
      <c r="DA201" s="2"/>
      <c r="DB201" s="2"/>
      <c r="DC201" s="2"/>
      <c r="DD201" s="2"/>
      <c r="DE201" s="2"/>
      <c r="DF201" s="2"/>
      <c r="DG201" s="2"/>
      <c r="DH201" s="2"/>
      <c r="DI201" s="2" t="inlineStr">
        <is>
          <t>15eefc55-ba5b-450c-9d39-7cbfc81ddfc8</t>
        </is>
      </c>
      <c r="DJ201" s="3" t="n">
        <v>1</v>
      </c>
      <c r="DK201" s="2"/>
      <c r="DL201" s="2"/>
      <c r="DM201" s="2"/>
      <c r="DN201" s="3"/>
      <c r="DO201" s="3"/>
      <c r="DP201" s="2"/>
      <c r="DQ201" s="3"/>
      <c r="DR201" s="3"/>
      <c r="DS201" s="3"/>
      <c r="DT201" s="3"/>
      <c r="DU201" s="2"/>
      <c r="DV201" s="2"/>
      <c r="DW201" s="2"/>
      <c r="DX201" s="2"/>
      <c r="DY201" s="2"/>
      <c r="DZ201" s="2"/>
      <c r="EA201" s="2"/>
      <c r="EB201" s="2"/>
      <c r="EC201" s="2"/>
      <c r="ED201" s="2" t="inlineStr">
        <is>
          <t>3a225189-5866-4644-9021-2f78b98338f2</t>
        </is>
      </c>
      <c r="EE201" s="3" t="n">
        <v>1</v>
      </c>
      <c r="EF201" s="2"/>
      <c r="EG201" s="2"/>
      <c r="EH201" s="2"/>
      <c r="EI201" s="3"/>
      <c r="EJ201" s="2"/>
      <c r="EK201" s="3"/>
      <c r="EL201" s="3"/>
      <c r="EM201" s="3"/>
      <c r="EN201" s="3"/>
      <c r="EO201" s="2"/>
      <c r="EP201" s="2"/>
      <c r="EQ201" s="2"/>
      <c r="ER201" s="2"/>
      <c r="ES201" s="2"/>
      <c r="ET201" s="2"/>
      <c r="EU201" s="2"/>
      <c r="EV201" s="2"/>
      <c r="EW201" s="2"/>
      <c r="EX201" s="2" t="inlineStr">
        <is>
          <t>612268d9-ad11-4a4b-be07-f2242296c5ee</t>
        </is>
      </c>
      <c r="EY201" s="3" t="n">
        <v>1</v>
      </c>
      <c r="EZ201" s="2"/>
      <c r="FA201" s="2"/>
      <c r="FB201" s="2"/>
      <c r="FC201" s="2"/>
      <c r="FD201" s="3"/>
      <c r="FE201" s="3"/>
      <c r="FF201" s="2"/>
      <c r="FG201" s="3"/>
      <c r="FH201" s="3"/>
      <c r="FI201" s="7" t="n">
        <v>0</v>
      </c>
      <c r="FJ201" s="7" t="n">
        <v>0</v>
      </c>
      <c r="FK201" s="7" t="n">
        <v>0</v>
      </c>
      <c r="FL201" s="7" t="n">
        <v>0</v>
      </c>
      <c r="FM201" s="7" t="n">
        <v>0</v>
      </c>
      <c r="FN201" s="7" t="n">
        <v>0</v>
      </c>
      <c r="FO201" s="2"/>
      <c r="FP201" s="2"/>
      <c r="FQ201" s="2"/>
      <c r="FR201" s="2"/>
      <c r="FS201" s="2"/>
      <c r="FT201" s="2"/>
      <c r="FU201" s="2"/>
      <c r="FV201" s="2"/>
      <c r="FW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t="inlineStr">
        <is>
          <t>5286f3d5-350d-405f-8d93-3c20d3a08a5e</t>
        </is>
      </c>
      <c r="BT202" s="3" t="n">
        <v>2</v>
      </c>
      <c r="BU202" s="2" t="inlineStr">
        <is>
          <t>流程审批类</t>
        </is>
      </c>
      <c r="BV202" s="2" t="inlineStr">
        <is>
          <t>合作项目文件盖章技术归档</t>
        </is>
      </c>
      <c r="BW202" s="2" t="inlineStr">
        <is>
          <t>2-5次</t>
        </is>
      </c>
      <c r="BX202" s="3" t="n">
        <v>2</v>
      </c>
      <c r="BY202" s="3" t="n">
        <v>5</v>
      </c>
      <c r="BZ202" s="2" t="inlineStr">
        <is>
          <t>B.2小时以内</t>
        </is>
      </c>
      <c r="CA202" s="7" t="n">
        <v>2</v>
      </c>
      <c r="CB202" s="7" t="n">
        <v>2</v>
      </c>
      <c r="CC202" s="7" t="n">
        <v>4</v>
      </c>
      <c r="CD202" s="7" t="n">
        <v>10</v>
      </c>
      <c r="CE202" s="2" t="inlineStr">
        <is>
          <t>流程审批类</t>
        </is>
      </c>
      <c r="CF202" s="2"/>
      <c r="CG202" s="2" t="inlineStr">
        <is>
          <t>协同办公流程</t>
        </is>
      </c>
      <c r="CH202" s="2" t="inlineStr">
        <is>
          <t>上级指令</t>
        </is>
      </c>
      <c r="CI202" s="2" t="inlineStr">
        <is>
          <t>重要且紧急</t>
        </is>
      </c>
      <c r="CJ202" s="2" t="inlineStr">
        <is>
          <t>半标准化-有流程框架，需专业经验</t>
        </is>
      </c>
      <c r="CK202" s="2" t="inlineStr">
        <is>
          <t>极少（&lt;5%）</t>
        </is>
      </c>
      <c r="CL202" s="2" t="inlineStr">
        <is>
          <t>沟通/协调负荷</t>
        </is>
      </c>
      <c r="CM202" s="2" t="inlineStr">
        <is>
          <t>工作内容有时多，有是少</t>
        </is>
      </c>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row>
    <row r="203">
      <c r="A203" s="2" t="inlineStr">
        <is>
          <t>2026-05-13 17:06:23</t>
        </is>
      </c>
      <c r="B203" s="2" t="inlineStr">
        <is>
          <t>赵振兴</t>
        </is>
      </c>
      <c r="C203" s="2" t="inlineStr">
        <is>
          <t>合同管理部</t>
        </is>
      </c>
      <c r="D203" s="2" t="inlineStr">
        <is>
          <t>男</t>
        </is>
      </c>
      <c r="E203" s="2" t="inlineStr">
        <is>
          <t>341225198204080094</t>
        </is>
      </c>
      <c r="F203" s="2" t="inlineStr">
        <is>
          <t>专业工程师</t>
        </is>
      </c>
      <c r="G203" s="2" t="inlineStr">
        <is>
          <t>2004-08</t>
        </is>
      </c>
      <c r="H203" s="2" t="inlineStr">
        <is>
          <t>安徽理工大学</t>
        </is>
      </c>
      <c r="I203" s="2" t="inlineStr">
        <is>
          <t>自动化</t>
        </is>
      </c>
      <c r="J203" s="2" t="inlineStr">
        <is>
          <t>大专</t>
        </is>
      </c>
      <c r="K203" s="2"/>
      <c r="L203" s="6">
        <f>HYPERLINK("https://www.h3yun.com/Form/Attachments/?schemacode=D1483577de63ede327d4760b10664bd57671d7e&amp;bizObjectId=471d41ab-6d65-470b-b841-aced1449061d&amp;name=F0000046","点击查看")</f>
        <v>0</v>
      </c>
      <c r="M203" s="2" t="inlineStr">
        <is>
          <t>无</t>
        </is>
      </c>
      <c r="N203" s="2" t="inlineStr">
        <is>
          <t>每日工作;每月工作</t>
        </is>
      </c>
      <c r="O203" s="2" t="inlineStr">
        <is>
          <t>41-45岁</t>
        </is>
      </c>
      <c r="P203" s="2" t="inlineStr">
        <is>
          <t>C.已婚已育</t>
        </is>
      </c>
      <c r="Q203" s="2" t="inlineStr">
        <is>
          <t>D.是，同时照护子女和老人</t>
        </is>
      </c>
      <c r="R203" s="2" t="inlineStr">
        <is>
          <t>A.否</t>
        </is>
      </c>
      <c r="S203" s="2" t="inlineStr">
        <is>
          <t>A.保持当前工作内容和节奏，收入相对稳定即可</t>
        </is>
      </c>
      <c r="T203" s="2" t="inlineStr">
        <is>
          <t>A.基本满意，希望保持</t>
        </is>
      </c>
      <c r="U203" s="2" t="inlineStr">
        <is>
          <t>C.增加弹性和稳定性</t>
        </is>
      </c>
      <c r="V203" s="2" t="inlineStr">
        <is>
          <t>A.没有</t>
        </is>
      </c>
      <c r="W203" s="2"/>
      <c r="X203" s="2" t="inlineStr">
        <is>
          <t>C.均衡 (80%-100%)</t>
        </is>
      </c>
      <c r="Y203" s="2" t="inlineStr">
        <is>
          <t>I.因正常工作任务截止日遇上节假日所需加班</t>
        </is>
      </c>
      <c r="Z203" s="2" t="inlineStr">
        <is>
          <t>合同流程</t>
        </is>
      </c>
      <c r="AA203" s="2" t="inlineStr">
        <is>
          <t>信息化管理流程</t>
        </is>
      </c>
      <c r="AB203" s="2" t="inlineStr">
        <is>
          <t>合同流程</t>
        </is>
      </c>
      <c r="AC203" s="2" t="inlineStr">
        <is>
          <t>A.高度匹配（得心应手）</t>
        </is>
      </c>
      <c r="AD203" s="2" t="inlineStr">
        <is>
          <t>无</t>
        </is>
      </c>
      <c r="AE203" s="2"/>
      <c r="AF203" s="2"/>
      <c r="AG203" s="2" t="inlineStr">
        <is>
          <t>A.配偶为公司家属，常驻南京，不影响</t>
        </is>
      </c>
      <c r="AH203" s="2"/>
      <c r="AI203" s="7" t="n">
        <v>16</v>
      </c>
      <c r="AJ203" s="7" t="n">
        <v>40</v>
      </c>
      <c r="AK203" s="7" t="n">
        <v>0</v>
      </c>
      <c r="AL203" s="7" t="n">
        <v>0</v>
      </c>
      <c r="AM203" s="7" t="n">
        <v>0.18</v>
      </c>
      <c r="AN203" s="7" t="n">
        <v>0.36</v>
      </c>
      <c r="AO203" s="7" t="n">
        <v>0</v>
      </c>
      <c r="AP203" s="7" t="n">
        <v>0</v>
      </c>
      <c r="AQ203" s="7" t="n">
        <v>0</v>
      </c>
      <c r="AR203" s="7" t="n">
        <v>0</v>
      </c>
      <c r="AS203" s="7" t="n">
        <v>16.18</v>
      </c>
      <c r="AT203" s="7" t="n">
        <v>40.36</v>
      </c>
      <c r="AU203" s="7" t="n">
        <v>28.27</v>
      </c>
      <c r="AV203" s="2" t="inlineStr">
        <is>
          <t>超负荷</t>
        </is>
      </c>
      <c r="AW203" s="2" t="inlineStr">
        <is>
          <t>不一致</t>
        </is>
      </c>
      <c r="AX203" s="2" t="inlineStr">
        <is>
          <t>471d41ab-6d65-470b-b841-aced1449061d</t>
        </is>
      </c>
      <c r="AY203" s="2" t="inlineStr">
        <is>
          <t>合同管理部    赵振兴</t>
        </is>
      </c>
      <c r="AZ203" s="2" t="inlineStr">
        <is>
          <t>Anonymous</t>
        </is>
      </c>
      <c r="BA203" s="2" t="inlineStr">
        <is>
          <t>Anonymous</t>
        </is>
      </c>
      <c r="BB203" s="2"/>
      <c r="BC203" s="2" t="inlineStr">
        <is>
          <t>2026-05-22 17:04:27</t>
        </is>
      </c>
      <c r="BD203" s="3" t="n">
        <v>1982</v>
      </c>
      <c r="BE203" s="3" t="n">
        <v>44</v>
      </c>
      <c r="BF203" s="2" t="inlineStr">
        <is>
          <t>A.无此需求</t>
        </is>
      </c>
      <c r="BG203" s="2" t="inlineStr">
        <is>
          <t>已生效</t>
        </is>
      </c>
      <c r="BH203" s="2" t="inlineStr">
        <is>
          <t>36d11f38-0939-421a-b1b4-343d3eb50045</t>
        </is>
      </c>
      <c r="BI203" s="3" t="n">
        <v>1</v>
      </c>
      <c r="BJ203" s="2"/>
      <c r="BK203" s="2"/>
      <c r="BL203" s="2"/>
      <c r="BM203" s="2"/>
      <c r="BN203" s="2"/>
      <c r="BO203" s="2"/>
      <c r="BP203" s="2"/>
      <c r="BQ203" s="2"/>
      <c r="BR203" s="2"/>
      <c r="BS203" s="2" t="inlineStr">
        <is>
          <t>4899680c-7899-4cae-89f4-3efbd61b6340</t>
        </is>
      </c>
      <c r="BT203" s="3" t="n">
        <v>1</v>
      </c>
      <c r="BU203" s="2" t="inlineStr">
        <is>
          <t>流程审批类</t>
        </is>
      </c>
      <c r="BV203" s="2" t="inlineStr">
        <is>
          <t>分包结算审计</t>
        </is>
      </c>
      <c r="BW203" s="2" t="inlineStr">
        <is>
          <t>2-5次</t>
        </is>
      </c>
      <c r="BX203" s="3" t="n">
        <v>2</v>
      </c>
      <c r="BY203" s="3" t="n">
        <v>5</v>
      </c>
      <c r="BZ203" s="2" t="inlineStr">
        <is>
          <t>E.8小时以上</t>
        </is>
      </c>
      <c r="CA203" s="7" t="n">
        <v>8</v>
      </c>
      <c r="CB203" s="7" t="n">
        <v>8</v>
      </c>
      <c r="CC203" s="7" t="n">
        <v>16</v>
      </c>
      <c r="CD203" s="7" t="n">
        <v>40</v>
      </c>
      <c r="CE203" s="2" t="inlineStr">
        <is>
          <t>流程审批类</t>
        </is>
      </c>
      <c r="CF203" s="2"/>
      <c r="CG203" s="2" t="inlineStr">
        <is>
          <t>合同流程</t>
        </is>
      </c>
      <c r="CH203" s="2" t="inlineStr">
        <is>
          <t>岗位职责</t>
        </is>
      </c>
      <c r="CI203" s="2" t="inlineStr">
        <is>
          <t>重要且紧急</t>
        </is>
      </c>
      <c r="CJ203" s="2" t="inlineStr">
        <is>
          <t>半标准化-有流程框架，需专业经验</t>
        </is>
      </c>
      <c r="CK203" s="2" t="inlineStr">
        <is>
          <t>极少（&lt;5%）</t>
        </is>
      </c>
      <c r="CL203" s="2" t="inlineStr">
        <is>
          <t>脑力/复杂度负荷</t>
        </is>
      </c>
      <c r="CM203" s="2" t="inlineStr">
        <is>
          <t>分包结算审计无法按照常规工作界定工作频率和精准耗时；工作负荷视各分公司提交的审计需求和审计工作深度（包括但不限于送审资料不完整、数据有误；工作量大小和定价依据复杂程度）</t>
        </is>
      </c>
      <c r="CN203" s="2" t="inlineStr">
        <is>
          <t>15015ad6-94bd-42ea-8dfb-61d6c5ac3069</t>
        </is>
      </c>
      <c r="CO203" s="3" t="n">
        <v>1</v>
      </c>
      <c r="CP203" s="2"/>
      <c r="CQ203" s="2"/>
      <c r="CR203" s="2"/>
      <c r="CS203" s="3"/>
      <c r="CT203" s="3"/>
      <c r="CU203" s="2"/>
      <c r="CV203" s="3"/>
      <c r="CW203" s="3"/>
      <c r="CX203" s="3"/>
      <c r="CY203" s="3"/>
      <c r="CZ203" s="2"/>
      <c r="DA203" s="2"/>
      <c r="DB203" s="2"/>
      <c r="DC203" s="2"/>
      <c r="DD203" s="2"/>
      <c r="DE203" s="2"/>
      <c r="DF203" s="2"/>
      <c r="DG203" s="2"/>
      <c r="DH203" s="2"/>
      <c r="DI203" s="2" t="inlineStr">
        <is>
          <t>ab68f246-1e72-4a88-af89-71105a594be2</t>
        </is>
      </c>
      <c r="DJ203" s="3" t="n">
        <v>1</v>
      </c>
      <c r="DK203" s="2"/>
      <c r="DL203" s="2" t="inlineStr">
        <is>
          <t>分包结算审计月报数据汇总和整理</t>
        </is>
      </c>
      <c r="DM203" s="2" t="inlineStr">
        <is>
          <t>1次</t>
        </is>
      </c>
      <c r="DN203" s="3" t="n">
        <v>1</v>
      </c>
      <c r="DO203" s="3" t="n">
        <v>1</v>
      </c>
      <c r="DP203" s="2" t="inlineStr">
        <is>
          <t>D.4-8小时</t>
        </is>
      </c>
      <c r="DQ203" s="7" t="n">
        <v>4</v>
      </c>
      <c r="DR203" s="7" t="n">
        <v>8</v>
      </c>
      <c r="DS203" s="7" t="n">
        <v>4</v>
      </c>
      <c r="DT203" s="7" t="n">
        <v>8</v>
      </c>
      <c r="DU203" s="2" t="inlineStr">
        <is>
          <t>数据报表类</t>
        </is>
      </c>
      <c r="DV203" s="2"/>
      <c r="DW203" s="2" t="inlineStr">
        <is>
          <t>月报</t>
        </is>
      </c>
      <c r="DX203" s="2" t="inlineStr">
        <is>
          <t>岗位职责</t>
        </is>
      </c>
      <c r="DY203" s="2" t="inlineStr">
        <is>
          <t>重要且紧急</t>
        </is>
      </c>
      <c r="DZ203" s="2" t="inlineStr">
        <is>
          <t>半标准化-有流程框架，需专业经验</t>
        </is>
      </c>
      <c r="EA203" s="2" t="inlineStr">
        <is>
          <t>极少（&lt;5%）</t>
        </is>
      </c>
      <c r="EB203" s="2" t="inlineStr">
        <is>
          <t>沟通/协调负荷</t>
        </is>
      </c>
      <c r="EC203" s="2"/>
      <c r="ED203" s="2" t="inlineStr">
        <is>
          <t>fe21cbd0-ce36-4aef-9670-d10897953be1</t>
        </is>
      </c>
      <c r="EE203" s="3" t="n">
        <v>1</v>
      </c>
      <c r="EF203" s="2"/>
      <c r="EG203" s="2"/>
      <c r="EH203" s="2"/>
      <c r="EI203" s="3"/>
      <c r="EJ203" s="2"/>
      <c r="EK203" s="3"/>
      <c r="EL203" s="3"/>
      <c r="EM203" s="3"/>
      <c r="EN203" s="3"/>
      <c r="EO203" s="2"/>
      <c r="EP203" s="2"/>
      <c r="EQ203" s="2"/>
      <c r="ER203" s="2"/>
      <c r="ES203" s="2"/>
      <c r="ET203" s="2"/>
      <c r="EU203" s="2"/>
      <c r="EV203" s="2"/>
      <c r="EW203" s="2"/>
      <c r="EX203" s="2" t="inlineStr">
        <is>
          <t>64a2cde0-3e2d-425f-bcd5-318213496407</t>
        </is>
      </c>
      <c r="EY203" s="3" t="n">
        <v>1</v>
      </c>
      <c r="EZ203" s="2"/>
      <c r="FA203" s="2"/>
      <c r="FB203" s="2"/>
      <c r="FC203" s="2"/>
      <c r="FD203" s="3"/>
      <c r="FE203" s="3"/>
      <c r="FF203" s="2"/>
      <c r="FG203" s="3"/>
      <c r="FH203" s="3"/>
      <c r="FI203" s="7" t="n">
        <v>0</v>
      </c>
      <c r="FJ203" s="7" t="n">
        <v>0</v>
      </c>
      <c r="FK203" s="7" t="n">
        <v>0</v>
      </c>
      <c r="FL203" s="7" t="n">
        <v>0</v>
      </c>
      <c r="FM203" s="7" t="n">
        <v>0</v>
      </c>
      <c r="FN203" s="7" t="n">
        <v>0</v>
      </c>
      <c r="FO203" s="2"/>
      <c r="FP203" s="2"/>
      <c r="FQ203" s="2"/>
      <c r="FR203" s="2"/>
      <c r="FS203" s="2"/>
      <c r="FT203" s="2"/>
      <c r="FU203" s="2"/>
      <c r="FV203" s="2"/>
      <c r="FW203" s="2"/>
    </row>
    <row r="204">
      <c r="A204" s="2" t="inlineStr">
        <is>
          <t>2026-05-13 15:33:31</t>
        </is>
      </c>
      <c r="B204" s="2" t="inlineStr">
        <is>
          <t>艾文娟</t>
        </is>
      </c>
      <c r="C204" s="2" t="inlineStr">
        <is>
          <t>合同管理部</t>
        </is>
      </c>
      <c r="D204" s="2" t="inlineStr">
        <is>
          <t>女</t>
        </is>
      </c>
      <c r="E204" s="2" t="inlineStr">
        <is>
          <t>412702199907138121</t>
        </is>
      </c>
      <c r="F204" s="2" t="inlineStr">
        <is>
          <t>技术助理(三)</t>
        </is>
      </c>
      <c r="G204" s="2" t="inlineStr">
        <is>
          <t>2024-08</t>
        </is>
      </c>
      <c r="H204" s="2" t="inlineStr">
        <is>
          <t>哈尔滨华德学院</t>
        </is>
      </c>
      <c r="I204" s="2" t="inlineStr">
        <is>
          <t>其他</t>
        </is>
      </c>
      <c r="J204" s="2" t="inlineStr">
        <is>
          <t>本科</t>
        </is>
      </c>
      <c r="K204" s="2"/>
      <c r="L204" s="6">
        <f>HYPERLINK("https://www.h3yun.com/Form/Attachments/?schemacode=D1483577de63ede327d4760b10664bd57671d7e&amp;bizObjectId=87588560-a448-4118-8a4b-158dc7f63377&amp;name=F0000046","点击查看")</f>
        <v>0</v>
      </c>
      <c r="M204" s="2" t="inlineStr">
        <is>
          <t>1.工作中发现很多冗余流程可以简化，比如：明明简单沟通就可达到目的却非要走ERP流程。不仅耽误时间且需要费心时时关注进度。</t>
        </is>
      </c>
      <c r="N204" s="2" t="inlineStr">
        <is>
          <t>每日工作;每周工作;每月工作;每季度/阶段性工作;临时/突发工作</t>
        </is>
      </c>
      <c r="O204" s="2" t="inlineStr">
        <is>
          <t>26-30岁</t>
        </is>
      </c>
      <c r="P204" s="2" t="inlineStr">
        <is>
          <t>A.未婚</t>
        </is>
      </c>
      <c r="Q204" s="2" t="inlineStr">
        <is>
          <t>A.否</t>
        </is>
      </c>
      <c r="R204" s="2"/>
      <c r="S204" s="2" t="inlineStr">
        <is>
          <t>D.希望承担更有挑战性的工作，并争取更大发展空间</t>
        </is>
      </c>
      <c r="T204" s="2" t="inlineStr">
        <is>
          <t>B.工作内容可接受，但负荷偏重</t>
        </is>
      </c>
      <c r="U204" s="2" t="inlineStr">
        <is>
          <t>D.明确职责边界</t>
        </is>
      </c>
      <c r="V204" s="2" t="inlineStr">
        <is>
          <t>A.没有</t>
        </is>
      </c>
      <c r="W204" s="2"/>
      <c r="X204" s="2" t="inlineStr">
        <is>
          <t>A.超负荷 (&gt;120%)</t>
        </is>
      </c>
      <c r="Y204" s="2" t="inlineStr">
        <is>
          <t>A.岗位工作量饱和，已达人效上限;C.会议或日常协调过多，压缩产出时间;E.临时差旅、突发事件、会议加班;G.接收到任务分配单完成周期内要求的加班;I.因正常工作任务截止日遇上节假日所需加班</t>
        </is>
      </c>
      <c r="Z204" s="2" t="inlineStr">
        <is>
          <t>月报</t>
        </is>
      </c>
      <c r="AA204" s="2" t="inlineStr">
        <is>
          <t>信息化管理流程</t>
        </is>
      </c>
      <c r="AB204" s="2" t="inlineStr">
        <is>
          <t>合同流程</t>
        </is>
      </c>
      <c r="AC204" s="2" t="inlineStr">
        <is>
          <t>B.基本匹配（正常履行）</t>
        </is>
      </c>
      <c r="AD204" s="2" t="inlineStr">
        <is>
          <t>无</t>
        </is>
      </c>
      <c r="AE204" s="2" t="inlineStr">
        <is>
          <t>无</t>
        </is>
      </c>
      <c r="AF204" s="2" t="inlineStr">
        <is>
          <t>无</t>
        </is>
      </c>
      <c r="AG204" s="2"/>
      <c r="AH204" s="2"/>
      <c r="AI204" s="7" t="n">
        <v>13.32</v>
      </c>
      <c r="AJ204" s="7" t="n">
        <v>53.3</v>
      </c>
      <c r="AK204" s="7" t="n">
        <v>1.6</v>
      </c>
      <c r="AL204" s="7" t="n">
        <v>2.8</v>
      </c>
      <c r="AM204" s="7" t="n">
        <v>0.64</v>
      </c>
      <c r="AN204" s="7" t="n">
        <v>0.91</v>
      </c>
      <c r="AO204" s="7" t="n">
        <v>0.13</v>
      </c>
      <c r="AP204" s="7" t="n">
        <v>0.13</v>
      </c>
      <c r="AQ204" s="7" t="n">
        <v>0.09</v>
      </c>
      <c r="AR204" s="7" t="n">
        <v>0.36</v>
      </c>
      <c r="AS204" s="7" t="n">
        <v>15.78</v>
      </c>
      <c r="AT204" s="7" t="n">
        <v>57.5</v>
      </c>
      <c r="AU204" s="7" t="n">
        <v>36.64</v>
      </c>
      <c r="AV204" s="2" t="inlineStr">
        <is>
          <t>超负荷</t>
        </is>
      </c>
      <c r="AW204" s="2" t="inlineStr">
        <is>
          <t>一致</t>
        </is>
      </c>
      <c r="AX204" s="2" t="inlineStr">
        <is>
          <t>87588560-a448-4118-8a4b-158dc7f63377</t>
        </is>
      </c>
      <c r="AY204" s="2" t="inlineStr">
        <is>
          <t>合同管理部    艾文娟</t>
        </is>
      </c>
      <c r="AZ204" s="2" t="inlineStr">
        <is>
          <t>Anonymous</t>
        </is>
      </c>
      <c r="BA204" s="2" t="inlineStr">
        <is>
          <t>Anonymous</t>
        </is>
      </c>
      <c r="BB204" s="2"/>
      <c r="BC204" s="2" t="inlineStr">
        <is>
          <t>2026-05-21 08:43:22</t>
        </is>
      </c>
      <c r="BD204" s="3" t="n">
        <v>1999</v>
      </c>
      <c r="BE204" s="3" t="n">
        <v>27</v>
      </c>
      <c r="BF204" s="2" t="inlineStr">
        <is>
          <t>A.无此需求</t>
        </is>
      </c>
      <c r="BG204" s="2" t="inlineStr">
        <is>
          <t>已生效</t>
        </is>
      </c>
      <c r="BH204" s="2" t="inlineStr">
        <is>
          <t>1a4427a3-1f1c-44f5-a0cd-212642a3109d</t>
        </is>
      </c>
      <c r="BI204" s="3" t="n">
        <v>1</v>
      </c>
      <c r="BJ204" s="2"/>
      <c r="BK204" s="2"/>
      <c r="BL204" s="2"/>
      <c r="BM204" s="2"/>
      <c r="BN204" s="2"/>
      <c r="BO204" s="2"/>
      <c r="BP204" s="2"/>
      <c r="BQ204" s="2"/>
      <c r="BR204" s="2"/>
      <c r="BS204" s="2" t="inlineStr">
        <is>
          <t>63c771ea-5e9c-48b4-ac41-46bb0479c778</t>
        </is>
      </c>
      <c r="BT204" s="3" t="n">
        <v>1</v>
      </c>
      <c r="BU204" s="2" t="inlineStr">
        <is>
          <t>监督检查类</t>
        </is>
      </c>
      <c r="BV204" s="2" t="inlineStr">
        <is>
          <t>主合同评审ERP流程</t>
        </is>
      </c>
      <c r="BW204" s="2" t="inlineStr">
        <is>
          <t>2-5次</t>
        </is>
      </c>
      <c r="BX204" s="3" t="n">
        <v>2</v>
      </c>
      <c r="BY204" s="3" t="n">
        <v>5</v>
      </c>
      <c r="BZ204" s="2" t="inlineStr">
        <is>
          <t>C.2-4小时</t>
        </is>
      </c>
      <c r="CA204" s="7" t="n">
        <v>2</v>
      </c>
      <c r="CB204" s="7" t="n">
        <v>4</v>
      </c>
      <c r="CC204" s="7" t="n">
        <v>4</v>
      </c>
      <c r="CD204" s="7" t="n">
        <v>20</v>
      </c>
      <c r="CE204" s="2" t="inlineStr">
        <is>
          <t>监督检查类</t>
        </is>
      </c>
      <c r="CF204" s="2"/>
      <c r="CG204" s="2" t="inlineStr">
        <is>
          <t>专项检查</t>
        </is>
      </c>
      <c r="CH204" s="2" t="inlineStr">
        <is>
          <t>岗位职责</t>
        </is>
      </c>
      <c r="CI204" s="2" t="inlineStr">
        <is>
          <t>重要且紧急</t>
        </is>
      </c>
      <c r="CJ204" s="2" t="inlineStr">
        <is>
          <t>半标准化-有流程框架，需专业经验</t>
        </is>
      </c>
      <c r="CK204" s="2" t="inlineStr">
        <is>
          <t>极少（&lt;5%）</t>
        </is>
      </c>
      <c r="CL204" s="2" t="inlineStr">
        <is>
          <t>责任/风险负荷</t>
        </is>
      </c>
      <c r="CM204" s="2" t="inlineStr">
        <is>
          <t>很多时候涉及协调沟通</t>
        </is>
      </c>
      <c r="CN204" s="2" t="inlineStr">
        <is>
          <t>8e6a3d25-c677-4a9b-b881-ba854a6dbad5</t>
        </is>
      </c>
      <c r="CO204" s="3" t="n">
        <v>1</v>
      </c>
      <c r="CP204" s="2"/>
      <c r="CQ204" s="2" t="inlineStr">
        <is>
          <t>跟踪主合同各项的交底情况</t>
        </is>
      </c>
      <c r="CR204" s="2" t="inlineStr">
        <is>
          <t>1次</t>
        </is>
      </c>
      <c r="CS204" s="3" t="n">
        <v>1</v>
      </c>
      <c r="CT204" s="3" t="n">
        <v>1</v>
      </c>
      <c r="CU204" s="2" t="inlineStr">
        <is>
          <t>C.2-4小时</t>
        </is>
      </c>
      <c r="CV204" s="7" t="n">
        <v>2</v>
      </c>
      <c r="CW204" s="7" t="n">
        <v>4</v>
      </c>
      <c r="CX204" s="7" t="n">
        <v>2</v>
      </c>
      <c r="CY204" s="7" t="n">
        <v>4</v>
      </c>
      <c r="CZ204" s="2" t="inlineStr">
        <is>
          <t>监督检查类</t>
        </is>
      </c>
      <c r="DA204" s="2"/>
      <c r="DB204" s="2" t="inlineStr">
        <is>
          <t>整改闭环</t>
        </is>
      </c>
      <c r="DC204" s="2" t="inlineStr">
        <is>
          <t>跨部门协同</t>
        </is>
      </c>
      <c r="DD204" s="2" t="inlineStr">
        <is>
          <t>重要不紧急</t>
        </is>
      </c>
      <c r="DE204" s="2" t="inlineStr">
        <is>
          <t>高度标准化-有成熟SOP，照做即可</t>
        </is>
      </c>
      <c r="DF204" s="2" t="inlineStr">
        <is>
          <t>极少（&lt;5%）</t>
        </is>
      </c>
      <c r="DG204" s="2" t="inlineStr">
        <is>
          <t>沟通/协调负荷</t>
        </is>
      </c>
      <c r="DH204" s="2"/>
      <c r="DI204" s="2" t="inlineStr">
        <is>
          <t>245e04aa-569b-489b-a1e9-0d970d7c946e</t>
        </is>
      </c>
      <c r="DJ204" s="3" t="n">
        <v>1</v>
      </c>
      <c r="DK204" s="2"/>
      <c r="DL204" s="2" t="inlineStr">
        <is>
          <t>每月合同部月报基础数据</t>
        </is>
      </c>
      <c r="DM204" s="2" t="inlineStr">
        <is>
          <t>1次</t>
        </is>
      </c>
      <c r="DN204" s="3" t="n">
        <v>1</v>
      </c>
      <c r="DO204" s="3" t="n">
        <v>1</v>
      </c>
      <c r="DP204" s="2" t="inlineStr">
        <is>
          <t>E.8小时以上</t>
        </is>
      </c>
      <c r="DQ204" s="7" t="n">
        <v>8</v>
      </c>
      <c r="DR204" s="7" t="n">
        <v>8</v>
      </c>
      <c r="DS204" s="7" t="n">
        <v>8</v>
      </c>
      <c r="DT204" s="7" t="n">
        <v>8</v>
      </c>
      <c r="DU204" s="2" t="inlineStr">
        <is>
          <t>数据报表类</t>
        </is>
      </c>
      <c r="DV204" s="2"/>
      <c r="DW204" s="2" t="inlineStr">
        <is>
          <t>月报</t>
        </is>
      </c>
      <c r="DX204" s="2" t="inlineStr">
        <is>
          <t>岗位职责</t>
        </is>
      </c>
      <c r="DY204" s="2" t="inlineStr">
        <is>
          <t>重要且紧急</t>
        </is>
      </c>
      <c r="DZ204" s="2" t="inlineStr">
        <is>
          <t>半标准化-有流程框架，需专业经验</t>
        </is>
      </c>
      <c r="EA204" s="2" t="inlineStr">
        <is>
          <t>极少（&lt;5%）</t>
        </is>
      </c>
      <c r="EB204" s="2" t="inlineStr">
        <is>
          <t>脑力/复杂度负荷</t>
        </is>
      </c>
      <c r="EC204" s="2" t="inlineStr">
        <is>
          <t>时效性、责任性都比较重要</t>
        </is>
      </c>
      <c r="ED204" s="2" t="inlineStr">
        <is>
          <t>19ade2b8-f806-417b-a7f0-eff5c93d63d8</t>
        </is>
      </c>
      <c r="EE204" s="3" t="n">
        <v>1</v>
      </c>
      <c r="EF204" s="2"/>
      <c r="EG204" s="2" t="inlineStr">
        <is>
          <t>南京市守合同重信用申报</t>
        </is>
      </c>
      <c r="EH204" s="2" t="inlineStr">
        <is>
          <t>1次</t>
        </is>
      </c>
      <c r="EI204" s="3" t="n">
        <v>1</v>
      </c>
      <c r="EJ204" s="2" t="inlineStr">
        <is>
          <t>E.8小时以上</t>
        </is>
      </c>
      <c r="EK204" s="7" t="n">
        <v>8</v>
      </c>
      <c r="EL204" s="7" t="n">
        <v>8</v>
      </c>
      <c r="EM204" s="7" t="n">
        <v>8</v>
      </c>
      <c r="EN204" s="7" t="n">
        <v>8</v>
      </c>
      <c r="EO204" s="2" t="inlineStr">
        <is>
          <t>综合管理类</t>
        </is>
      </c>
      <c r="EP204" s="2"/>
      <c r="EQ204" s="2" t="inlineStr">
        <is>
          <t>重点任务督办</t>
        </is>
      </c>
      <c r="ER204" s="2" t="inlineStr">
        <is>
          <t>上级指令</t>
        </is>
      </c>
      <c r="ES204" s="2" t="inlineStr">
        <is>
          <t>重要且紧急</t>
        </is>
      </c>
      <c r="ET204" s="2" t="inlineStr">
        <is>
          <t>非标准化-无先例参考，需创新协调</t>
        </is>
      </c>
      <c r="EU204" s="2" t="inlineStr">
        <is>
          <t>极少（&lt;5%）</t>
        </is>
      </c>
      <c r="EV204" s="2" t="inlineStr">
        <is>
          <t>沟通/协调负荷</t>
        </is>
      </c>
      <c r="EW204" s="2"/>
      <c r="EX204" s="2" t="inlineStr">
        <is>
          <t>572f38c7-ee5b-4a4d-a3de-ca727bf86123</t>
        </is>
      </c>
      <c r="EY204" s="3" t="n">
        <v>1</v>
      </c>
      <c r="EZ204" s="2"/>
      <c r="FA204" s="2" t="inlineStr">
        <is>
          <t>其他部门协调资料查找</t>
        </is>
      </c>
      <c r="FB204" s="2" t="inlineStr">
        <is>
          <t>每月1-2次</t>
        </is>
      </c>
      <c r="FC204" s="2" t="inlineStr">
        <is>
          <t>月</t>
        </is>
      </c>
      <c r="FD204" s="3" t="n">
        <v>1</v>
      </c>
      <c r="FE204" s="3" t="n">
        <v>2</v>
      </c>
      <c r="FF204" s="2" t="inlineStr">
        <is>
          <t>C.2-4小时</t>
        </is>
      </c>
      <c r="FG204" s="7" t="n">
        <v>2</v>
      </c>
      <c r="FH204" s="7" t="n">
        <v>4</v>
      </c>
      <c r="FI204" s="7" t="n">
        <v>2</v>
      </c>
      <c r="FJ204" s="7" t="n">
        <v>8</v>
      </c>
      <c r="FK204" s="7" t="n">
        <v>0</v>
      </c>
      <c r="FL204" s="7" t="n">
        <v>0</v>
      </c>
      <c r="FM204" s="7" t="n">
        <v>0</v>
      </c>
      <c r="FN204" s="7" t="n">
        <v>0</v>
      </c>
      <c r="FO204" s="2" t="inlineStr">
        <is>
          <t>数据报表类</t>
        </is>
      </c>
      <c r="FP204" s="2"/>
      <c r="FQ204" s="2" t="inlineStr">
        <is>
          <t>专项统计</t>
        </is>
      </c>
      <c r="FR204" s="2" t="inlineStr">
        <is>
          <t>跨部门协同</t>
        </is>
      </c>
      <c r="FS204" s="2" t="inlineStr">
        <is>
          <t>重要且紧急</t>
        </is>
      </c>
      <c r="FT204" s="2" t="inlineStr">
        <is>
          <t>半标准化-有流程框架，需专业经验</t>
        </is>
      </c>
      <c r="FU204" s="2" t="inlineStr">
        <is>
          <t>极少（&lt;5%）</t>
        </is>
      </c>
      <c r="FV204" s="2" t="inlineStr">
        <is>
          <t>时效/强度负荷</t>
        </is>
      </c>
      <c r="FW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t="inlineStr">
        <is>
          <t>715f8e5b-aab6-45b1-9b15-be5bd23d9e92</t>
        </is>
      </c>
      <c r="BT205" s="3" t="n">
        <v>2</v>
      </c>
      <c r="BU205" s="2" t="inlineStr">
        <is>
          <t>监督检查类</t>
        </is>
      </c>
      <c r="BV205" s="2" t="inlineStr">
        <is>
          <t>合同变更ERP流程</t>
        </is>
      </c>
      <c r="BW205" s="2" t="inlineStr">
        <is>
          <t>2-5次</t>
        </is>
      </c>
      <c r="BX205" s="3" t="n">
        <v>2</v>
      </c>
      <c r="BY205" s="3" t="n">
        <v>5</v>
      </c>
      <c r="BZ205" s="2" t="inlineStr">
        <is>
          <t>C.2-4小时</t>
        </is>
      </c>
      <c r="CA205" s="7" t="n">
        <v>2</v>
      </c>
      <c r="CB205" s="7" t="n">
        <v>4</v>
      </c>
      <c r="CC205" s="7" t="n">
        <v>4</v>
      </c>
      <c r="CD205" s="7" t="n">
        <v>20</v>
      </c>
      <c r="CE205" s="2" t="inlineStr">
        <is>
          <t>监督检查类</t>
        </is>
      </c>
      <c r="CF205" s="2"/>
      <c r="CG205" s="2" t="inlineStr">
        <is>
          <t>专项检查</t>
        </is>
      </c>
      <c r="CH205" s="2" t="inlineStr">
        <is>
          <t>岗位职责</t>
        </is>
      </c>
      <c r="CI205" s="2" t="inlineStr">
        <is>
          <t>重要且紧急</t>
        </is>
      </c>
      <c r="CJ205" s="2" t="inlineStr">
        <is>
          <t>半标准化-有流程框架，需专业经验</t>
        </is>
      </c>
      <c r="CK205" s="2" t="inlineStr">
        <is>
          <t>极少（&lt;5%）</t>
        </is>
      </c>
      <c r="CL205" s="2" t="inlineStr">
        <is>
          <t>责任/风险负荷</t>
        </is>
      </c>
      <c r="CM205" s="2" t="inlineStr">
        <is>
          <t>很多时候涉及协调沟通</t>
        </is>
      </c>
      <c r="CN205" s="2" t="inlineStr">
        <is>
          <t>bc579aee-eb45-46e9-b26c-43647a9e6330</t>
        </is>
      </c>
      <c r="CO205" s="3" t="n">
        <v>2</v>
      </c>
      <c r="CP205" s="2"/>
      <c r="CQ205" s="2" t="inlineStr">
        <is>
          <t>跟踪主合同是否建立台账</t>
        </is>
      </c>
      <c r="CR205" s="2" t="inlineStr">
        <is>
          <t>1次</t>
        </is>
      </c>
      <c r="CS205" s="3" t="n">
        <v>1</v>
      </c>
      <c r="CT205" s="3" t="n">
        <v>1</v>
      </c>
      <c r="CU205" s="2" t="inlineStr">
        <is>
          <t>C.2-4小时</t>
        </is>
      </c>
      <c r="CV205" s="7" t="n">
        <v>2</v>
      </c>
      <c r="CW205" s="7" t="n">
        <v>4</v>
      </c>
      <c r="CX205" s="7" t="n">
        <v>2</v>
      </c>
      <c r="CY205" s="7" t="n">
        <v>4</v>
      </c>
      <c r="CZ205" s="2" t="inlineStr">
        <is>
          <t>监督检查类</t>
        </is>
      </c>
      <c r="DA205" s="2"/>
      <c r="DB205" s="2" t="inlineStr">
        <is>
          <t>整改闭环</t>
        </is>
      </c>
      <c r="DC205" s="2" t="inlineStr">
        <is>
          <t>跨部门协同</t>
        </is>
      </c>
      <c r="DD205" s="2" t="inlineStr">
        <is>
          <t>重要不紧急</t>
        </is>
      </c>
      <c r="DE205" s="2" t="inlineStr">
        <is>
          <t>高度标准化-有成熟SOP，照做即可</t>
        </is>
      </c>
      <c r="DF205" s="2" t="inlineStr">
        <is>
          <t>极少（&lt;5%）</t>
        </is>
      </c>
      <c r="DG205" s="2" t="inlineStr">
        <is>
          <t>沟通/协调负荷</t>
        </is>
      </c>
      <c r="DH205" s="2"/>
      <c r="DI205" s="2" t="inlineStr">
        <is>
          <t>24ad4998-0538-40ee-bb41-3e0f0a2492de</t>
        </is>
      </c>
      <c r="DJ205" s="3" t="n">
        <v>2</v>
      </c>
      <c r="DK205" s="2"/>
      <c r="DL205" s="2" t="inlineStr">
        <is>
          <t>本月开发同期对比</t>
        </is>
      </c>
      <c r="DM205" s="2" t="inlineStr">
        <is>
          <t>1次</t>
        </is>
      </c>
      <c r="DN205" s="3" t="n">
        <v>1</v>
      </c>
      <c r="DO205" s="3" t="n">
        <v>1</v>
      </c>
      <c r="DP205" s="2" t="inlineStr">
        <is>
          <t>C.2-4小时</t>
        </is>
      </c>
      <c r="DQ205" s="7" t="n">
        <v>2</v>
      </c>
      <c r="DR205" s="7" t="n">
        <v>4</v>
      </c>
      <c r="DS205" s="7" t="n">
        <v>2</v>
      </c>
      <c r="DT205" s="7" t="n">
        <v>4</v>
      </c>
      <c r="DU205" s="2" t="inlineStr">
        <is>
          <t>数据报表类</t>
        </is>
      </c>
      <c r="DV205" s="2"/>
      <c r="DW205" s="2" t="inlineStr">
        <is>
          <t>月报</t>
        </is>
      </c>
      <c r="DX205" s="2" t="inlineStr">
        <is>
          <t>岗位职责</t>
        </is>
      </c>
      <c r="DY205" s="2" t="inlineStr">
        <is>
          <t>重要且紧急</t>
        </is>
      </c>
      <c r="DZ205" s="2" t="inlineStr">
        <is>
          <t>半标准化-有流程框架，需专业经验</t>
        </is>
      </c>
      <c r="EA205" s="2" t="inlineStr">
        <is>
          <t>极少（&lt;5%）</t>
        </is>
      </c>
      <c r="EB205" s="2" t="inlineStr">
        <is>
          <t>脑力/复杂度负荷</t>
        </is>
      </c>
      <c r="EC205" s="2"/>
      <c r="ED205" s="2" t="inlineStr">
        <is>
          <t>64100c96-339b-4796-ab36-1dd4d5310be7</t>
        </is>
      </c>
      <c r="EE205" s="3" t="n">
        <v>2</v>
      </c>
      <c r="EF205" s="2"/>
      <c r="EG205" s="2" t="inlineStr">
        <is>
          <t>江苏省守合同重信用申报</t>
        </is>
      </c>
      <c r="EH205" s="2" t="inlineStr">
        <is>
          <t>1次</t>
        </is>
      </c>
      <c r="EI205" s="3" t="n">
        <v>1</v>
      </c>
      <c r="EJ205" s="2" t="inlineStr">
        <is>
          <t>E.8小时以上</t>
        </is>
      </c>
      <c r="EK205" s="7" t="n">
        <v>8</v>
      </c>
      <c r="EL205" s="7" t="n">
        <v>8</v>
      </c>
      <c r="EM205" s="7" t="n">
        <v>8</v>
      </c>
      <c r="EN205" s="7" t="n">
        <v>8</v>
      </c>
      <c r="EO205" s="2" t="inlineStr">
        <is>
          <t>综合管理类</t>
        </is>
      </c>
      <c r="EP205" s="2"/>
      <c r="EQ205" s="2" t="inlineStr">
        <is>
          <t>重点任务督办</t>
        </is>
      </c>
      <c r="ER205" s="2" t="inlineStr">
        <is>
          <t>上级指令</t>
        </is>
      </c>
      <c r="ES205" s="2" t="inlineStr">
        <is>
          <t>重要且紧急</t>
        </is>
      </c>
      <c r="ET205" s="2" t="inlineStr">
        <is>
          <t>非标准化-无先例参考，需创新协调</t>
        </is>
      </c>
      <c r="EU205" s="2" t="inlineStr">
        <is>
          <t>极少（&lt;5%）</t>
        </is>
      </c>
      <c r="EV205" s="2" t="inlineStr">
        <is>
          <t>沟通/协调负荷</t>
        </is>
      </c>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t="inlineStr">
        <is>
          <t>7cfb051a-70db-4386-89a6-019a708107ad</t>
        </is>
      </c>
      <c r="BT206" s="3" t="n">
        <v>3</v>
      </c>
      <c r="BU206" s="2" t="inlineStr">
        <is>
          <t>监督检查类</t>
        </is>
      </c>
      <c r="BV206" s="2" t="inlineStr">
        <is>
          <t>无费用合同台账评审</t>
        </is>
      </c>
      <c r="BW206" s="2" t="inlineStr">
        <is>
          <t>2-5次</t>
        </is>
      </c>
      <c r="BX206" s="3" t="n">
        <v>2</v>
      </c>
      <c r="BY206" s="3" t="n">
        <v>5</v>
      </c>
      <c r="BZ206" s="2" t="inlineStr">
        <is>
          <t>A.20分钟以内</t>
        </is>
      </c>
      <c r="CA206" s="7" t="n">
        <v>0.33</v>
      </c>
      <c r="CB206" s="7" t="n">
        <v>0.33</v>
      </c>
      <c r="CC206" s="7" t="n">
        <v>0.66</v>
      </c>
      <c r="CD206" s="7" t="n">
        <v>1.65</v>
      </c>
      <c r="CE206" s="2" t="inlineStr">
        <is>
          <t>监督检查类</t>
        </is>
      </c>
      <c r="CF206" s="2"/>
      <c r="CG206" s="2" t="inlineStr">
        <is>
          <t>专项检查</t>
        </is>
      </c>
      <c r="CH206" s="2" t="inlineStr">
        <is>
          <t>岗位职责</t>
        </is>
      </c>
      <c r="CI206" s="2" t="inlineStr">
        <is>
          <t>重要且紧急</t>
        </is>
      </c>
      <c r="CJ206" s="2" t="inlineStr">
        <is>
          <t>半标准化-有流程框架，需专业经验</t>
        </is>
      </c>
      <c r="CK206" s="2" t="inlineStr">
        <is>
          <t>极少（&lt;5%）</t>
        </is>
      </c>
      <c r="CL206" s="2" t="inlineStr">
        <is>
          <t>责任/风险负荷</t>
        </is>
      </c>
      <c r="CM206" s="2" t="inlineStr">
        <is>
          <t>很多时候涉及协调沟通</t>
        </is>
      </c>
      <c r="CN206" s="2" t="inlineStr">
        <is>
          <t>d00d02ca-244a-4aa3-99f0-6fae6e84fc94</t>
        </is>
      </c>
      <c r="CO206" s="3" t="n">
        <v>3</v>
      </c>
      <c r="CP206" s="2"/>
      <c r="CQ206" s="2" t="inlineStr">
        <is>
          <t>工程业绩申请表审核</t>
        </is>
      </c>
      <c r="CR206" s="2" t="inlineStr">
        <is>
          <t>2-3次</t>
        </is>
      </c>
      <c r="CS206" s="3" t="n">
        <v>2</v>
      </c>
      <c r="CT206" s="3" t="n">
        <v>3</v>
      </c>
      <c r="CU206" s="2" t="inlineStr">
        <is>
          <t>B.2小时以内</t>
        </is>
      </c>
      <c r="CV206" s="7" t="n">
        <v>2</v>
      </c>
      <c r="CW206" s="7" t="n">
        <v>2</v>
      </c>
      <c r="CX206" s="7" t="n">
        <v>4</v>
      </c>
      <c r="CY206" s="7" t="n">
        <v>6</v>
      </c>
      <c r="CZ206" s="2" t="inlineStr">
        <is>
          <t>其他</t>
        </is>
      </c>
      <c r="DA206" s="2" t="inlineStr">
        <is>
          <t>查找合同、业绩等资料</t>
        </is>
      </c>
      <c r="DB206" s="2"/>
      <c r="DC206" s="2" t="inlineStr">
        <is>
          <t>跨部门协同</t>
        </is>
      </c>
      <c r="DD206" s="2" t="inlineStr">
        <is>
          <t>重要且紧急</t>
        </is>
      </c>
      <c r="DE206" s="2" t="inlineStr">
        <is>
          <t>非标准化-无先例参考，需创新协调</t>
        </is>
      </c>
      <c r="DF206" s="2" t="inlineStr">
        <is>
          <t>极少（&lt;5%）</t>
        </is>
      </c>
      <c r="DG206" s="2" t="inlineStr">
        <is>
          <t>沟通/协调负荷</t>
        </is>
      </c>
      <c r="DH206" s="2"/>
      <c r="DI206" s="2" t="inlineStr">
        <is>
          <t>c191c80f-df13-4997-bbb1-c381a2c40663</t>
        </is>
      </c>
      <c r="DJ206" s="3" t="n">
        <v>3</v>
      </c>
      <c r="DK206" s="2"/>
      <c r="DL206" s="2" t="inlineStr">
        <is>
          <t>本月完成同期对比</t>
        </is>
      </c>
      <c r="DM206" s="2" t="inlineStr">
        <is>
          <t>1次</t>
        </is>
      </c>
      <c r="DN206" s="3" t="n">
        <v>1</v>
      </c>
      <c r="DO206" s="3" t="n">
        <v>1</v>
      </c>
      <c r="DP206" s="2" t="inlineStr">
        <is>
          <t>C.2-4小时</t>
        </is>
      </c>
      <c r="DQ206" s="7" t="n">
        <v>2</v>
      </c>
      <c r="DR206" s="7" t="n">
        <v>4</v>
      </c>
      <c r="DS206" s="7" t="n">
        <v>2</v>
      </c>
      <c r="DT206" s="7" t="n">
        <v>4</v>
      </c>
      <c r="DU206" s="2" t="inlineStr">
        <is>
          <t>数据报表类</t>
        </is>
      </c>
      <c r="DV206" s="2"/>
      <c r="DW206" s="2" t="inlineStr">
        <is>
          <t>月报</t>
        </is>
      </c>
      <c r="DX206" s="2" t="inlineStr">
        <is>
          <t>岗位职责</t>
        </is>
      </c>
      <c r="DY206" s="2" t="inlineStr">
        <is>
          <t>重要且紧急</t>
        </is>
      </c>
      <c r="DZ206" s="2" t="inlineStr">
        <is>
          <t>半标准化-有流程框架，需专业经验</t>
        </is>
      </c>
      <c r="EA206" s="2" t="inlineStr">
        <is>
          <t>极少（&lt;5%）</t>
        </is>
      </c>
      <c r="EB206" s="2" t="inlineStr">
        <is>
          <t>脑力/复杂度负荷</t>
        </is>
      </c>
      <c r="EC206" s="2"/>
      <c r="ED206" s="2" t="inlineStr">
        <is>
          <t>19b666f1-346d-4f7d-ac03-e864de0f9d21</t>
        </is>
      </c>
      <c r="EE206" s="3" t="n">
        <v>3</v>
      </c>
      <c r="EF206" s="2"/>
      <c r="EG206" s="2" t="inlineStr">
        <is>
          <t>南京市3A申报</t>
        </is>
      </c>
      <c r="EH206" s="2" t="inlineStr">
        <is>
          <t>1次</t>
        </is>
      </c>
      <c r="EI206" s="3" t="n">
        <v>1</v>
      </c>
      <c r="EJ206" s="2" t="inlineStr">
        <is>
          <t>E.8小时以上</t>
        </is>
      </c>
      <c r="EK206" s="7" t="n">
        <v>8</v>
      </c>
      <c r="EL206" s="7" t="n">
        <v>8</v>
      </c>
      <c r="EM206" s="7" t="n">
        <v>8</v>
      </c>
      <c r="EN206" s="7" t="n">
        <v>8</v>
      </c>
      <c r="EO206" s="2" t="inlineStr">
        <is>
          <t>综合管理类</t>
        </is>
      </c>
      <c r="EP206" s="2"/>
      <c r="EQ206" s="2" t="inlineStr">
        <is>
          <t>重点任务督办</t>
        </is>
      </c>
      <c r="ER206" s="2" t="inlineStr">
        <is>
          <t>上级指令</t>
        </is>
      </c>
      <c r="ES206" s="2" t="inlineStr">
        <is>
          <t>重要且紧急</t>
        </is>
      </c>
      <c r="ET206" s="2" t="inlineStr">
        <is>
          <t>非标准化-无先例参考，需创新协调</t>
        </is>
      </c>
      <c r="EU206" s="2" t="inlineStr">
        <is>
          <t>极少（&lt;5%）</t>
        </is>
      </c>
      <c r="EV206" s="2" t="inlineStr">
        <is>
          <t>沟通/协调负荷</t>
        </is>
      </c>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t="inlineStr">
        <is>
          <t>d79d4a10-4d7e-4890-8361-471fdc420cc1</t>
        </is>
      </c>
      <c r="BT207" s="3" t="n">
        <v>4</v>
      </c>
      <c r="BU207" s="2" t="inlineStr">
        <is>
          <t>监督检查类</t>
        </is>
      </c>
      <c r="BV207" s="2" t="inlineStr">
        <is>
          <t>收入合同评审</t>
        </is>
      </c>
      <c r="BW207" s="2" t="inlineStr">
        <is>
          <t>2-5次</t>
        </is>
      </c>
      <c r="BX207" s="3" t="n">
        <v>2</v>
      </c>
      <c r="BY207" s="3" t="n">
        <v>5</v>
      </c>
      <c r="BZ207" s="2" t="inlineStr">
        <is>
          <t>A.20分钟以内</t>
        </is>
      </c>
      <c r="CA207" s="7" t="n">
        <v>0.33</v>
      </c>
      <c r="CB207" s="7" t="n">
        <v>0.33</v>
      </c>
      <c r="CC207" s="7" t="n">
        <v>0.66</v>
      </c>
      <c r="CD207" s="7" t="n">
        <v>1.65</v>
      </c>
      <c r="CE207" s="2" t="inlineStr">
        <is>
          <t>监督检查类</t>
        </is>
      </c>
      <c r="CF207" s="2"/>
      <c r="CG207" s="2" t="inlineStr">
        <is>
          <t>专项检查</t>
        </is>
      </c>
      <c r="CH207" s="2" t="inlineStr">
        <is>
          <t>岗位职责</t>
        </is>
      </c>
      <c r="CI207" s="2" t="inlineStr">
        <is>
          <t>重要且紧急</t>
        </is>
      </c>
      <c r="CJ207" s="2" t="inlineStr">
        <is>
          <t>半标准化-有流程框架，需专业经验</t>
        </is>
      </c>
      <c r="CK207" s="2" t="inlineStr">
        <is>
          <t>极少（&lt;5%）</t>
        </is>
      </c>
      <c r="CL207" s="2" t="inlineStr">
        <is>
          <t>责任/风险负荷</t>
        </is>
      </c>
      <c r="CM207" s="2" t="inlineStr">
        <is>
          <t>很多时候涉及协调沟通</t>
        </is>
      </c>
      <c r="CN207" s="2"/>
      <c r="CO207" s="2"/>
      <c r="CP207" s="2"/>
      <c r="CQ207" s="2"/>
      <c r="CR207" s="2"/>
      <c r="CS207" s="2"/>
      <c r="CT207" s="2"/>
      <c r="CU207" s="2"/>
      <c r="CV207" s="2"/>
      <c r="CW207" s="2"/>
      <c r="CX207" s="2"/>
      <c r="CY207" s="2"/>
      <c r="CZ207" s="2"/>
      <c r="DA207" s="2"/>
      <c r="DB207" s="2"/>
      <c r="DC207" s="2"/>
      <c r="DD207" s="2"/>
      <c r="DE207" s="2"/>
      <c r="DF207" s="2"/>
      <c r="DG207" s="2"/>
      <c r="DH207" s="2"/>
      <c r="DI207" s="2" t="inlineStr">
        <is>
          <t>49847573-2942-4740-ace5-9f8534b9a20e</t>
        </is>
      </c>
      <c r="DJ207" s="3" t="n">
        <v>4</v>
      </c>
      <c r="DK207" s="2"/>
      <c r="DL207" s="2" t="inlineStr">
        <is>
          <t>每月项目管理公司单独开发、完成、结转小报表</t>
        </is>
      </c>
      <c r="DM207" s="2" t="inlineStr">
        <is>
          <t>1次</t>
        </is>
      </c>
      <c r="DN207" s="3" t="n">
        <v>1</v>
      </c>
      <c r="DO207" s="3" t="n">
        <v>1</v>
      </c>
      <c r="DP207" s="2" t="inlineStr">
        <is>
          <t>C.2-4小时</t>
        </is>
      </c>
      <c r="DQ207" s="7" t="n">
        <v>2</v>
      </c>
      <c r="DR207" s="7" t="n">
        <v>4</v>
      </c>
      <c r="DS207" s="7" t="n">
        <v>2</v>
      </c>
      <c r="DT207" s="7" t="n">
        <v>4</v>
      </c>
      <c r="DU207" s="2" t="inlineStr">
        <is>
          <t>数据报表类</t>
        </is>
      </c>
      <c r="DV207" s="2"/>
      <c r="DW207" s="2" t="inlineStr">
        <is>
          <t>月报</t>
        </is>
      </c>
      <c r="DX207" s="2" t="inlineStr">
        <is>
          <t>跨部门协同</t>
        </is>
      </c>
      <c r="DY207" s="2" t="inlineStr">
        <is>
          <t>重要不紧急</t>
        </is>
      </c>
      <c r="DZ207" s="2" t="inlineStr">
        <is>
          <t>半标准化-有流程框架，需专业经验</t>
        </is>
      </c>
      <c r="EA207" s="2" t="inlineStr">
        <is>
          <t>极少（&lt;5%）</t>
        </is>
      </c>
      <c r="EB207" s="2" t="inlineStr">
        <is>
          <t>脑力/复杂度负荷</t>
        </is>
      </c>
      <c r="EC207" s="2"/>
      <c r="ED207" s="2" t="inlineStr">
        <is>
          <t>d51c775a-78b7-4d68-825d-e33782ec88e7</t>
        </is>
      </c>
      <c r="EE207" s="3" t="n">
        <v>4</v>
      </c>
      <c r="EF207" s="2"/>
      <c r="EG207" s="2" t="inlineStr">
        <is>
          <t>中国化工建设企业协会信用等级申报</t>
        </is>
      </c>
      <c r="EH207" s="2" t="inlineStr">
        <is>
          <t>1次</t>
        </is>
      </c>
      <c r="EI207" s="3" t="n">
        <v>1</v>
      </c>
      <c r="EJ207" s="2" t="inlineStr">
        <is>
          <t>E.8小时以上</t>
        </is>
      </c>
      <c r="EK207" s="7" t="n">
        <v>8</v>
      </c>
      <c r="EL207" s="7" t="n">
        <v>8</v>
      </c>
      <c r="EM207" s="7" t="n">
        <v>8</v>
      </c>
      <c r="EN207" s="7" t="n">
        <v>8</v>
      </c>
      <c r="EO207" s="2" t="inlineStr">
        <is>
          <t>综合管理类</t>
        </is>
      </c>
      <c r="EP207" s="2"/>
      <c r="EQ207" s="2" t="inlineStr">
        <is>
          <t>重点任务督办</t>
        </is>
      </c>
      <c r="ER207" s="2" t="inlineStr">
        <is>
          <t>上级指令</t>
        </is>
      </c>
      <c r="ES207" s="2" t="inlineStr">
        <is>
          <t>重要且紧急</t>
        </is>
      </c>
      <c r="ET207" s="2" t="inlineStr">
        <is>
          <t>非标准化-无先例参考，需创新协调</t>
        </is>
      </c>
      <c r="EU207" s="2" t="inlineStr">
        <is>
          <t>极少（&lt;5%）</t>
        </is>
      </c>
      <c r="EV207" s="2" t="inlineStr">
        <is>
          <t>沟通/协调负荷</t>
        </is>
      </c>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t="inlineStr">
        <is>
          <t>7b3fd092-ab24-4c1a-800a-a36286ca28ad</t>
        </is>
      </c>
      <c r="BT208" s="3" t="n">
        <v>5</v>
      </c>
      <c r="BU208" s="2" t="inlineStr">
        <is>
          <t>监督检查类</t>
        </is>
      </c>
      <c r="BV208" s="2" t="inlineStr">
        <is>
          <t>石化E签平台监督盖章</t>
        </is>
      </c>
      <c r="BW208" s="2" t="inlineStr">
        <is>
          <t>2-5次</t>
        </is>
      </c>
      <c r="BX208" s="3" t="n">
        <v>2</v>
      </c>
      <c r="BY208" s="3" t="n">
        <v>5</v>
      </c>
      <c r="BZ208" s="2" t="inlineStr">
        <is>
          <t>B.2小时以内</t>
        </is>
      </c>
      <c r="CA208" s="7" t="n">
        <v>2</v>
      </c>
      <c r="CB208" s="7" t="n">
        <v>2</v>
      </c>
      <c r="CC208" s="7" t="n">
        <v>4</v>
      </c>
      <c r="CD208" s="7" t="n">
        <v>10</v>
      </c>
      <c r="CE208" s="2" t="inlineStr">
        <is>
          <t>监督检查类</t>
        </is>
      </c>
      <c r="CF208" s="2"/>
      <c r="CG208" s="2" t="inlineStr">
        <is>
          <t>专项检查</t>
        </is>
      </c>
      <c r="CH208" s="2" t="inlineStr">
        <is>
          <t>岗位职责</t>
        </is>
      </c>
      <c r="CI208" s="2" t="inlineStr">
        <is>
          <t>重要且紧急</t>
        </is>
      </c>
      <c r="CJ208" s="2" t="inlineStr">
        <is>
          <t>半标准化-有流程框架，需专业经验</t>
        </is>
      </c>
      <c r="CK208" s="2" t="inlineStr">
        <is>
          <t>极少（&lt;5%）</t>
        </is>
      </c>
      <c r="CL208" s="2" t="inlineStr">
        <is>
          <t>责任/风险负荷</t>
        </is>
      </c>
      <c r="CM208" s="2" t="inlineStr">
        <is>
          <t>很多时候涉及协调沟通</t>
        </is>
      </c>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row>
    <row r="209">
      <c r="A209" s="2" t="inlineStr">
        <is>
          <t>2026-05-13 15:29:49</t>
        </is>
      </c>
      <c r="B209" s="2" t="inlineStr">
        <is>
          <t>杨蕊</t>
        </is>
      </c>
      <c r="C209" s="2" t="inlineStr">
        <is>
          <t>合同管理部</t>
        </is>
      </c>
      <c r="D209" s="2" t="inlineStr">
        <is>
          <t>女</t>
        </is>
      </c>
      <c r="E209" s="2" t="inlineStr">
        <is>
          <t>131024198401137225</t>
        </is>
      </c>
      <c r="F209" s="2" t="inlineStr">
        <is>
          <t>专业工程师</t>
        </is>
      </c>
      <c r="G209" s="2" t="inlineStr">
        <is>
          <t>2007-08</t>
        </is>
      </c>
      <c r="H209" s="2" t="inlineStr">
        <is>
          <t>江苏工业学院</t>
        </is>
      </c>
      <c r="I209" s="2" t="inlineStr">
        <is>
          <t>过控</t>
        </is>
      </c>
      <c r="J209" s="2" t="inlineStr">
        <is>
          <t>本科</t>
        </is>
      </c>
      <c r="K209" s="2"/>
      <c r="L209" s="6">
        <f>HYPERLINK("https://www.h3yun.com/Form/Attachments/?schemacode=D1483577de63ede327d4760b10664bd57671d7e&amp;bizObjectId=8bdad9d1-a12a-4347-b8d2-427e55eebfc0&amp;name=F0000046","点击查看")</f>
        <v>0</v>
      </c>
      <c r="M209" s="2" t="inlineStr">
        <is>
          <t>无</t>
        </is>
      </c>
      <c r="N209" s="2" t="inlineStr">
        <is>
          <t>每日工作;每周工作;每月工作;每季度/阶段性工作;临时/突发工作</t>
        </is>
      </c>
      <c r="O209" s="2" t="inlineStr">
        <is>
          <t>41-45岁</t>
        </is>
      </c>
      <c r="P209" s="2" t="inlineStr">
        <is>
          <t>C.已婚已育</t>
        </is>
      </c>
      <c r="Q209" s="2" t="inlineStr">
        <is>
          <t>A.否</t>
        </is>
      </c>
      <c r="R209" s="2" t="inlineStr">
        <is>
          <t>B.有1名</t>
        </is>
      </c>
      <c r="S209" s="2" t="inlineStr">
        <is>
          <t>C.希望工作压力适中，但职责边界更清晰</t>
        </is>
      </c>
      <c r="T209" s="2" t="inlineStr">
        <is>
          <t>B.工作内容可接受，但负荷偏重</t>
        </is>
      </c>
      <c r="U209" s="2" t="inlineStr">
        <is>
          <t>A.减少重复性事务</t>
        </is>
      </c>
      <c r="V209" s="2" t="inlineStr">
        <is>
          <t>C.推动过局部优化</t>
        </is>
      </c>
      <c r="W209" s="2" t="inlineStr">
        <is>
          <t>B.涉及多部门，协调难度大</t>
        </is>
      </c>
      <c r="X209" s="2" t="inlineStr">
        <is>
          <t>B.满负荷 (100%-120%)</t>
        </is>
      </c>
      <c r="Y209" s="2" t="inlineStr">
        <is>
          <t>C.会议或日常协调过多，压缩产出时间;E.临时差旅、突发事件、会议加班;G.接收到任务分配单完成周期内要求的加班;I.因正常工作任务截止日遇上节假日所需加班;J.在指导答疑协助上耗时过多导致的加班</t>
        </is>
      </c>
      <c r="Z209" s="2" t="inlineStr">
        <is>
          <t>专项统计</t>
        </is>
      </c>
      <c r="AA209" s="2" t="inlineStr">
        <is>
          <t>催办</t>
        </is>
      </c>
      <c r="AB209" s="2" t="inlineStr">
        <is>
          <t>信息化管理流程</t>
        </is>
      </c>
      <c r="AC209" s="2" t="inlineStr">
        <is>
          <t>B.基本匹配（正常履行）</t>
        </is>
      </c>
      <c r="AD209" s="2" t="inlineStr">
        <is>
          <t>无</t>
        </is>
      </c>
      <c r="AE209" s="2"/>
      <c r="AF209" s="2"/>
      <c r="AG209" s="2"/>
      <c r="AH209" s="2" t="inlineStr">
        <is>
          <t>C.无意向</t>
        </is>
      </c>
      <c r="AI209" s="7" t="n">
        <v>14.66</v>
      </c>
      <c r="AJ209" s="7" t="n">
        <v>23.65</v>
      </c>
      <c r="AK209" s="7" t="n">
        <v>0.8</v>
      </c>
      <c r="AL209" s="7" t="n">
        <v>2.4</v>
      </c>
      <c r="AM209" s="7" t="n">
        <v>2.18</v>
      </c>
      <c r="AN209" s="7" t="n">
        <v>2.55</v>
      </c>
      <c r="AO209" s="7" t="n">
        <v>0.13</v>
      </c>
      <c r="AP209" s="7" t="n">
        <v>0.13</v>
      </c>
      <c r="AQ209" s="7" t="n">
        <v>0.63</v>
      </c>
      <c r="AR209" s="7" t="n">
        <v>1.32</v>
      </c>
      <c r="AS209" s="7" t="n">
        <v>18.4</v>
      </c>
      <c r="AT209" s="7" t="n">
        <v>30.04</v>
      </c>
      <c r="AU209" s="7" t="n">
        <v>24.22</v>
      </c>
      <c r="AV209" s="2" t="inlineStr">
        <is>
          <t>超负荷</t>
        </is>
      </c>
      <c r="AW209" s="2" t="inlineStr">
        <is>
          <t>不一致</t>
        </is>
      </c>
      <c r="AX209" s="2" t="inlineStr">
        <is>
          <t>8bdad9d1-a12a-4347-b8d2-427e55eebfc0</t>
        </is>
      </c>
      <c r="AY209" s="2" t="inlineStr">
        <is>
          <t>合同管理部    杨蕊</t>
        </is>
      </c>
      <c r="AZ209" s="2" t="inlineStr">
        <is>
          <t>Anonymous</t>
        </is>
      </c>
      <c r="BA209" s="2" t="inlineStr">
        <is>
          <t>Anonymous</t>
        </is>
      </c>
      <c r="BB209" s="2"/>
      <c r="BC209" s="2" t="inlineStr">
        <is>
          <t>2026-05-21 08:43:22</t>
        </is>
      </c>
      <c r="BD209" s="3" t="n">
        <v>1984</v>
      </c>
      <c r="BE209" s="3" t="n">
        <v>42</v>
      </c>
      <c r="BF209" s="2" t="inlineStr">
        <is>
          <t>A.无此需求</t>
        </is>
      </c>
      <c r="BG209" s="2" t="inlineStr">
        <is>
          <t>已生效</t>
        </is>
      </c>
      <c r="BH209" s="2" t="inlineStr">
        <is>
          <t>aad4c74c-7134-443b-a231-124c297218d7</t>
        </is>
      </c>
      <c r="BI209" s="3" t="n">
        <v>1</v>
      </c>
      <c r="BJ209" s="2"/>
      <c r="BK209" s="2"/>
      <c r="BL209" s="2"/>
      <c r="BM209" s="2"/>
      <c r="BN209" s="2"/>
      <c r="BO209" s="2"/>
      <c r="BP209" s="2"/>
      <c r="BQ209" s="2"/>
      <c r="BR209" s="2"/>
      <c r="BS209" s="2" t="inlineStr">
        <is>
          <t>f24100c4-899e-4e25-9961-0f8bb4aa30e9</t>
        </is>
      </c>
      <c r="BT209" s="3" t="n">
        <v>1</v>
      </c>
      <c r="BU209" s="2" t="inlineStr">
        <is>
          <t>专业技术类</t>
        </is>
      </c>
      <c r="BV209" s="2" t="inlineStr">
        <is>
          <t>分包审计</t>
        </is>
      </c>
      <c r="BW209" s="2" t="inlineStr">
        <is>
          <t>1次</t>
        </is>
      </c>
      <c r="BX209" s="3" t="n">
        <v>1</v>
      </c>
      <c r="BY209" s="3" t="n">
        <v>1</v>
      </c>
      <c r="BZ209" s="2" t="inlineStr">
        <is>
          <t>E.8小时以上</t>
        </is>
      </c>
      <c r="CA209" s="7" t="n">
        <v>8</v>
      </c>
      <c r="CB209" s="7" t="n">
        <v>8</v>
      </c>
      <c r="CC209" s="7" t="n">
        <v>8</v>
      </c>
      <c r="CD209" s="7" t="n">
        <v>8</v>
      </c>
      <c r="CE209" s="2" t="inlineStr">
        <is>
          <t>专业技术类</t>
        </is>
      </c>
      <c r="CF209" s="2"/>
      <c r="CG209" s="2" t="inlineStr">
        <is>
          <t>技术方案审查</t>
        </is>
      </c>
      <c r="CH209" s="2" t="inlineStr">
        <is>
          <t>岗位职责</t>
        </is>
      </c>
      <c r="CI209" s="2" t="inlineStr">
        <is>
          <t>重要且紧急</t>
        </is>
      </c>
      <c r="CJ209" s="2" t="inlineStr">
        <is>
          <t>非标准化-无先例参考，需创新协调</t>
        </is>
      </c>
      <c r="CK209" s="2" t="inlineStr">
        <is>
          <t>极少（&lt;5%）</t>
        </is>
      </c>
      <c r="CL209" s="2" t="inlineStr">
        <is>
          <t>脑力/复杂度负荷</t>
        </is>
      </c>
      <c r="CM209" s="2"/>
      <c r="CN209" s="2" t="inlineStr">
        <is>
          <t>af009cad-ade3-4edf-ace8-c4cd731e0559</t>
        </is>
      </c>
      <c r="CO209" s="3" t="n">
        <v>1</v>
      </c>
      <c r="CP209" s="2"/>
      <c r="CQ209" s="2" t="inlineStr">
        <is>
          <t>更新维护线下台账，为月度、季度和年报报表做准备</t>
        </is>
      </c>
      <c r="CR209" s="2" t="inlineStr">
        <is>
          <t>2-3次</t>
        </is>
      </c>
      <c r="CS209" s="3" t="n">
        <v>2</v>
      </c>
      <c r="CT209" s="3" t="n">
        <v>3</v>
      </c>
      <c r="CU209" s="2" t="inlineStr">
        <is>
          <t>C.2-4小时</t>
        </is>
      </c>
      <c r="CV209" s="7" t="n">
        <v>2</v>
      </c>
      <c r="CW209" s="7" t="n">
        <v>4</v>
      </c>
      <c r="CX209" s="7" t="n">
        <v>4</v>
      </c>
      <c r="CY209" s="7" t="n">
        <v>12</v>
      </c>
      <c r="CZ209" s="2" t="inlineStr">
        <is>
          <t>数据报表类</t>
        </is>
      </c>
      <c r="DA209" s="2"/>
      <c r="DB209" s="2" t="inlineStr">
        <is>
          <t>专项统计</t>
        </is>
      </c>
      <c r="DC209" s="2" t="inlineStr">
        <is>
          <t>岗位职责</t>
        </is>
      </c>
      <c r="DD209" s="2" t="inlineStr">
        <is>
          <t>重要不紧急</t>
        </is>
      </c>
      <c r="DE209" s="2" t="inlineStr">
        <is>
          <t>半标准化-有流程框架，需专业经验</t>
        </is>
      </c>
      <c r="DF209" s="2" t="inlineStr">
        <is>
          <t>极少（&lt;5%）</t>
        </is>
      </c>
      <c r="DG209" s="2" t="inlineStr">
        <is>
          <t>时效/强度负荷</t>
        </is>
      </c>
      <c r="DH209" s="2"/>
      <c r="DI209" s="2" t="inlineStr">
        <is>
          <t>cfdb5aa8-84e0-4617-942e-694f3d897306</t>
        </is>
      </c>
      <c r="DJ209" s="3" t="n">
        <v>1</v>
      </c>
      <c r="DK209" s="2"/>
      <c r="DL209" s="2" t="inlineStr">
        <is>
          <t>公司月报</t>
        </is>
      </c>
      <c r="DM209" s="2" t="inlineStr">
        <is>
          <t>1次</t>
        </is>
      </c>
      <c r="DN209" s="3" t="n">
        <v>1</v>
      </c>
      <c r="DO209" s="3" t="n">
        <v>1</v>
      </c>
      <c r="DP209" s="2" t="inlineStr">
        <is>
          <t>E.8小时以上</t>
        </is>
      </c>
      <c r="DQ209" s="7" t="n">
        <v>8</v>
      </c>
      <c r="DR209" s="7" t="n">
        <v>8</v>
      </c>
      <c r="DS209" s="7" t="n">
        <v>8</v>
      </c>
      <c r="DT209" s="7" t="n">
        <v>8</v>
      </c>
      <c r="DU209" s="2" t="inlineStr">
        <is>
          <t>数据报表类</t>
        </is>
      </c>
      <c r="DV209" s="2"/>
      <c r="DW209" s="2" t="inlineStr">
        <is>
          <t>月报</t>
        </is>
      </c>
      <c r="DX209" s="2" t="inlineStr">
        <is>
          <t>岗位职责</t>
        </is>
      </c>
      <c r="DY209" s="2" t="inlineStr">
        <is>
          <t>重要且紧急</t>
        </is>
      </c>
      <c r="DZ209" s="2" t="inlineStr">
        <is>
          <t>半标准化-有流程框架，需专业经验</t>
        </is>
      </c>
      <c r="EA209" s="2" t="inlineStr">
        <is>
          <t>极少（&lt;5%）</t>
        </is>
      </c>
      <c r="EB209" s="2" t="inlineStr">
        <is>
          <t>时效/强度负荷</t>
        </is>
      </c>
      <c r="EC209" s="2"/>
      <c r="ED209" s="2" t="inlineStr">
        <is>
          <t>e6be46c2-4d8c-4b82-9879-26490d96f131</t>
        </is>
      </c>
      <c r="EE209" s="3" t="n">
        <v>1</v>
      </c>
      <c r="EF209" s="2"/>
      <c r="EG209" s="2" t="inlineStr">
        <is>
          <t>统计局季报</t>
        </is>
      </c>
      <c r="EH209" s="2" t="inlineStr">
        <is>
          <t>1次</t>
        </is>
      </c>
      <c r="EI209" s="3" t="n">
        <v>1</v>
      </c>
      <c r="EJ209" s="2" t="inlineStr">
        <is>
          <t>E.8小时以上</t>
        </is>
      </c>
      <c r="EK209" s="7" t="n">
        <v>8</v>
      </c>
      <c r="EL209" s="7" t="n">
        <v>8</v>
      </c>
      <c r="EM209" s="7" t="n">
        <v>8</v>
      </c>
      <c r="EN209" s="7" t="n">
        <v>8</v>
      </c>
      <c r="EO209" s="2" t="inlineStr">
        <is>
          <t>数据报表类</t>
        </is>
      </c>
      <c r="EP209" s="2"/>
      <c r="EQ209" s="2" t="inlineStr">
        <is>
          <t>经营数据汇总</t>
        </is>
      </c>
      <c r="ER209" s="2" t="inlineStr">
        <is>
          <t>上级指令</t>
        </is>
      </c>
      <c r="ES209" s="2" t="inlineStr">
        <is>
          <t>重要且紧急</t>
        </is>
      </c>
      <c r="ET209" s="2" t="inlineStr">
        <is>
          <t>半标准化-有流程框架，需专业经验</t>
        </is>
      </c>
      <c r="EU209" s="2" t="inlineStr">
        <is>
          <t>极少（&lt;5%）</t>
        </is>
      </c>
      <c r="EV209" s="2" t="inlineStr">
        <is>
          <t>脑力/复杂度负荷</t>
        </is>
      </c>
      <c r="EW209" s="2"/>
      <c r="EX209" s="2" t="inlineStr">
        <is>
          <t>2e5d102c-1be4-461e-8b83-a00d9cb00734</t>
        </is>
      </c>
      <c r="EY209" s="3" t="n">
        <v>1</v>
      </c>
      <c r="EZ209" s="2"/>
      <c r="FA209" s="2" t="inlineStr">
        <is>
          <t>政府机关的查询，要求提交的文件</t>
        </is>
      </c>
      <c r="FB209" s="2" t="inlineStr">
        <is>
          <t>每月3次以上</t>
        </is>
      </c>
      <c r="FC209" s="2" t="inlineStr">
        <is>
          <t>月</t>
        </is>
      </c>
      <c r="FD209" s="3" t="n">
        <v>3</v>
      </c>
      <c r="FE209" s="3" t="n">
        <v>3</v>
      </c>
      <c r="FF209" s="2" t="inlineStr">
        <is>
          <t>D.4-8小时</t>
        </is>
      </c>
      <c r="FG209" s="7" t="n">
        <v>4</v>
      </c>
      <c r="FH209" s="7" t="n">
        <v>8</v>
      </c>
      <c r="FI209" s="7" t="n">
        <v>12</v>
      </c>
      <c r="FJ209" s="7" t="n">
        <v>24</v>
      </c>
      <c r="FK209" s="7" t="n">
        <v>0</v>
      </c>
      <c r="FL209" s="7" t="n">
        <v>0</v>
      </c>
      <c r="FM209" s="7" t="n">
        <v>0</v>
      </c>
      <c r="FN209" s="7" t="n">
        <v>0</v>
      </c>
      <c r="FO209" s="2" t="inlineStr">
        <is>
          <t>数据报表类</t>
        </is>
      </c>
      <c r="FP209" s="2"/>
      <c r="FQ209" s="2" t="inlineStr">
        <is>
          <t>监管报送</t>
        </is>
      </c>
      <c r="FR209" s="2" t="inlineStr">
        <is>
          <t>上级指令</t>
        </is>
      </c>
      <c r="FS209" s="2" t="inlineStr">
        <is>
          <t>重要且紧急</t>
        </is>
      </c>
      <c r="FT209" s="2" t="inlineStr">
        <is>
          <t>非标准化-无先例参考，需创新协调</t>
        </is>
      </c>
      <c r="FU209" s="2" t="inlineStr">
        <is>
          <t>极少（&lt;5%）</t>
        </is>
      </c>
      <c r="FV209" s="2" t="inlineStr">
        <is>
          <t>沟通/协调负荷</t>
        </is>
      </c>
      <c r="FW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t="inlineStr">
        <is>
          <t>06905806-d2e6-4f39-a444-14e899460487</t>
        </is>
      </c>
      <c r="BT210" s="3" t="n">
        <v>2</v>
      </c>
      <c r="BU210" s="2" t="inlineStr">
        <is>
          <t>协调沟通类</t>
        </is>
      </c>
      <c r="BV210" s="2" t="inlineStr">
        <is>
          <t>二级单位和各部门沟通协调，以及数据查询</t>
        </is>
      </c>
      <c r="BW210" s="2" t="inlineStr">
        <is>
          <t>2-5次</t>
        </is>
      </c>
      <c r="BX210" s="3" t="n">
        <v>2</v>
      </c>
      <c r="BY210" s="3" t="n">
        <v>5</v>
      </c>
      <c r="BZ210" s="2" t="inlineStr">
        <is>
          <t>B.2小时以内</t>
        </is>
      </c>
      <c r="CA210" s="7" t="n">
        <v>2</v>
      </c>
      <c r="CB210" s="7" t="n">
        <v>2</v>
      </c>
      <c r="CC210" s="7" t="n">
        <v>4</v>
      </c>
      <c r="CD210" s="7" t="n">
        <v>10</v>
      </c>
      <c r="CE210" s="2" t="inlineStr">
        <is>
          <t>协调沟通类</t>
        </is>
      </c>
      <c r="CF210" s="2"/>
      <c r="CG210" s="2" t="inlineStr">
        <is>
          <t>跨部门对接</t>
        </is>
      </c>
      <c r="CH210" s="2" t="inlineStr">
        <is>
          <t>跨部门协同</t>
        </is>
      </c>
      <c r="CI210" s="2" t="inlineStr">
        <is>
          <t>重要且紧急</t>
        </is>
      </c>
      <c r="CJ210" s="2" t="inlineStr">
        <is>
          <t>非标准化-无先例参考，需创新协调</t>
        </is>
      </c>
      <c r="CK210" s="2" t="inlineStr">
        <is>
          <t>极少（&lt;5%）</t>
        </is>
      </c>
      <c r="CL210" s="2" t="inlineStr">
        <is>
          <t>沟通/协调负荷</t>
        </is>
      </c>
      <c r="CM210" s="2"/>
      <c r="CN210" s="2"/>
      <c r="CO210" s="2"/>
      <c r="CP210" s="2"/>
      <c r="CQ210" s="2"/>
      <c r="CR210" s="2"/>
      <c r="CS210" s="2"/>
      <c r="CT210" s="2"/>
      <c r="CU210" s="2"/>
      <c r="CV210" s="2"/>
      <c r="CW210" s="2"/>
      <c r="CX210" s="2"/>
      <c r="CY210" s="2"/>
      <c r="CZ210" s="2"/>
      <c r="DA210" s="2"/>
      <c r="DB210" s="2"/>
      <c r="DC210" s="2"/>
      <c r="DD210" s="2"/>
      <c r="DE210" s="2"/>
      <c r="DF210" s="2"/>
      <c r="DG210" s="2"/>
      <c r="DH210" s="2"/>
      <c r="DI210" s="2" t="inlineStr">
        <is>
          <t>833d59d5-45cb-422a-89f3-d210c39e4d11</t>
        </is>
      </c>
      <c r="DJ210" s="3" t="n">
        <v>2</v>
      </c>
      <c r="DK210" s="2"/>
      <c r="DL210" s="2" t="inlineStr">
        <is>
          <t>采购经理调查</t>
        </is>
      </c>
      <c r="DM210" s="2" t="inlineStr">
        <is>
          <t>1次</t>
        </is>
      </c>
      <c r="DN210" s="3" t="n">
        <v>1</v>
      </c>
      <c r="DO210" s="3" t="n">
        <v>1</v>
      </c>
      <c r="DP210" s="2" t="inlineStr">
        <is>
          <t>D.4-8小时</t>
        </is>
      </c>
      <c r="DQ210" s="7" t="n">
        <v>4</v>
      </c>
      <c r="DR210" s="7" t="n">
        <v>8</v>
      </c>
      <c r="DS210" s="7" t="n">
        <v>4</v>
      </c>
      <c r="DT210" s="7" t="n">
        <v>8</v>
      </c>
      <c r="DU210" s="2" t="inlineStr">
        <is>
          <t>数据报表类</t>
        </is>
      </c>
      <c r="DV210" s="2"/>
      <c r="DW210" s="2" t="inlineStr">
        <is>
          <t>月报</t>
        </is>
      </c>
      <c r="DX210" s="2" t="inlineStr">
        <is>
          <t>上级指令</t>
        </is>
      </c>
      <c r="DY210" s="2" t="inlineStr">
        <is>
          <t>重要且紧急</t>
        </is>
      </c>
      <c r="DZ210" s="2" t="inlineStr">
        <is>
          <t>非标准化-无先例参考，需创新协调</t>
        </is>
      </c>
      <c r="EA210" s="2" t="inlineStr">
        <is>
          <t>极少（&lt;5%）</t>
        </is>
      </c>
      <c r="EB210" s="2" t="inlineStr">
        <is>
          <t>沟通/协调负荷</t>
        </is>
      </c>
      <c r="EC210" s="2"/>
      <c r="ED210" s="2" t="inlineStr">
        <is>
          <t>2539c561-fa33-4f4a-97b7-d00764acaa52</t>
        </is>
      </c>
      <c r="EE210" s="3" t="n">
        <v>2</v>
      </c>
      <c r="EF210" s="2"/>
      <c r="EG210" s="2" t="inlineStr">
        <is>
          <t>统计局年报</t>
        </is>
      </c>
      <c r="EH210" s="2" t="inlineStr">
        <is>
          <t>1次</t>
        </is>
      </c>
      <c r="EI210" s="3" t="n">
        <v>1</v>
      </c>
      <c r="EJ210" s="2" t="inlineStr">
        <is>
          <t>E.8小时以上</t>
        </is>
      </c>
      <c r="EK210" s="7" t="n">
        <v>8</v>
      </c>
      <c r="EL210" s="7" t="n">
        <v>8</v>
      </c>
      <c r="EM210" s="7" t="n">
        <v>8</v>
      </c>
      <c r="EN210" s="7" t="n">
        <v>8</v>
      </c>
      <c r="EO210" s="2" t="inlineStr">
        <is>
          <t>数据报表类</t>
        </is>
      </c>
      <c r="EP210" s="2"/>
      <c r="EQ210" s="2" t="inlineStr">
        <is>
          <t>监管报送</t>
        </is>
      </c>
      <c r="ER210" s="2" t="inlineStr">
        <is>
          <t>上级指令</t>
        </is>
      </c>
      <c r="ES210" s="2" t="inlineStr">
        <is>
          <t>重要且紧急</t>
        </is>
      </c>
      <c r="ET210" s="2" t="inlineStr">
        <is>
          <t>半标准化-有流程框架，需专业经验</t>
        </is>
      </c>
      <c r="EU210" s="2" t="inlineStr">
        <is>
          <t>极少（&lt;5%）</t>
        </is>
      </c>
      <c r="EV210" s="2" t="inlineStr">
        <is>
          <t>时效/强度负荷</t>
        </is>
      </c>
      <c r="EW210" s="2"/>
      <c r="EX210" s="2" t="inlineStr">
        <is>
          <t>b47601ab-1c48-45bc-bf08-e048a859163e</t>
        </is>
      </c>
      <c r="EY210" s="3" t="n">
        <v>2</v>
      </c>
      <c r="EZ210" s="2"/>
      <c r="FA210" s="2" t="inlineStr">
        <is>
          <t>上级机构走访</t>
        </is>
      </c>
      <c r="FB210" s="2" t="inlineStr">
        <is>
          <t>每年3次以上</t>
        </is>
      </c>
      <c r="FC210" s="2" t="inlineStr">
        <is>
          <t>年</t>
        </is>
      </c>
      <c r="FD210" s="3" t="n">
        <v>3</v>
      </c>
      <c r="FE210" s="3" t="n">
        <v>3</v>
      </c>
      <c r="FF210" s="2" t="inlineStr">
        <is>
          <t>D.4-8小时</t>
        </is>
      </c>
      <c r="FG210" s="7" t="n">
        <v>4</v>
      </c>
      <c r="FH210" s="7" t="n">
        <v>8</v>
      </c>
      <c r="FI210" s="7" t="n">
        <v>0</v>
      </c>
      <c r="FJ210" s="7" t="n">
        <v>0</v>
      </c>
      <c r="FK210" s="7" t="n">
        <v>0</v>
      </c>
      <c r="FL210" s="7" t="n">
        <v>0</v>
      </c>
      <c r="FM210" s="7" t="n">
        <v>12</v>
      </c>
      <c r="FN210" s="7" t="n">
        <v>24</v>
      </c>
      <c r="FO210" s="2" t="inlineStr">
        <is>
          <t>协调沟通类</t>
        </is>
      </c>
      <c r="FP210" s="2"/>
      <c r="FQ210" s="2" t="inlineStr">
        <is>
          <t>外部联络</t>
        </is>
      </c>
      <c r="FR210" s="2" t="inlineStr">
        <is>
          <t>上级指令</t>
        </is>
      </c>
      <c r="FS210" s="2" t="inlineStr">
        <is>
          <t>重要且紧急</t>
        </is>
      </c>
      <c r="FT210" s="2" t="inlineStr">
        <is>
          <t>非标准化-无先例参考，需创新协调</t>
        </is>
      </c>
      <c r="FU210" s="2" t="inlineStr">
        <is>
          <t>极少（&lt;5%）</t>
        </is>
      </c>
      <c r="FV210" s="2" t="inlineStr">
        <is>
          <t>沟通/协调负荷</t>
        </is>
      </c>
      <c r="FW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t="inlineStr">
        <is>
          <t>de95c27e-dfc6-4833-b600-52fe1e15790b</t>
        </is>
      </c>
      <c r="BT211" s="3" t="n">
        <v>3</v>
      </c>
      <c r="BU211" s="2" t="inlineStr">
        <is>
          <t>协调沟通类</t>
        </is>
      </c>
      <c r="BV211" s="2" t="inlineStr">
        <is>
          <t>依据公司领导要求，指导二级单位提交资料</t>
        </is>
      </c>
      <c r="BW211" s="2" t="inlineStr">
        <is>
          <t>2-5次</t>
        </is>
      </c>
      <c r="BX211" s="3" t="n">
        <v>2</v>
      </c>
      <c r="BY211" s="3" t="n">
        <v>5</v>
      </c>
      <c r="BZ211" s="2" t="inlineStr">
        <is>
          <t>A.20分钟以内</t>
        </is>
      </c>
      <c r="CA211" s="7" t="n">
        <v>0.33</v>
      </c>
      <c r="CB211" s="7" t="n">
        <v>0.33</v>
      </c>
      <c r="CC211" s="7" t="n">
        <v>0.66</v>
      </c>
      <c r="CD211" s="7" t="n">
        <v>1.65</v>
      </c>
      <c r="CE211" s="2" t="inlineStr">
        <is>
          <t>协调沟通类</t>
        </is>
      </c>
      <c r="CF211" s="2"/>
      <c r="CG211" s="2" t="inlineStr">
        <is>
          <t>催办</t>
        </is>
      </c>
      <c r="CH211" s="2" t="inlineStr">
        <is>
          <t>上级指令</t>
        </is>
      </c>
      <c r="CI211" s="2" t="inlineStr">
        <is>
          <t>重要且紧急</t>
        </is>
      </c>
      <c r="CJ211" s="2" t="inlineStr">
        <is>
          <t>半标准化-有流程框架，需专业经验</t>
        </is>
      </c>
      <c r="CK211" s="2" t="inlineStr">
        <is>
          <t>极少（&lt;5%）</t>
        </is>
      </c>
      <c r="CL211" s="2" t="inlineStr">
        <is>
          <t>沟通/协调负荷</t>
        </is>
      </c>
      <c r="CM211" s="2"/>
      <c r="CN211" s="2"/>
      <c r="CO211" s="2"/>
      <c r="CP211" s="2"/>
      <c r="CQ211" s="2"/>
      <c r="CR211" s="2"/>
      <c r="CS211" s="2"/>
      <c r="CT211" s="2"/>
      <c r="CU211" s="2"/>
      <c r="CV211" s="2"/>
      <c r="CW211" s="2"/>
      <c r="CX211" s="2"/>
      <c r="CY211" s="2"/>
      <c r="CZ211" s="2"/>
      <c r="DA211" s="2"/>
      <c r="DB211" s="2"/>
      <c r="DC211" s="2"/>
      <c r="DD211" s="2"/>
      <c r="DE211" s="2"/>
      <c r="DF211" s="2"/>
      <c r="DG211" s="2"/>
      <c r="DH211" s="2"/>
      <c r="DI211" s="2" t="inlineStr">
        <is>
          <t>5058b229-ec66-4584-bcce-39f4a1824987</t>
        </is>
      </c>
      <c r="DJ211" s="3" t="n">
        <v>3</v>
      </c>
      <c r="DK211" s="2"/>
      <c r="DL211" s="2" t="inlineStr">
        <is>
          <t>商务部业务统一平台</t>
        </is>
      </c>
      <c r="DM211" s="2" t="inlineStr">
        <is>
          <t>1次</t>
        </is>
      </c>
      <c r="DN211" s="3" t="n">
        <v>1</v>
      </c>
      <c r="DO211" s="3" t="n">
        <v>1</v>
      </c>
      <c r="DP211" s="2" t="inlineStr">
        <is>
          <t>E.8小时以上</t>
        </is>
      </c>
      <c r="DQ211" s="7" t="n">
        <v>8</v>
      </c>
      <c r="DR211" s="7" t="n">
        <v>8</v>
      </c>
      <c r="DS211" s="7" t="n">
        <v>8</v>
      </c>
      <c r="DT211" s="7" t="n">
        <v>8</v>
      </c>
      <c r="DU211" s="2" t="inlineStr">
        <is>
          <t>数据报表类</t>
        </is>
      </c>
      <c r="DV211" s="2"/>
      <c r="DW211" s="2" t="inlineStr">
        <is>
          <t>月报</t>
        </is>
      </c>
      <c r="DX211" s="2" t="inlineStr">
        <is>
          <t>上级指令</t>
        </is>
      </c>
      <c r="DY211" s="2" t="inlineStr">
        <is>
          <t>重要且紧急</t>
        </is>
      </c>
      <c r="DZ211" s="2" t="inlineStr">
        <is>
          <t>半标准化-有流程框架，需专业经验</t>
        </is>
      </c>
      <c r="EA211" s="2" t="inlineStr">
        <is>
          <t>极少（&lt;5%）</t>
        </is>
      </c>
      <c r="EB211" s="2" t="inlineStr">
        <is>
          <t>时效/强度负荷</t>
        </is>
      </c>
      <c r="EC211" s="2"/>
      <c r="ED211" s="2" t="inlineStr">
        <is>
          <t>a507cfe9-6fe3-41ca-b61a-06a30220c64f</t>
        </is>
      </c>
      <c r="EE211" s="3" t="n">
        <v>3</v>
      </c>
      <c r="EF211" s="2"/>
      <c r="EG211" s="2" t="inlineStr">
        <is>
          <t>商务部年报</t>
        </is>
      </c>
      <c r="EH211" s="2" t="inlineStr">
        <is>
          <t>1次</t>
        </is>
      </c>
      <c r="EI211" s="3" t="n">
        <v>1</v>
      </c>
      <c r="EJ211" s="2" t="inlineStr">
        <is>
          <t>E.8小时以上</t>
        </is>
      </c>
      <c r="EK211" s="7" t="n">
        <v>8</v>
      </c>
      <c r="EL211" s="7" t="n">
        <v>8</v>
      </c>
      <c r="EM211" s="7" t="n">
        <v>8</v>
      </c>
      <c r="EN211" s="7" t="n">
        <v>8</v>
      </c>
      <c r="EO211" s="2" t="inlineStr">
        <is>
          <t>数据报表类</t>
        </is>
      </c>
      <c r="EP211" s="2"/>
      <c r="EQ211" s="2" t="inlineStr">
        <is>
          <t>监管报送</t>
        </is>
      </c>
      <c r="ER211" s="2" t="inlineStr">
        <is>
          <t>上级指令</t>
        </is>
      </c>
      <c r="ES211" s="2" t="inlineStr">
        <is>
          <t>重要且紧急</t>
        </is>
      </c>
      <c r="ET211" s="2" t="inlineStr">
        <is>
          <t>半标准化-有流程框架，需专业经验</t>
        </is>
      </c>
      <c r="EU211" s="2" t="inlineStr">
        <is>
          <t>极少（&lt;5%）</t>
        </is>
      </c>
      <c r="EV211" s="2" t="inlineStr">
        <is>
          <t>沟通/协调负荷</t>
        </is>
      </c>
      <c r="EW211" s="2"/>
      <c r="EX211" s="2" t="inlineStr">
        <is>
          <t>ef7b5b13-1261-45aa-9336-c53115a27986</t>
        </is>
      </c>
      <c r="EY211" s="3" t="n">
        <v>3</v>
      </c>
      <c r="EZ211" s="2"/>
      <c r="FA211" s="2" t="inlineStr">
        <is>
          <t>采购经理培训</t>
        </is>
      </c>
      <c r="FB211" s="2" t="inlineStr">
        <is>
          <t>每年1-2次</t>
        </is>
      </c>
      <c r="FC211" s="2" t="inlineStr">
        <is>
          <t>年</t>
        </is>
      </c>
      <c r="FD211" s="3" t="n">
        <v>1</v>
      </c>
      <c r="FE211" s="3" t="n">
        <v>2</v>
      </c>
      <c r="FF211" s="2" t="inlineStr">
        <is>
          <t>D.4-8小时</t>
        </is>
      </c>
      <c r="FG211" s="7" t="n">
        <v>4</v>
      </c>
      <c r="FH211" s="7" t="n">
        <v>8</v>
      </c>
      <c r="FI211" s="7" t="n">
        <v>0</v>
      </c>
      <c r="FJ211" s="7" t="n">
        <v>0</v>
      </c>
      <c r="FK211" s="7" t="n">
        <v>0</v>
      </c>
      <c r="FL211" s="7" t="n">
        <v>0</v>
      </c>
      <c r="FM211" s="7" t="n">
        <v>4</v>
      </c>
      <c r="FN211" s="7" t="n">
        <v>16</v>
      </c>
      <c r="FO211" s="2" t="inlineStr">
        <is>
          <t>其他</t>
        </is>
      </c>
      <c r="FP211" s="2" t="inlineStr">
        <is>
          <t>培训</t>
        </is>
      </c>
      <c r="FQ211" s="2"/>
      <c r="FR211" s="2" t="inlineStr">
        <is>
          <t>上级指令</t>
        </is>
      </c>
      <c r="FS211" s="2" t="inlineStr">
        <is>
          <t>重要且紧急</t>
        </is>
      </c>
      <c r="FT211" s="2" t="inlineStr">
        <is>
          <t>半标准化-有流程框架，需专业经验</t>
        </is>
      </c>
      <c r="FU211" s="2" t="inlineStr">
        <is>
          <t>极少（&lt;5%）</t>
        </is>
      </c>
      <c r="FV211" s="2" t="inlineStr">
        <is>
          <t>沟通/协调负荷</t>
        </is>
      </c>
      <c r="FW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t="inlineStr">
        <is>
          <t>f43adf9a-5b40-4eed-be11-e4409c824378</t>
        </is>
      </c>
      <c r="BT212" s="3" t="n">
        <v>4</v>
      </c>
      <c r="BU212" s="2" t="inlineStr">
        <is>
          <t>数据报表类</t>
        </is>
      </c>
      <c r="BV212" s="2" t="inlineStr">
        <is>
          <t>更新完善优化台账</t>
        </is>
      </c>
      <c r="BW212" s="2" t="inlineStr">
        <is>
          <t>1次</t>
        </is>
      </c>
      <c r="BX212" s="3" t="n">
        <v>1</v>
      </c>
      <c r="BY212" s="3" t="n">
        <v>1</v>
      </c>
      <c r="BZ212" s="2" t="inlineStr">
        <is>
          <t>C.2-4小时</t>
        </is>
      </c>
      <c r="CA212" s="7" t="n">
        <v>2</v>
      </c>
      <c r="CB212" s="7" t="n">
        <v>4</v>
      </c>
      <c r="CC212" s="7" t="n">
        <v>2</v>
      </c>
      <c r="CD212" s="7" t="n">
        <v>4</v>
      </c>
      <c r="CE212" s="2" t="inlineStr">
        <is>
          <t>数据报表类</t>
        </is>
      </c>
      <c r="CF212" s="2"/>
      <c r="CG212" s="2" t="inlineStr">
        <is>
          <t>专项统计</t>
        </is>
      </c>
      <c r="CH212" s="2" t="inlineStr">
        <is>
          <t>上级指令</t>
        </is>
      </c>
      <c r="CI212" s="2" t="inlineStr">
        <is>
          <t>重要且紧急</t>
        </is>
      </c>
      <c r="CJ212" s="2" t="inlineStr">
        <is>
          <t>非标准化-无先例参考，需创新协调</t>
        </is>
      </c>
      <c r="CK212" s="2" t="inlineStr">
        <is>
          <t>极少（&lt;5%）</t>
        </is>
      </c>
      <c r="CL212" s="2" t="inlineStr">
        <is>
          <t>脑力/复杂度负荷</t>
        </is>
      </c>
      <c r="CM212" s="2"/>
      <c r="CN212" s="2"/>
      <c r="CO212" s="2"/>
      <c r="CP212" s="2"/>
      <c r="CQ212" s="2"/>
      <c r="CR212" s="2"/>
      <c r="CS212" s="2"/>
      <c r="CT212" s="2"/>
      <c r="CU212" s="2"/>
      <c r="CV212" s="2"/>
      <c r="CW212" s="2"/>
      <c r="CX212" s="2"/>
      <c r="CY212" s="2"/>
      <c r="CZ212" s="2"/>
      <c r="DA212" s="2"/>
      <c r="DB212" s="2"/>
      <c r="DC212" s="2"/>
      <c r="DD212" s="2"/>
      <c r="DE212" s="2"/>
      <c r="DF212" s="2"/>
      <c r="DG212" s="2"/>
      <c r="DH212" s="2"/>
      <c r="DI212" s="2" t="inlineStr">
        <is>
          <t>0e78cd36-99a3-43fa-91e7-7f3942c947dd</t>
        </is>
      </c>
      <c r="DJ212" s="3" t="n">
        <v>4</v>
      </c>
      <c r="DK212" s="2"/>
      <c r="DL212" s="2" t="inlineStr">
        <is>
          <t>项目管理公司产值月报</t>
        </is>
      </c>
      <c r="DM212" s="2" t="inlineStr">
        <is>
          <t>1次</t>
        </is>
      </c>
      <c r="DN212" s="3" t="n">
        <v>1</v>
      </c>
      <c r="DO212" s="3" t="n">
        <v>1</v>
      </c>
      <c r="DP212" s="2" t="inlineStr">
        <is>
          <t>E.8小时以上</t>
        </is>
      </c>
      <c r="DQ212" s="7" t="n">
        <v>8</v>
      </c>
      <c r="DR212" s="7" t="n">
        <v>8</v>
      </c>
      <c r="DS212" s="7" t="n">
        <v>8</v>
      </c>
      <c r="DT212" s="7" t="n">
        <v>8</v>
      </c>
      <c r="DU212" s="2" t="inlineStr">
        <is>
          <t>数据报表类</t>
        </is>
      </c>
      <c r="DV212" s="2"/>
      <c r="DW212" s="2" t="inlineStr">
        <is>
          <t>月报</t>
        </is>
      </c>
      <c r="DX212" s="2" t="inlineStr">
        <is>
          <t>跨部门协同</t>
        </is>
      </c>
      <c r="DY212" s="2" t="inlineStr">
        <is>
          <t>重要且紧急</t>
        </is>
      </c>
      <c r="DZ212" s="2" t="inlineStr">
        <is>
          <t>半标准化-有流程框架，需专业经验</t>
        </is>
      </c>
      <c r="EA212" s="2" t="inlineStr">
        <is>
          <t>极少（&lt;5%）</t>
        </is>
      </c>
      <c r="EB212" s="2" t="inlineStr">
        <is>
          <t>时效/强度负荷</t>
        </is>
      </c>
      <c r="EC212" s="2"/>
      <c r="ED212" s="2" t="inlineStr">
        <is>
          <t>062d1f28-4563-4e7c-bfc5-6eda3bf36551</t>
        </is>
      </c>
      <c r="EE212" s="3" t="n">
        <v>4</v>
      </c>
      <c r="EF212" s="2"/>
      <c r="EG212" s="2" t="inlineStr">
        <is>
          <t>采购经理年报</t>
        </is>
      </c>
      <c r="EH212" s="2" t="inlineStr">
        <is>
          <t>1次</t>
        </is>
      </c>
      <c r="EI212" s="3" t="n">
        <v>1</v>
      </c>
      <c r="EJ212" s="2" t="inlineStr">
        <is>
          <t>E.8小时以上</t>
        </is>
      </c>
      <c r="EK212" s="7" t="n">
        <v>8</v>
      </c>
      <c r="EL212" s="7" t="n">
        <v>8</v>
      </c>
      <c r="EM212" s="7" t="n">
        <v>8</v>
      </c>
      <c r="EN212" s="7" t="n">
        <v>8</v>
      </c>
      <c r="EO212" s="2" t="inlineStr">
        <is>
          <t>数据报表类</t>
        </is>
      </c>
      <c r="EP212" s="2"/>
      <c r="EQ212" s="2" t="inlineStr">
        <is>
          <t>监管报送</t>
        </is>
      </c>
      <c r="ER212" s="2" t="inlineStr">
        <is>
          <t>上级指令</t>
        </is>
      </c>
      <c r="ES212" s="2" t="inlineStr">
        <is>
          <t>重要且紧急</t>
        </is>
      </c>
      <c r="ET212" s="2" t="inlineStr">
        <is>
          <t>半标准化-有流程框架，需专业经验</t>
        </is>
      </c>
      <c r="EU212" s="2" t="inlineStr">
        <is>
          <t>极少（&lt;5%）</t>
        </is>
      </c>
      <c r="EV212" s="2" t="inlineStr">
        <is>
          <t>时效/强度负荷</t>
        </is>
      </c>
      <c r="EW212" s="2"/>
      <c r="EX212" s="2" t="inlineStr">
        <is>
          <t>21e1042e-2424-4592-91c5-f6ae4545e864</t>
        </is>
      </c>
      <c r="EY212" s="3" t="n">
        <v>4</v>
      </c>
      <c r="EZ212" s="2"/>
      <c r="FA212" s="2" t="inlineStr">
        <is>
          <t>统计年报月报培训</t>
        </is>
      </c>
      <c r="FB212" s="2" t="inlineStr">
        <is>
          <t>每年1-2次</t>
        </is>
      </c>
      <c r="FC212" s="2" t="inlineStr">
        <is>
          <t>年</t>
        </is>
      </c>
      <c r="FD212" s="3" t="n">
        <v>1</v>
      </c>
      <c r="FE212" s="3" t="n">
        <v>2</v>
      </c>
      <c r="FF212" s="2" t="inlineStr">
        <is>
          <t>D.4-8小时</t>
        </is>
      </c>
      <c r="FG212" s="7" t="n">
        <v>4</v>
      </c>
      <c r="FH212" s="7" t="n">
        <v>8</v>
      </c>
      <c r="FI212" s="7" t="n">
        <v>0</v>
      </c>
      <c r="FJ212" s="7" t="n">
        <v>0</v>
      </c>
      <c r="FK212" s="7" t="n">
        <v>0</v>
      </c>
      <c r="FL212" s="7" t="n">
        <v>0</v>
      </c>
      <c r="FM212" s="7" t="n">
        <v>4</v>
      </c>
      <c r="FN212" s="7" t="n">
        <v>16</v>
      </c>
      <c r="FO212" s="2" t="inlineStr">
        <is>
          <t>其他</t>
        </is>
      </c>
      <c r="FP212" s="2" t="inlineStr">
        <is>
          <t>培训</t>
        </is>
      </c>
      <c r="FQ212" s="2"/>
      <c r="FR212" s="2" t="inlineStr">
        <is>
          <t>上级指令</t>
        </is>
      </c>
      <c r="FS212" s="2" t="inlineStr">
        <is>
          <t>重要且紧急</t>
        </is>
      </c>
      <c r="FT212" s="2" t="inlineStr">
        <is>
          <t>半标准化-有流程框架，需专业经验</t>
        </is>
      </c>
      <c r="FU212" s="2" t="inlineStr">
        <is>
          <t>极少（&lt;5%）</t>
        </is>
      </c>
      <c r="FV212" s="2" t="inlineStr">
        <is>
          <t>沟通/协调负荷</t>
        </is>
      </c>
      <c r="FW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t="inlineStr">
        <is>
          <t>65b49e22-577c-439b-8a1f-5afd910ec124</t>
        </is>
      </c>
      <c r="DJ213" s="3" t="n">
        <v>5</v>
      </c>
      <c r="DK213" s="2"/>
      <c r="DL213" s="2" t="inlineStr">
        <is>
          <t>项目管理公司固定资产报表</t>
        </is>
      </c>
      <c r="DM213" s="2" t="inlineStr">
        <is>
          <t>1次</t>
        </is>
      </c>
      <c r="DN213" s="3" t="n">
        <v>1</v>
      </c>
      <c r="DO213" s="3" t="n">
        <v>1</v>
      </c>
      <c r="DP213" s="2" t="inlineStr">
        <is>
          <t>D.4-8小时</t>
        </is>
      </c>
      <c r="DQ213" s="7" t="n">
        <v>4</v>
      </c>
      <c r="DR213" s="7" t="n">
        <v>8</v>
      </c>
      <c r="DS213" s="7" t="n">
        <v>4</v>
      </c>
      <c r="DT213" s="7" t="n">
        <v>8</v>
      </c>
      <c r="DU213" s="2" t="inlineStr">
        <is>
          <t>数据报表类</t>
        </is>
      </c>
      <c r="DV213" s="2"/>
      <c r="DW213" s="2" t="inlineStr">
        <is>
          <t>月报</t>
        </is>
      </c>
      <c r="DX213" s="2" t="inlineStr">
        <is>
          <t>跨部门协同</t>
        </is>
      </c>
      <c r="DY213" s="2" t="inlineStr">
        <is>
          <t>重要且紧急</t>
        </is>
      </c>
      <c r="DZ213" s="2" t="inlineStr">
        <is>
          <t>半标准化-有流程框架，需专业经验</t>
        </is>
      </c>
      <c r="EA213" s="2" t="inlineStr">
        <is>
          <t>极少（&lt;5%）</t>
        </is>
      </c>
      <c r="EB213" s="2" t="inlineStr">
        <is>
          <t>沟通/协调负荷</t>
        </is>
      </c>
      <c r="EC213" s="2"/>
      <c r="ED213" s="2"/>
      <c r="EE213" s="2"/>
      <c r="EF213" s="2"/>
      <c r="EG213" s="2"/>
      <c r="EH213" s="2"/>
      <c r="EI213" s="2"/>
      <c r="EJ213" s="2"/>
      <c r="EK213" s="2"/>
      <c r="EL213" s="2"/>
      <c r="EM213" s="2"/>
      <c r="EN213" s="2"/>
      <c r="EO213" s="2"/>
      <c r="EP213" s="2"/>
      <c r="EQ213" s="2"/>
      <c r="ER213" s="2"/>
      <c r="ES213" s="2"/>
      <c r="ET213" s="2"/>
      <c r="EU213" s="2"/>
      <c r="EV213" s="2"/>
      <c r="EW213" s="2"/>
      <c r="EX213" s="2" t="inlineStr">
        <is>
          <t>dbbc7f1c-8cb6-4a36-9b20-b3ea0b063c70</t>
        </is>
      </c>
      <c r="EY213" s="3" t="n">
        <v>5</v>
      </c>
      <c r="EZ213" s="2"/>
      <c r="FA213" s="2" t="inlineStr">
        <is>
          <t>执法大队抽查</t>
        </is>
      </c>
      <c r="FB213" s="2" t="inlineStr">
        <is>
          <t>也有可能不发生</t>
        </is>
      </c>
      <c r="FC213" s="2" t="inlineStr">
        <is>
          <t>无</t>
        </is>
      </c>
      <c r="FD213" s="3" t="n">
        <v>0</v>
      </c>
      <c r="FE213" s="3" t="n">
        <v>0</v>
      </c>
      <c r="FF213" s="2" t="inlineStr">
        <is>
          <t>E.8小时以上</t>
        </is>
      </c>
      <c r="FG213" s="7" t="n">
        <v>8</v>
      </c>
      <c r="FH213" s="7" t="n">
        <v>8</v>
      </c>
      <c r="FI213" s="7" t="n">
        <v>0</v>
      </c>
      <c r="FJ213" s="7" t="n">
        <v>0</v>
      </c>
      <c r="FK213" s="7" t="n">
        <v>0</v>
      </c>
      <c r="FL213" s="7" t="n">
        <v>0</v>
      </c>
      <c r="FM213" s="7" t="n">
        <v>0</v>
      </c>
      <c r="FN213" s="7" t="n">
        <v>0</v>
      </c>
      <c r="FO213" s="2" t="inlineStr">
        <is>
          <t>综合管理类</t>
        </is>
      </c>
      <c r="FP213" s="2"/>
      <c r="FQ213" s="2" t="inlineStr">
        <is>
          <t>综合性汇报组织</t>
        </is>
      </c>
      <c r="FR213" s="2" t="inlineStr">
        <is>
          <t>上级指令</t>
        </is>
      </c>
      <c r="FS213" s="2" t="inlineStr">
        <is>
          <t>重要且紧急</t>
        </is>
      </c>
      <c r="FT213" s="2" t="inlineStr">
        <is>
          <t>非标准化-无先例参考，需创新协调</t>
        </is>
      </c>
      <c r="FU213" s="2" t="inlineStr">
        <is>
          <t>极少（&lt;5%）</t>
        </is>
      </c>
      <c r="FV213" s="2" t="inlineStr">
        <is>
          <t>沟通/协调负荷</t>
        </is>
      </c>
      <c r="FW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t="inlineStr">
        <is>
          <t>8fb38412-aebf-4aad-9876-e33bc164c74b</t>
        </is>
      </c>
      <c r="DJ214" s="3" t="n">
        <v>6</v>
      </c>
      <c r="DK214" s="2"/>
      <c r="DL214" s="2" t="inlineStr">
        <is>
          <t>收集产值、计划、进度、月报等信息并汇总分析</t>
        </is>
      </c>
      <c r="DM214" s="2" t="inlineStr">
        <is>
          <t>8次以上</t>
        </is>
      </c>
      <c r="DN214" s="3" t="n">
        <v>8</v>
      </c>
      <c r="DO214" s="3" t="n">
        <v>8</v>
      </c>
      <c r="DP214" s="2" t="inlineStr">
        <is>
          <t>B.2小时以内</t>
        </is>
      </c>
      <c r="DQ214" s="7" t="n">
        <v>2</v>
      </c>
      <c r="DR214" s="7" t="n">
        <v>2</v>
      </c>
      <c r="DS214" s="7" t="n">
        <v>16</v>
      </c>
      <c r="DT214" s="7" t="n">
        <v>16</v>
      </c>
      <c r="DU214" s="2" t="inlineStr">
        <is>
          <t>数据报表类</t>
        </is>
      </c>
      <c r="DV214" s="2"/>
      <c r="DW214" s="2" t="inlineStr">
        <is>
          <t>监管报送</t>
        </is>
      </c>
      <c r="DX214" s="2" t="inlineStr">
        <is>
          <t>跨部门协同</t>
        </is>
      </c>
      <c r="DY214" s="2" t="inlineStr">
        <is>
          <t>重要且紧急</t>
        </is>
      </c>
      <c r="DZ214" s="2" t="inlineStr">
        <is>
          <t>非标准化-无先例参考，需创新协调</t>
        </is>
      </c>
      <c r="EA214" s="2" t="inlineStr">
        <is>
          <t>极少（&lt;5%）</t>
        </is>
      </c>
      <c r="EB214" s="2" t="inlineStr">
        <is>
          <t>时效/强度负荷</t>
        </is>
      </c>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row>
    <row r="215">
      <c r="A215" s="2" t="inlineStr">
        <is>
          <t>2026-05-13 15:08:46</t>
        </is>
      </c>
      <c r="B215" s="2" t="inlineStr">
        <is>
          <t>台庆庆</t>
        </is>
      </c>
      <c r="C215" s="2" t="inlineStr">
        <is>
          <t>合同管理部</t>
        </is>
      </c>
      <c r="D215" s="2" t="inlineStr">
        <is>
          <t>女</t>
        </is>
      </c>
      <c r="E215" s="2" t="inlineStr">
        <is>
          <t>340403198406121626</t>
        </is>
      </c>
      <c r="F215" s="2" t="inlineStr">
        <is>
          <t>专业工程师</t>
        </is>
      </c>
      <c r="G215" s="2" t="inlineStr">
        <is>
          <t>2003-08</t>
        </is>
      </c>
      <c r="H215" s="2" t="inlineStr">
        <is>
          <t>安徽淮南化校</t>
        </is>
      </c>
      <c r="I215" s="2" t="inlineStr">
        <is>
          <t>电气</t>
        </is>
      </c>
      <c r="J215" s="2" t="inlineStr">
        <is>
          <t>中专</t>
        </is>
      </c>
      <c r="K215" s="2"/>
      <c r="L215" s="6">
        <f>HYPERLINK("https://www.h3yun.com/Form/Attachments/?schemacode=D1483577de63ede327d4760b10664bd57671d7e&amp;bizObjectId=cd429a04-051a-49c0-9bf6-b72442a01cc7&amp;name=F0000046","点击查看")</f>
        <v>0</v>
      </c>
      <c r="M215" s="2" t="inlineStr">
        <is>
          <t>简化审批流程</t>
        </is>
      </c>
      <c r="N215" s="2" t="inlineStr">
        <is>
          <t>每日工作;每周工作;每月工作;临时/突发工作</t>
        </is>
      </c>
      <c r="O215" s="2" t="inlineStr">
        <is>
          <t>41-45岁</t>
        </is>
      </c>
      <c r="P215" s="2" t="inlineStr">
        <is>
          <t>C.已婚已育</t>
        </is>
      </c>
      <c r="Q215" s="2" t="inlineStr">
        <is>
          <t>A.否</t>
        </is>
      </c>
      <c r="R215" s="2" t="inlineStr">
        <is>
          <t>A.否</t>
        </is>
      </c>
      <c r="S215" s="2" t="inlineStr">
        <is>
          <t>C.希望工作压力适中，但职责边界更清晰</t>
        </is>
      </c>
      <c r="T215" s="2" t="inlineStr">
        <is>
          <t>B.工作内容可接受，但负荷偏重</t>
        </is>
      </c>
      <c r="U215" s="2" t="inlineStr">
        <is>
          <t>D.明确职责边界</t>
        </is>
      </c>
      <c r="V215" s="2" t="inlineStr">
        <is>
          <t>A.没有</t>
        </is>
      </c>
      <c r="W215" s="2"/>
      <c r="X215" s="2" t="inlineStr">
        <is>
          <t>B.满负荷 (100%-120%)</t>
        </is>
      </c>
      <c r="Y215" s="2" t="inlineStr">
        <is>
          <t>B.上游资料不全，导致反复沟通/返工</t>
        </is>
      </c>
      <c r="Z215" s="2" t="inlineStr">
        <is>
          <t>催办</t>
        </is>
      </c>
      <c r="AA215" s="2" t="inlineStr">
        <is>
          <t>催办</t>
        </is>
      </c>
      <c r="AB215" s="2" t="inlineStr">
        <is>
          <t>信息化管理流程</t>
        </is>
      </c>
      <c r="AC215" s="2" t="inlineStr">
        <is>
          <t>B.基本匹配（正常履行）</t>
        </is>
      </c>
      <c r="AD215" s="2" t="inlineStr">
        <is>
          <t>优化审批流程</t>
        </is>
      </c>
      <c r="AE215" s="2"/>
      <c r="AF215" s="2"/>
      <c r="AG215" s="2" t="inlineStr">
        <is>
          <t>B.配偶为公司家属，常驻项目，个人承担更多</t>
        </is>
      </c>
      <c r="AH215" s="2" t="inlineStr">
        <is>
          <t>C.无意向</t>
        </is>
      </c>
      <c r="AI215" s="7" t="n">
        <v>23.3</v>
      </c>
      <c r="AJ215" s="7" t="n">
        <v>23.3</v>
      </c>
      <c r="AK215" s="7" t="n">
        <v>0.8</v>
      </c>
      <c r="AL215" s="7" t="n">
        <v>2.4</v>
      </c>
      <c r="AM215" s="7" t="n">
        <v>0.27</v>
      </c>
      <c r="AN215" s="7" t="n">
        <v>0.36</v>
      </c>
      <c r="AO215" s="7" t="n">
        <v>0</v>
      </c>
      <c r="AP215" s="7" t="n">
        <v>0</v>
      </c>
      <c r="AQ215" s="7" t="n">
        <v>0.03</v>
      </c>
      <c r="AR215" s="7" t="n">
        <v>0.06</v>
      </c>
      <c r="AS215" s="7" t="n">
        <v>24.4</v>
      </c>
      <c r="AT215" s="7" t="n">
        <v>26.13</v>
      </c>
      <c r="AU215" s="7" t="n">
        <v>25.27</v>
      </c>
      <c r="AV215" s="2" t="inlineStr">
        <is>
          <t>超负荷</t>
        </is>
      </c>
      <c r="AW215" s="2" t="inlineStr">
        <is>
          <t>不一致</t>
        </is>
      </c>
      <c r="AX215" s="2" t="inlineStr">
        <is>
          <t>cd429a04-051a-49c0-9bf6-b72442a01cc7</t>
        </is>
      </c>
      <c r="AY215" s="2" t="inlineStr">
        <is>
          <t>合同管理部    台庆庆</t>
        </is>
      </c>
      <c r="AZ215" s="2" t="inlineStr">
        <is>
          <t>Anonymous</t>
        </is>
      </c>
      <c r="BA215" s="2" t="inlineStr">
        <is>
          <t>Anonymous</t>
        </is>
      </c>
      <c r="BB215" s="2"/>
      <c r="BC215" s="2" t="inlineStr">
        <is>
          <t>2026-05-21 08:43:22</t>
        </is>
      </c>
      <c r="BD215" s="3" t="n">
        <v>1984</v>
      </c>
      <c r="BE215" s="3" t="n">
        <v>42</v>
      </c>
      <c r="BF215" s="2" t="inlineStr">
        <is>
          <t>A.无此需求</t>
        </is>
      </c>
      <c r="BG215" s="2" t="inlineStr">
        <is>
          <t>已生效</t>
        </is>
      </c>
      <c r="BH215" s="2" t="inlineStr">
        <is>
          <t>ae3f7a82-f306-4e41-a8d8-f6abfbbf1495</t>
        </is>
      </c>
      <c r="BI215" s="3" t="n">
        <v>1</v>
      </c>
      <c r="BJ215" s="2"/>
      <c r="BK215" s="2"/>
      <c r="BL215" s="2"/>
      <c r="BM215" s="2"/>
      <c r="BN215" s="2"/>
      <c r="BO215" s="2"/>
      <c r="BP215" s="2"/>
      <c r="BQ215" s="2"/>
      <c r="BR215" s="2"/>
      <c r="BS215" s="2" t="inlineStr">
        <is>
          <t>723ac91f-eecc-4e62-b89c-5dee1a0ef06e</t>
        </is>
      </c>
      <c r="BT215" s="3" t="n">
        <v>1</v>
      </c>
      <c r="BU215" s="2" t="inlineStr">
        <is>
          <t>专业技术类</t>
        </is>
      </c>
      <c r="BV215" s="2" t="inlineStr">
        <is>
          <t>分包合同管理</t>
        </is>
      </c>
      <c r="BW215" s="2" t="inlineStr">
        <is>
          <t>10次以上</t>
        </is>
      </c>
      <c r="BX215" s="3" t="n">
        <v>10</v>
      </c>
      <c r="BY215" s="3" t="n">
        <v>10</v>
      </c>
      <c r="BZ215" s="2" t="inlineStr">
        <is>
          <t>B.2小时以内</t>
        </is>
      </c>
      <c r="CA215" s="7" t="n">
        <v>2</v>
      </c>
      <c r="CB215" s="7" t="n">
        <v>2</v>
      </c>
      <c r="CC215" s="7" t="n">
        <v>20</v>
      </c>
      <c r="CD215" s="7" t="n">
        <v>20</v>
      </c>
      <c r="CE215" s="2" t="inlineStr">
        <is>
          <t>专业技术类</t>
        </is>
      </c>
      <c r="CF215" s="2"/>
      <c r="CG215" s="2" t="inlineStr">
        <is>
          <t>专业问题协调</t>
        </is>
      </c>
      <c r="CH215" s="2" t="inlineStr">
        <is>
          <t>岗位职责</t>
        </is>
      </c>
      <c r="CI215" s="2" t="inlineStr">
        <is>
          <t>重要且紧急</t>
        </is>
      </c>
      <c r="CJ215" s="2" t="inlineStr">
        <is>
          <t>半标准化-有流程框架，需专业经验</t>
        </is>
      </c>
      <c r="CK215" s="2" t="inlineStr">
        <is>
          <t>极少（&lt;5%）</t>
        </is>
      </c>
      <c r="CL215" s="2" t="inlineStr">
        <is>
          <t>脑力/复杂度负荷</t>
        </is>
      </c>
      <c r="CM215" s="2"/>
      <c r="CN215" s="2" t="inlineStr">
        <is>
          <t>38118015-7de7-44fe-8b92-f5617e30bdba</t>
        </is>
      </c>
      <c r="CO215" s="3" t="n">
        <v>1</v>
      </c>
      <c r="CP215" s="2"/>
      <c r="CQ215" s="2" t="inlineStr">
        <is>
          <t>江苏省合同归集</t>
        </is>
      </c>
      <c r="CR215" s="2" t="inlineStr">
        <is>
          <t>2-3次</t>
        </is>
      </c>
      <c r="CS215" s="3" t="n">
        <v>2</v>
      </c>
      <c r="CT215" s="3" t="n">
        <v>3</v>
      </c>
      <c r="CU215" s="2" t="inlineStr">
        <is>
          <t>C.2-4小时</t>
        </is>
      </c>
      <c r="CV215" s="7" t="n">
        <v>2</v>
      </c>
      <c r="CW215" s="7" t="n">
        <v>4</v>
      </c>
      <c r="CX215" s="7" t="n">
        <v>4</v>
      </c>
      <c r="CY215" s="7" t="n">
        <v>12</v>
      </c>
      <c r="CZ215" s="2" t="inlineStr">
        <is>
          <t>专业技术类</t>
        </is>
      </c>
      <c r="DA215" s="2"/>
      <c r="DB215" s="2" t="inlineStr">
        <is>
          <t>专业问题协调</t>
        </is>
      </c>
      <c r="DC215" s="2" t="inlineStr">
        <is>
          <t>上级指令</t>
        </is>
      </c>
      <c r="DD215" s="2" t="inlineStr">
        <is>
          <t>重要且紧急</t>
        </is>
      </c>
      <c r="DE215" s="2" t="inlineStr">
        <is>
          <t>半标准化-有流程框架，需专业经验</t>
        </is>
      </c>
      <c r="DF215" s="2" t="inlineStr">
        <is>
          <t>极少（&lt;5%）</t>
        </is>
      </c>
      <c r="DG215" s="2" t="inlineStr">
        <is>
          <t>沟通/协调负荷</t>
        </is>
      </c>
      <c r="DH215" s="2"/>
      <c r="DI215" s="2" t="inlineStr">
        <is>
          <t>da1d2fb7-9ef3-4986-a9f6-971984d281ba</t>
        </is>
      </c>
      <c r="DJ215" s="3" t="n">
        <v>1</v>
      </c>
      <c r="DK215" s="2"/>
      <c r="DL215" s="2" t="inlineStr">
        <is>
          <t>南京市实名制申报</t>
        </is>
      </c>
      <c r="DM215" s="2" t="inlineStr">
        <is>
          <t>2-3次</t>
        </is>
      </c>
      <c r="DN215" s="3" t="n">
        <v>2</v>
      </c>
      <c r="DO215" s="3" t="n">
        <v>3</v>
      </c>
      <c r="DP215" s="2" t="inlineStr">
        <is>
          <t>B.2小时以内</t>
        </is>
      </c>
      <c r="DQ215" s="7" t="n">
        <v>2</v>
      </c>
      <c r="DR215" s="7" t="n">
        <v>2</v>
      </c>
      <c r="DS215" s="7" t="n">
        <v>4</v>
      </c>
      <c r="DT215" s="7" t="n">
        <v>6</v>
      </c>
      <c r="DU215" s="2" t="inlineStr">
        <is>
          <t>协调沟通类</t>
        </is>
      </c>
      <c r="DV215" s="2"/>
      <c r="DW215" s="2" t="inlineStr">
        <is>
          <t>外部联络</t>
        </is>
      </c>
      <c r="DX215" s="2" t="inlineStr">
        <is>
          <t>上级指令</t>
        </is>
      </c>
      <c r="DY215" s="2" t="inlineStr">
        <is>
          <t>重要且紧急</t>
        </is>
      </c>
      <c r="DZ215" s="2" t="inlineStr">
        <is>
          <t>半标准化-有流程框架，需专业经验</t>
        </is>
      </c>
      <c r="EA215" s="2" t="inlineStr">
        <is>
          <t>极少（&lt;5%）</t>
        </is>
      </c>
      <c r="EB215" s="2" t="inlineStr">
        <is>
          <t>沟通/协调负荷</t>
        </is>
      </c>
      <c r="EC215" s="2"/>
      <c r="ED215" s="2" t="inlineStr">
        <is>
          <t>9424b4a6-b0c8-4b10-8452-921aaeaf7c91</t>
        </is>
      </c>
      <c r="EE215" s="3" t="n">
        <v>1</v>
      </c>
      <c r="EF215" s="2"/>
      <c r="EG215" s="2"/>
      <c r="EH215" s="2"/>
      <c r="EI215" s="3"/>
      <c r="EJ215" s="2"/>
      <c r="EK215" s="3"/>
      <c r="EL215" s="3"/>
      <c r="EM215" s="3"/>
      <c r="EN215" s="3"/>
      <c r="EO215" s="2"/>
      <c r="EP215" s="2"/>
      <c r="EQ215" s="2"/>
      <c r="ER215" s="2"/>
      <c r="ES215" s="2"/>
      <c r="ET215" s="2"/>
      <c r="EU215" s="2"/>
      <c r="EV215" s="2"/>
      <c r="EW215" s="2"/>
      <c r="EX215" s="2" t="inlineStr">
        <is>
          <t>14649124-a02d-4903-bafb-62d855135511</t>
        </is>
      </c>
      <c r="EY215" s="3" t="n">
        <v>1</v>
      </c>
      <c r="EZ215" s="2"/>
      <c r="FA215" s="2" t="inlineStr">
        <is>
          <t>项目出差</t>
        </is>
      </c>
      <c r="FB215" s="2" t="inlineStr">
        <is>
          <t>每年1-2次</t>
        </is>
      </c>
      <c r="FC215" s="2" t="inlineStr">
        <is>
          <t>年</t>
        </is>
      </c>
      <c r="FD215" s="3" t="n">
        <v>1</v>
      </c>
      <c r="FE215" s="3" t="n">
        <v>2</v>
      </c>
      <c r="FF215" s="2" t="inlineStr">
        <is>
          <t>E.8小时以上</t>
        </is>
      </c>
      <c r="FG215" s="7" t="n">
        <v>8</v>
      </c>
      <c r="FH215" s="7" t="n">
        <v>8</v>
      </c>
      <c r="FI215" s="7" t="n">
        <v>0</v>
      </c>
      <c r="FJ215" s="7" t="n">
        <v>0</v>
      </c>
      <c r="FK215" s="7" t="n">
        <v>0</v>
      </c>
      <c r="FL215" s="7" t="n">
        <v>0</v>
      </c>
      <c r="FM215" s="7" t="n">
        <v>8</v>
      </c>
      <c r="FN215" s="7" t="n">
        <v>16</v>
      </c>
      <c r="FO215" s="2" t="inlineStr">
        <is>
          <t>综合管理类</t>
        </is>
      </c>
      <c r="FP215" s="2"/>
      <c r="FQ215" s="2" t="inlineStr">
        <is>
          <t>专题工作推进</t>
        </is>
      </c>
      <c r="FR215" s="2" t="inlineStr">
        <is>
          <t>上级指令</t>
        </is>
      </c>
      <c r="FS215" s="2" t="inlineStr">
        <is>
          <t>重要且紧急</t>
        </is>
      </c>
      <c r="FT215" s="2" t="inlineStr">
        <is>
          <t>非标准化-无先例参考，需创新协调</t>
        </is>
      </c>
      <c r="FU215" s="2" t="inlineStr">
        <is>
          <t>极少（&lt;5%）</t>
        </is>
      </c>
      <c r="FV215" s="2" t="inlineStr">
        <is>
          <t>脑力/复杂度负荷</t>
        </is>
      </c>
      <c r="FW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t="inlineStr">
        <is>
          <t>8820e4d9-63ab-4c56-928b-fa55c978e6a5</t>
        </is>
      </c>
      <c r="BT216" s="3" t="n">
        <v>2</v>
      </c>
      <c r="BU216" s="2" t="inlineStr">
        <is>
          <t>专业技术类</t>
        </is>
      </c>
      <c r="BV216" s="2" t="inlineStr">
        <is>
          <t>综合支出合同管理</t>
        </is>
      </c>
      <c r="BW216" s="2" t="inlineStr">
        <is>
          <t>10次以上</t>
        </is>
      </c>
      <c r="BX216" s="3" t="n">
        <v>10</v>
      </c>
      <c r="BY216" s="3" t="n">
        <v>10</v>
      </c>
      <c r="BZ216" s="2" t="inlineStr">
        <is>
          <t>A.20分钟以内</t>
        </is>
      </c>
      <c r="CA216" s="7" t="n">
        <v>0.33</v>
      </c>
      <c r="CB216" s="7" t="n">
        <v>0.33</v>
      </c>
      <c r="CC216" s="7" t="n">
        <v>3.3</v>
      </c>
      <c r="CD216" s="7" t="n">
        <v>3.3</v>
      </c>
      <c r="CE216" s="2" t="inlineStr">
        <is>
          <t>专业技术类</t>
        </is>
      </c>
      <c r="CF216" s="2"/>
      <c r="CG216" s="2" t="inlineStr">
        <is>
          <t>专业问题协调</t>
        </is>
      </c>
      <c r="CH216" s="2" t="inlineStr">
        <is>
          <t>岗位职责</t>
        </is>
      </c>
      <c r="CI216" s="2" t="inlineStr">
        <is>
          <t>重要且紧急</t>
        </is>
      </c>
      <c r="CJ216" s="2" t="inlineStr">
        <is>
          <t>半标准化-有流程框架，需专业经验</t>
        </is>
      </c>
      <c r="CK216" s="2" t="inlineStr">
        <is>
          <t>极少（&lt;5%）</t>
        </is>
      </c>
      <c r="CL216" s="2" t="inlineStr">
        <is>
          <t>脑力/复杂度负荷</t>
        </is>
      </c>
      <c r="CM216" s="2"/>
      <c r="CN216" s="2"/>
      <c r="CO216" s="2"/>
      <c r="CP216" s="2"/>
      <c r="CQ216" s="2"/>
      <c r="CR216" s="2"/>
      <c r="CS216" s="2"/>
      <c r="CT216" s="2"/>
      <c r="CU216" s="2"/>
      <c r="CV216" s="2"/>
      <c r="CW216" s="2"/>
      <c r="CX216" s="2"/>
      <c r="CY216" s="2"/>
      <c r="CZ216" s="2"/>
      <c r="DA216" s="2"/>
      <c r="DB216" s="2"/>
      <c r="DC216" s="2"/>
      <c r="DD216" s="2"/>
      <c r="DE216" s="2"/>
      <c r="DF216" s="2"/>
      <c r="DG216" s="2"/>
      <c r="DH216" s="2"/>
      <c r="DI216" s="2" t="inlineStr">
        <is>
          <t>3e15d0e9-387a-4d82-a5b8-604ec691ecc9</t>
        </is>
      </c>
      <c r="DJ216" s="3" t="n">
        <v>2</v>
      </c>
      <c r="DK216" s="2"/>
      <c r="DL216" s="2" t="inlineStr">
        <is>
          <t>月报数据、信用查询</t>
        </is>
      </c>
      <c r="DM216" s="2" t="inlineStr">
        <is>
          <t>1次</t>
        </is>
      </c>
      <c r="DN216" s="3" t="n">
        <v>1</v>
      </c>
      <c r="DO216" s="3" t="n">
        <v>1</v>
      </c>
      <c r="DP216" s="2" t="inlineStr">
        <is>
          <t>B.2小时以内</t>
        </is>
      </c>
      <c r="DQ216" s="7" t="n">
        <v>2</v>
      </c>
      <c r="DR216" s="7" t="n">
        <v>2</v>
      </c>
      <c r="DS216" s="7" t="n">
        <v>2</v>
      </c>
      <c r="DT216" s="7" t="n">
        <v>2</v>
      </c>
      <c r="DU216" s="2" t="inlineStr">
        <is>
          <t>综合管理类</t>
        </is>
      </c>
      <c r="DV216" s="2"/>
      <c r="DW216" s="2" t="inlineStr">
        <is>
          <t>综合性汇报组织</t>
        </is>
      </c>
      <c r="DX216" s="2" t="inlineStr">
        <is>
          <t>上级指令</t>
        </is>
      </c>
      <c r="DY216" s="2" t="inlineStr">
        <is>
          <t>重要且紧急</t>
        </is>
      </c>
      <c r="DZ216" s="2" t="inlineStr">
        <is>
          <t>半标准化-有流程框架，需专业经验</t>
        </is>
      </c>
      <c r="EA216" s="2" t="inlineStr">
        <is>
          <t>极少（&lt;5%）</t>
        </is>
      </c>
      <c r="EB216" s="2" t="inlineStr">
        <is>
          <t>脑力/复杂度负荷</t>
        </is>
      </c>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row>
    <row r="217">
      <c r="A217" s="2" t="inlineStr">
        <is>
          <t>2026-05-13 14:51:21</t>
        </is>
      </c>
      <c r="B217" s="2" t="inlineStr">
        <is>
          <t>倪铭琦</t>
        </is>
      </c>
      <c r="C217" s="2" t="inlineStr">
        <is>
          <t>合同管理部</t>
        </is>
      </c>
      <c r="D217" s="2" t="inlineStr">
        <is>
          <t>男</t>
        </is>
      </c>
      <c r="E217" s="2" t="inlineStr">
        <is>
          <t>320112197208130478</t>
        </is>
      </c>
      <c r="F217" s="2" t="inlineStr">
        <is>
          <t>专业工程师</t>
        </is>
      </c>
      <c r="G217" s="2" t="inlineStr">
        <is>
          <t>1989-08</t>
        </is>
      </c>
      <c r="H217" s="2" t="inlineStr">
        <is>
          <t>扬州大学</t>
        </is>
      </c>
      <c r="I217" s="2" t="inlineStr">
        <is>
          <t>土建</t>
        </is>
      </c>
      <c r="J217" s="2" t="inlineStr">
        <is>
          <t>大专</t>
        </is>
      </c>
      <c r="K217" s="2"/>
      <c r="L217" s="6">
        <f>HYPERLINK("https://www.h3yun.com/Form/Attachments/?schemacode=D1483577de63ede327d4760b10664bd57671d7e&amp;bizObjectId=297034e5-7cdc-472f-bce9-19c7286d925a&amp;name=F0000046","点击查看")</f>
        <v>0</v>
      </c>
      <c r="M217" s="2" t="inlineStr">
        <is>
          <t>无</t>
        </is>
      </c>
      <c r="N217" s="2" t="inlineStr">
        <is>
          <t>每周工作</t>
        </is>
      </c>
      <c r="O217" s="2" t="inlineStr">
        <is>
          <t>46岁及以上</t>
        </is>
      </c>
      <c r="P217" s="2" t="inlineStr">
        <is>
          <t>C.已婚已育</t>
        </is>
      </c>
      <c r="Q217" s="2" t="inlineStr">
        <is>
          <t>A.否</t>
        </is>
      </c>
      <c r="R217" s="2" t="inlineStr">
        <is>
          <t>A.否</t>
        </is>
      </c>
      <c r="S217" s="2" t="inlineStr">
        <is>
          <t>C.希望工作压力适中，但职责边界更清晰</t>
        </is>
      </c>
      <c r="T217" s="2" t="inlineStr">
        <is>
          <t>A.基本满意，希望保持</t>
        </is>
      </c>
      <c r="U217" s="2" t="inlineStr">
        <is>
          <t>C.增加弹性和稳定性</t>
        </is>
      </c>
      <c r="V217" s="2" t="inlineStr">
        <is>
          <t>A.没有</t>
        </is>
      </c>
      <c r="W217" s="2"/>
      <c r="X217" s="2" t="inlineStr">
        <is>
          <t>C.均衡 (80%-100%)</t>
        </is>
      </c>
      <c r="Y217" s="2" t="inlineStr">
        <is>
          <t>E.临时差旅、突发事件、会议加班</t>
        </is>
      </c>
      <c r="Z217" s="2" t="inlineStr">
        <is>
          <t>技术交底</t>
        </is>
      </c>
      <c r="AA217" s="2" t="inlineStr">
        <is>
          <t>无</t>
        </is>
      </c>
      <c r="AB217" s="2" t="inlineStr">
        <is>
          <t>技术质量管理</t>
        </is>
      </c>
      <c r="AC217" s="2" t="inlineStr">
        <is>
          <t>A.高度匹配（得心应手）</t>
        </is>
      </c>
      <c r="AD217" s="2" t="inlineStr">
        <is>
          <t>无</t>
        </is>
      </c>
      <c r="AE217" s="2" t="inlineStr">
        <is>
          <t>无</t>
        </is>
      </c>
      <c r="AF217" s="2" t="inlineStr">
        <is>
          <t>无</t>
        </is>
      </c>
      <c r="AG217" s="2" t="inlineStr">
        <is>
          <t>D.配偶不是公司家属</t>
        </is>
      </c>
      <c r="AH217" s="2"/>
      <c r="AI217" s="7" t="n">
        <v>0</v>
      </c>
      <c r="AJ217" s="7" t="n">
        <v>0</v>
      </c>
      <c r="AK217" s="7" t="n">
        <v>4</v>
      </c>
      <c r="AL217" s="7" t="n">
        <v>8</v>
      </c>
      <c r="AM217" s="7" t="n">
        <v>0</v>
      </c>
      <c r="AN217" s="7" t="n">
        <v>0</v>
      </c>
      <c r="AO217" s="7" t="n">
        <v>0</v>
      </c>
      <c r="AP217" s="7" t="n">
        <v>0</v>
      </c>
      <c r="AQ217" s="7" t="n">
        <v>0</v>
      </c>
      <c r="AR217" s="7" t="n">
        <v>0</v>
      </c>
      <c r="AS217" s="7" t="n">
        <v>4</v>
      </c>
      <c r="AT217" s="7" t="n">
        <v>8</v>
      </c>
      <c r="AU217" s="7" t="n">
        <v>6</v>
      </c>
      <c r="AV217" s="2" t="inlineStr">
        <is>
          <t>欠饱和</t>
        </is>
      </c>
      <c r="AW217" s="2" t="inlineStr">
        <is>
          <t>不一致</t>
        </is>
      </c>
      <c r="AX217" s="2" t="inlineStr">
        <is>
          <t>297034e5-7cdc-472f-bce9-19c7286d925a</t>
        </is>
      </c>
      <c r="AY217" s="2" t="inlineStr">
        <is>
          <t>合同管理部    倪铭琦</t>
        </is>
      </c>
      <c r="AZ217" s="2" t="inlineStr">
        <is>
          <t>Anonymous</t>
        </is>
      </c>
      <c r="BA217" s="2" t="inlineStr">
        <is>
          <t>Anonymous</t>
        </is>
      </c>
      <c r="BB217" s="2"/>
      <c r="BC217" s="2" t="inlineStr">
        <is>
          <t>2026-05-22 17:12:46</t>
        </is>
      </c>
      <c r="BD217" s="3" t="n">
        <v>1972</v>
      </c>
      <c r="BE217" s="3" t="n">
        <v>54</v>
      </c>
      <c r="BF217" s="2" t="inlineStr">
        <is>
          <t>A.无此需求</t>
        </is>
      </c>
      <c r="BG217" s="2" t="inlineStr">
        <is>
          <t>已生效</t>
        </is>
      </c>
      <c r="BH217" s="2" t="inlineStr">
        <is>
          <t>7e355b93-be33-4d50-b8da-b3fdbb1cf2a5</t>
        </is>
      </c>
      <c r="BI217" s="3" t="n">
        <v>1</v>
      </c>
      <c r="BJ217" s="2"/>
      <c r="BK217" s="2"/>
      <c r="BL217" s="2"/>
      <c r="BM217" s="2"/>
      <c r="BN217" s="2"/>
      <c r="BO217" s="2"/>
      <c r="BP217" s="2"/>
      <c r="BQ217" s="2"/>
      <c r="BR217" s="2"/>
      <c r="BS217" s="2" t="inlineStr">
        <is>
          <t>ced450f6-2f80-462d-a6e3-2e857264c475</t>
        </is>
      </c>
      <c r="BT217" s="3" t="n">
        <v>1</v>
      </c>
      <c r="BU217" s="2"/>
      <c r="BV217" s="2"/>
      <c r="BW217" s="2"/>
      <c r="BX217" s="3"/>
      <c r="BY217" s="3"/>
      <c r="BZ217" s="2"/>
      <c r="CA217" s="3"/>
      <c r="CB217" s="3"/>
      <c r="CC217" s="3"/>
      <c r="CD217" s="3"/>
      <c r="CE217" s="2"/>
      <c r="CF217" s="2"/>
      <c r="CG217" s="2"/>
      <c r="CH217" s="2"/>
      <c r="CI217" s="2"/>
      <c r="CJ217" s="2"/>
      <c r="CK217" s="2"/>
      <c r="CL217" s="2"/>
      <c r="CM217" s="2"/>
      <c r="CN217" s="2" t="inlineStr">
        <is>
          <t>cfbd37d7-6f2b-4dd3-9ebb-20827d8a0217</t>
        </is>
      </c>
      <c r="CO217" s="3" t="n">
        <v>1</v>
      </c>
      <c r="CP217" s="2"/>
      <c r="CQ217" s="2" t="inlineStr">
        <is>
          <t>公司食堂餐厅修缮装饰工程管理</t>
        </is>
      </c>
      <c r="CR217" s="2" t="inlineStr">
        <is>
          <t>5次以上</t>
        </is>
      </c>
      <c r="CS217" s="3" t="n">
        <v>5</v>
      </c>
      <c r="CT217" s="3" t="n">
        <v>5</v>
      </c>
      <c r="CU217" s="2" t="inlineStr">
        <is>
          <t>D.4-8小时</t>
        </is>
      </c>
      <c r="CV217" s="7" t="n">
        <v>4</v>
      </c>
      <c r="CW217" s="7" t="n">
        <v>8</v>
      </c>
      <c r="CX217" s="7" t="n">
        <v>20</v>
      </c>
      <c r="CY217" s="7" t="n">
        <v>40</v>
      </c>
      <c r="CZ217" s="2" t="inlineStr">
        <is>
          <t>专业技术类</t>
        </is>
      </c>
      <c r="DA217" s="2"/>
      <c r="DB217" s="2" t="inlineStr">
        <is>
          <t>专业问题协调</t>
        </is>
      </c>
      <c r="DC217" s="2" t="inlineStr">
        <is>
          <t>跨部门协同</t>
        </is>
      </c>
      <c r="DD217" s="2" t="inlineStr">
        <is>
          <t>重要不紧急</t>
        </is>
      </c>
      <c r="DE217" s="2" t="inlineStr">
        <is>
          <t>非标准化-无先例参考，需创新协调</t>
        </is>
      </c>
      <c r="DF217" s="2" t="inlineStr">
        <is>
          <t>中频（10%-30%）</t>
        </is>
      </c>
      <c r="DG217" s="2" t="inlineStr">
        <is>
          <t>沟通/协调负荷</t>
        </is>
      </c>
      <c r="DH217" s="2" t="inlineStr">
        <is>
          <t>另外承担公司分包结算审计工作</t>
        </is>
      </c>
      <c r="DI217" s="2" t="inlineStr">
        <is>
          <t>0c611319-e86a-4415-9fad-56895d36d382</t>
        </is>
      </c>
      <c r="DJ217" s="3" t="n">
        <v>1</v>
      </c>
      <c r="DK217" s="2"/>
      <c r="DL217" s="2"/>
      <c r="DM217" s="2"/>
      <c r="DN217" s="3"/>
      <c r="DO217" s="3"/>
      <c r="DP217" s="2"/>
      <c r="DQ217" s="3"/>
      <c r="DR217" s="3"/>
      <c r="DS217" s="3"/>
      <c r="DT217" s="3"/>
      <c r="DU217" s="2"/>
      <c r="DV217" s="2"/>
      <c r="DW217" s="2"/>
      <c r="DX217" s="2"/>
      <c r="DY217" s="2"/>
      <c r="DZ217" s="2"/>
      <c r="EA217" s="2"/>
      <c r="EB217" s="2"/>
      <c r="EC217" s="2"/>
      <c r="ED217" s="2" t="inlineStr">
        <is>
          <t>cb4794a5-3c07-439f-acc5-d9d9d6675a17</t>
        </is>
      </c>
      <c r="EE217" s="3" t="n">
        <v>1</v>
      </c>
      <c r="EF217" s="2"/>
      <c r="EG217" s="2"/>
      <c r="EH217" s="2"/>
      <c r="EI217" s="3"/>
      <c r="EJ217" s="2"/>
      <c r="EK217" s="3"/>
      <c r="EL217" s="3"/>
      <c r="EM217" s="3"/>
      <c r="EN217" s="3"/>
      <c r="EO217" s="2"/>
      <c r="EP217" s="2"/>
      <c r="EQ217" s="2"/>
      <c r="ER217" s="2"/>
      <c r="ES217" s="2"/>
      <c r="ET217" s="2"/>
      <c r="EU217" s="2"/>
      <c r="EV217" s="2"/>
      <c r="EW217" s="2"/>
      <c r="EX217" s="2" t="inlineStr">
        <is>
          <t>a4627fbd-1232-475f-84bb-baced17b6b49</t>
        </is>
      </c>
      <c r="EY217" s="3" t="n">
        <v>1</v>
      </c>
      <c r="EZ217" s="2"/>
      <c r="FA217" s="2"/>
      <c r="FB217" s="2"/>
      <c r="FC217" s="2"/>
      <c r="FD217" s="3"/>
      <c r="FE217" s="3"/>
      <c r="FF217" s="2"/>
      <c r="FG217" s="3"/>
      <c r="FH217" s="3"/>
      <c r="FI217" s="7" t="n">
        <v>0</v>
      </c>
      <c r="FJ217" s="7" t="n">
        <v>0</v>
      </c>
      <c r="FK217" s="7" t="n">
        <v>0</v>
      </c>
      <c r="FL217" s="7" t="n">
        <v>0</v>
      </c>
      <c r="FM217" s="7" t="n">
        <v>0</v>
      </c>
      <c r="FN217" s="7" t="n">
        <v>0</v>
      </c>
      <c r="FO217" s="2"/>
      <c r="FP217" s="2"/>
      <c r="FQ217" s="2"/>
      <c r="FR217" s="2"/>
      <c r="FS217" s="2"/>
      <c r="FT217" s="2"/>
      <c r="FU217" s="2"/>
      <c r="FV217" s="2"/>
      <c r="FW217" s="2"/>
    </row>
    <row r="218">
      <c r="A218" s="2" t="inlineStr">
        <is>
          <t>2026-05-12 08:39:33</t>
        </is>
      </c>
      <c r="B218" s="2" t="inlineStr">
        <is>
          <t>丁建</t>
        </is>
      </c>
      <c r="C218" s="2" t="inlineStr">
        <is>
          <t>马来西亚分公司（国内采购）</t>
        </is>
      </c>
      <c r="D218" s="2" t="inlineStr">
        <is>
          <t>男</t>
        </is>
      </c>
      <c r="E218" s="2" t="inlineStr">
        <is>
          <t>622701200001083214</t>
        </is>
      </c>
      <c r="F218" s="2" t="inlineStr">
        <is>
          <t>技术助理(三)</t>
        </is>
      </c>
      <c r="G218" s="2" t="inlineStr">
        <is>
          <t>2022-08</t>
        </is>
      </c>
      <c r="H218" s="2" t="inlineStr">
        <is>
          <t>甘肃机电职业技术学院</t>
        </is>
      </c>
      <c r="I218" s="2" t="inlineStr">
        <is>
          <t>机制</t>
        </is>
      </c>
      <c r="J218" s="2" t="inlineStr">
        <is>
          <t>大专</t>
        </is>
      </c>
      <c r="K218" s="2"/>
      <c r="L218" s="6">
        <f>HYPERLINK("https://www.h3yun.com/Form/Attachments/?schemacode=D1483577de63ede327d4760b10664bd57671d7e&amp;bizObjectId=c1676a7f-741c-41fc-af5d-1f1207d5a911&amp;name=F0000046","点击查看")</f>
        <v>0</v>
      </c>
      <c r="M218" s="2" t="inlineStr">
        <is>
          <t>无</t>
        </is>
      </c>
      <c r="N218" s="2" t="inlineStr">
        <is>
          <t>每日工作</t>
        </is>
      </c>
      <c r="O218" s="2" t="inlineStr">
        <is>
          <t>26-30岁</t>
        </is>
      </c>
      <c r="P218" s="2" t="inlineStr">
        <is>
          <t>A.未婚</t>
        </is>
      </c>
      <c r="Q218" s="2" t="inlineStr">
        <is>
          <t>A.否</t>
        </is>
      </c>
      <c r="R218" s="2" t="inlineStr">
        <is>
          <t>A.否</t>
        </is>
      </c>
      <c r="S218" s="2" t="inlineStr">
        <is>
          <t>A.保持当前工作内容和节奏，收入相对稳定即可</t>
        </is>
      </c>
      <c r="T218" s="2" t="inlineStr">
        <is>
          <t>A.基本满意，希望保持</t>
        </is>
      </c>
      <c r="U218" s="2" t="inlineStr">
        <is>
          <t>A.减少重复性事务</t>
        </is>
      </c>
      <c r="V218" s="2" t="inlineStr">
        <is>
          <t>A.没有</t>
        </is>
      </c>
      <c r="W218" s="2"/>
      <c r="X218" s="2" t="inlineStr">
        <is>
          <t>B.满负荷 (100%-120%)</t>
        </is>
      </c>
      <c r="Y218" s="2" t="inlineStr">
        <is>
          <t>K.无需加班</t>
        </is>
      </c>
      <c r="Z218" s="2" t="inlineStr">
        <is>
          <t>信息化管理流程</t>
        </is>
      </c>
      <c r="AA218" s="2" t="inlineStr">
        <is>
          <t>信息化管理流程</t>
        </is>
      </c>
      <c r="AB218" s="2" t="inlineStr">
        <is>
          <t>HSE管理流程</t>
        </is>
      </c>
      <c r="AC218" s="2" t="inlineStr">
        <is>
          <t>B.基本匹配（正常履行）</t>
        </is>
      </c>
      <c r="AD218" s="2" t="inlineStr">
        <is>
          <t>无</t>
        </is>
      </c>
      <c r="AE218" s="2" t="inlineStr">
        <is>
          <t>无</t>
        </is>
      </c>
      <c r="AF218" s="2" t="inlineStr">
        <is>
          <t>无</t>
        </is>
      </c>
      <c r="AG218" s="2"/>
      <c r="AH218" s="2"/>
      <c r="AI218" s="7" t="n">
        <v>8</v>
      </c>
      <c r="AJ218" s="7" t="n">
        <v>8</v>
      </c>
      <c r="AK218" s="7" t="n">
        <v>0</v>
      </c>
      <c r="AL218" s="7" t="n">
        <v>0</v>
      </c>
      <c r="AM218" s="7" t="n">
        <v>0</v>
      </c>
      <c r="AN218" s="7" t="n">
        <v>0</v>
      </c>
      <c r="AO218" s="7" t="n">
        <v>0</v>
      </c>
      <c r="AP218" s="7" t="n">
        <v>0</v>
      </c>
      <c r="AQ218" s="7" t="n">
        <v>0</v>
      </c>
      <c r="AR218" s="7" t="n">
        <v>0</v>
      </c>
      <c r="AS218" s="7" t="n">
        <v>8</v>
      </c>
      <c r="AT218" s="7" t="n">
        <v>8</v>
      </c>
      <c r="AU218" s="7" t="n">
        <v>8</v>
      </c>
      <c r="AV218" s="2" t="inlineStr">
        <is>
          <t>满负荷</t>
        </is>
      </c>
      <c r="AW218" s="2" t="inlineStr">
        <is>
          <t>一致</t>
        </is>
      </c>
      <c r="AX218" s="2" t="inlineStr">
        <is>
          <t>c1676a7f-741c-41fc-af5d-1f1207d5a911</t>
        </is>
      </c>
      <c r="AY218" s="2" t="inlineStr">
        <is>
          <t>马来西亚分公司（国内采购）    丁建</t>
        </is>
      </c>
      <c r="AZ218" s="2" t="inlineStr">
        <is>
          <t>Anonymous</t>
        </is>
      </c>
      <c r="BA218" s="2" t="inlineStr">
        <is>
          <t>Anonymous</t>
        </is>
      </c>
      <c r="BB218" s="2"/>
      <c r="BC218" s="2" t="inlineStr">
        <is>
          <t>2026-05-21 08:43:22</t>
        </is>
      </c>
      <c r="BD218" s="3" t="n">
        <v>2000</v>
      </c>
      <c r="BE218" s="3" t="n">
        <v>26</v>
      </c>
      <c r="BF218" s="2" t="inlineStr">
        <is>
          <t>A.无此需求</t>
        </is>
      </c>
      <c r="BG218" s="2" t="inlineStr">
        <is>
          <t>已生效</t>
        </is>
      </c>
      <c r="BH218" s="2" t="inlineStr">
        <is>
          <t>e6a6ed99-4085-4317-8ee5-36be607c0d47</t>
        </is>
      </c>
      <c r="BI218" s="3" t="n">
        <v>1</v>
      </c>
      <c r="BJ218" s="2"/>
      <c r="BK218" s="2"/>
      <c r="BL218" s="2"/>
      <c r="BM218" s="2"/>
      <c r="BN218" s="2"/>
      <c r="BO218" s="2"/>
      <c r="BP218" s="2"/>
      <c r="BQ218" s="2"/>
      <c r="BR218" s="2"/>
      <c r="BS218" s="2" t="inlineStr">
        <is>
          <t>e63df27c-c987-49ae-a339-18f1d2739c5d</t>
        </is>
      </c>
      <c r="BT218" s="3" t="n">
        <v>1</v>
      </c>
      <c r="BU218" s="2" t="inlineStr">
        <is>
          <t>专业技术类</t>
        </is>
      </c>
      <c r="BV218" s="2" t="inlineStr">
        <is>
          <t>落图与法兰管理</t>
        </is>
      </c>
      <c r="BW218" s="2" t="inlineStr">
        <is>
          <t>1次</t>
        </is>
      </c>
      <c r="BX218" s="3" t="n">
        <v>1</v>
      </c>
      <c r="BY218" s="3" t="n">
        <v>1</v>
      </c>
      <c r="BZ218" s="2" t="inlineStr">
        <is>
          <t>E.8小时以上</t>
        </is>
      </c>
      <c r="CA218" s="7" t="n">
        <v>8</v>
      </c>
      <c r="CB218" s="7" t="n">
        <v>8</v>
      </c>
      <c r="CC218" s="7" t="n">
        <v>8</v>
      </c>
      <c r="CD218" s="7" t="n">
        <v>8</v>
      </c>
      <c r="CE218" s="2" t="inlineStr">
        <is>
          <t>专业技术类</t>
        </is>
      </c>
      <c r="CF218" s="2"/>
      <c r="CG218" s="2" t="inlineStr">
        <is>
          <t>专业问题协调</t>
        </is>
      </c>
      <c r="CH218" s="2" t="inlineStr">
        <is>
          <t>上级指令</t>
        </is>
      </c>
      <c r="CI218" s="2" t="inlineStr">
        <is>
          <t>重要且紧急</t>
        </is>
      </c>
      <c r="CJ218" s="2" t="inlineStr">
        <is>
          <t>半标准化-有流程框架，需专业经验</t>
        </is>
      </c>
      <c r="CK218" s="2" t="inlineStr">
        <is>
          <t>低频（5%-10%）</t>
        </is>
      </c>
      <c r="CL218" s="2" t="inlineStr">
        <is>
          <t>脑力/复杂度负荷</t>
        </is>
      </c>
      <c r="CM218" s="2"/>
      <c r="CN218" s="2" t="inlineStr">
        <is>
          <t>3149f449-2a7e-468b-af2b-48b5cba82a16</t>
        </is>
      </c>
      <c r="CO218" s="3" t="n">
        <v>1</v>
      </c>
      <c r="CP218" s="2"/>
      <c r="CQ218" s="2"/>
      <c r="CR218" s="2"/>
      <c r="CS218" s="3"/>
      <c r="CT218" s="3"/>
      <c r="CU218" s="2"/>
      <c r="CV218" s="3"/>
      <c r="CW218" s="3"/>
      <c r="CX218" s="3"/>
      <c r="CY218" s="3"/>
      <c r="CZ218" s="2"/>
      <c r="DA218" s="2"/>
      <c r="DB218" s="2"/>
      <c r="DC218" s="2"/>
      <c r="DD218" s="2"/>
      <c r="DE218" s="2"/>
      <c r="DF218" s="2"/>
      <c r="DG218" s="2"/>
      <c r="DH218" s="2"/>
      <c r="DI218" s="2" t="inlineStr">
        <is>
          <t>85f3c02e-1ccb-4905-9b3c-4b3ee0168948</t>
        </is>
      </c>
      <c r="DJ218" s="3" t="n">
        <v>1</v>
      </c>
      <c r="DK218" s="2"/>
      <c r="DL218" s="2"/>
      <c r="DM218" s="2"/>
      <c r="DN218" s="3"/>
      <c r="DO218" s="3"/>
      <c r="DP218" s="2"/>
      <c r="DQ218" s="3"/>
      <c r="DR218" s="3"/>
      <c r="DS218" s="3"/>
      <c r="DT218" s="3"/>
      <c r="DU218" s="2"/>
      <c r="DV218" s="2"/>
      <c r="DW218" s="2"/>
      <c r="DX218" s="2"/>
      <c r="DY218" s="2"/>
      <c r="DZ218" s="2"/>
      <c r="EA218" s="2"/>
      <c r="EB218" s="2"/>
      <c r="EC218" s="2"/>
      <c r="ED218" s="2" t="inlineStr">
        <is>
          <t>abc01fec-1278-4b1d-a153-ad73bedd42c3</t>
        </is>
      </c>
      <c r="EE218" s="3" t="n">
        <v>1</v>
      </c>
      <c r="EF218" s="2"/>
      <c r="EG218" s="2"/>
      <c r="EH218" s="2"/>
      <c r="EI218" s="3"/>
      <c r="EJ218" s="2"/>
      <c r="EK218" s="3"/>
      <c r="EL218" s="3"/>
      <c r="EM218" s="3"/>
      <c r="EN218" s="3"/>
      <c r="EO218" s="2"/>
      <c r="EP218" s="2"/>
      <c r="EQ218" s="2"/>
      <c r="ER218" s="2"/>
      <c r="ES218" s="2"/>
      <c r="ET218" s="2"/>
      <c r="EU218" s="2"/>
      <c r="EV218" s="2"/>
      <c r="EW218" s="2"/>
      <c r="EX218" s="2" t="inlineStr">
        <is>
          <t>b877eaf7-bcec-4030-a0fd-0168806df76c</t>
        </is>
      </c>
      <c r="EY218" s="3" t="n">
        <v>1</v>
      </c>
      <c r="EZ218" s="2"/>
      <c r="FA218" s="2"/>
      <c r="FB218" s="2"/>
      <c r="FC218" s="2"/>
      <c r="FD218" s="3"/>
      <c r="FE218" s="3"/>
      <c r="FF218" s="2"/>
      <c r="FG218" s="3"/>
      <c r="FH218" s="3"/>
      <c r="FI218" s="7" t="n">
        <v>0</v>
      </c>
      <c r="FJ218" s="7" t="n">
        <v>0</v>
      </c>
      <c r="FK218" s="7" t="n">
        <v>0</v>
      </c>
      <c r="FL218" s="7" t="n">
        <v>0</v>
      </c>
      <c r="FM218" s="7" t="n">
        <v>0</v>
      </c>
      <c r="FN218" s="7" t="n">
        <v>0</v>
      </c>
      <c r="FO218" s="2"/>
      <c r="FP218" s="2"/>
      <c r="FQ218" s="2"/>
      <c r="FR218" s="2"/>
      <c r="FS218" s="2"/>
      <c r="FT218" s="2"/>
      <c r="FU218" s="2"/>
      <c r="FV218" s="2"/>
      <c r="FW218" s="2"/>
    </row>
    <row r="219">
      <c r="A219" s="2" t="inlineStr">
        <is>
          <t>2026-05-12 08:27:09</t>
        </is>
      </c>
      <c r="B219" s="2" t="inlineStr">
        <is>
          <t>周瑜来</t>
        </is>
      </c>
      <c r="C219" s="2" t="inlineStr">
        <is>
          <t>马来西亚分公司（国内采购）</t>
        </is>
      </c>
      <c r="D219" s="2" t="inlineStr">
        <is>
          <t>男</t>
        </is>
      </c>
      <c r="E219" s="2" t="inlineStr">
        <is>
          <t>360481199911012014</t>
        </is>
      </c>
      <c r="F219" s="2" t="inlineStr">
        <is>
          <t>技术助理(二)</t>
        </is>
      </c>
      <c r="G219" s="2" t="inlineStr">
        <is>
          <t>2022-08</t>
        </is>
      </c>
      <c r="H219" s="2" t="inlineStr">
        <is>
          <t>常州大学怀德学院</t>
        </is>
      </c>
      <c r="I219" s="2" t="inlineStr">
        <is>
          <t>机制</t>
        </is>
      </c>
      <c r="J219" s="2" t="inlineStr">
        <is>
          <t>本科</t>
        </is>
      </c>
      <c r="K219" s="2"/>
      <c r="L219" s="6">
        <f>HYPERLINK("https://www.h3yun.com/Form/Attachments/?schemacode=D1483577de63ede327d4760b10664bd57671d7e&amp;bizObjectId=ae282fcf-cc21-48c6-9ec9-55386e36ea95&amp;name=F0000046","点击查看")</f>
        <v>0</v>
      </c>
      <c r="M219" s="2" t="inlineStr">
        <is>
          <t>无</t>
        </is>
      </c>
      <c r="N219" s="2" t="inlineStr">
        <is>
          <t>每日工作</t>
        </is>
      </c>
      <c r="O219" s="2" t="inlineStr">
        <is>
          <t>26-30岁</t>
        </is>
      </c>
      <c r="P219" s="2" t="inlineStr">
        <is>
          <t>A.未婚</t>
        </is>
      </c>
      <c r="Q219" s="2" t="inlineStr">
        <is>
          <t>A.否</t>
        </is>
      </c>
      <c r="R219" s="2" t="inlineStr">
        <is>
          <t>A.否</t>
        </is>
      </c>
      <c r="S219" s="2" t="inlineStr">
        <is>
          <t>A.保持当前工作内容和节奏，收入相对稳定即可</t>
        </is>
      </c>
      <c r="T219" s="2" t="inlineStr">
        <is>
          <t>A.基本满意，希望保持</t>
        </is>
      </c>
      <c r="U219" s="2" t="inlineStr">
        <is>
          <t>E.增加成长性和挑战性</t>
        </is>
      </c>
      <c r="V219" s="2" t="inlineStr">
        <is>
          <t>A.没有</t>
        </is>
      </c>
      <c r="W219" s="2"/>
      <c r="X219" s="2" t="inlineStr">
        <is>
          <t>C.均衡 (80%-100%)</t>
        </is>
      </c>
      <c r="Y219" s="2" t="inlineStr">
        <is>
          <t>A.岗位工作量饱和，已达人效上限</t>
        </is>
      </c>
      <c r="Z219" s="2" t="inlineStr">
        <is>
          <t>专项统计</t>
        </is>
      </c>
      <c r="AA219" s="2" t="inlineStr">
        <is>
          <t>专项统计</t>
        </is>
      </c>
      <c r="AB219" s="2" t="inlineStr">
        <is>
          <t>专业问题协调</t>
        </is>
      </c>
      <c r="AC219" s="2" t="inlineStr">
        <is>
          <t>B.基本匹配（正常履行）</t>
        </is>
      </c>
      <c r="AD219" s="2" t="inlineStr">
        <is>
          <t>无</t>
        </is>
      </c>
      <c r="AE219" s="2"/>
      <c r="AF219" s="2"/>
      <c r="AG219" s="2"/>
      <c r="AH219" s="2"/>
      <c r="AI219" s="7" t="n">
        <v>4</v>
      </c>
      <c r="AJ219" s="7" t="n">
        <v>8</v>
      </c>
      <c r="AK219" s="7" t="n">
        <v>0</v>
      </c>
      <c r="AL219" s="7" t="n">
        <v>0</v>
      </c>
      <c r="AM219" s="7" t="n">
        <v>0</v>
      </c>
      <c r="AN219" s="7" t="n">
        <v>0</v>
      </c>
      <c r="AO219" s="7" t="n">
        <v>0</v>
      </c>
      <c r="AP219" s="7" t="n">
        <v>0</v>
      </c>
      <c r="AQ219" s="7" t="n">
        <v>0</v>
      </c>
      <c r="AR219" s="7" t="n">
        <v>0</v>
      </c>
      <c r="AS219" s="7" t="n">
        <v>4</v>
      </c>
      <c r="AT219" s="7" t="n">
        <v>8</v>
      </c>
      <c r="AU219" s="7" t="n">
        <v>6</v>
      </c>
      <c r="AV219" s="2" t="inlineStr">
        <is>
          <t>欠饱和</t>
        </is>
      </c>
      <c r="AW219" s="2" t="inlineStr">
        <is>
          <t>不一致</t>
        </is>
      </c>
      <c r="AX219" s="2" t="inlineStr">
        <is>
          <t>ae282fcf-cc21-48c6-9ec9-55386e36ea95</t>
        </is>
      </c>
      <c r="AY219" s="2" t="inlineStr">
        <is>
          <t>马来西亚分公司（国内采购）    周瑜来</t>
        </is>
      </c>
      <c r="AZ219" s="2" t="inlineStr">
        <is>
          <t>Anonymous</t>
        </is>
      </c>
      <c r="BA219" s="2" t="inlineStr">
        <is>
          <t>Anonymous</t>
        </is>
      </c>
      <c r="BB219" s="2"/>
      <c r="BC219" s="2" t="inlineStr">
        <is>
          <t>2026-05-21 08:43:22</t>
        </is>
      </c>
      <c r="BD219" s="3" t="n">
        <v>1999</v>
      </c>
      <c r="BE219" s="3" t="n">
        <v>27</v>
      </c>
      <c r="BF219" s="2" t="inlineStr">
        <is>
          <t>A.无此需求</t>
        </is>
      </c>
      <c r="BG219" s="2" t="inlineStr">
        <is>
          <t>已生效</t>
        </is>
      </c>
      <c r="BH219" s="2" t="inlineStr">
        <is>
          <t>ddc0b3a0-b4a2-48d2-ab29-f5f08a13c9cc</t>
        </is>
      </c>
      <c r="BI219" s="3" t="n">
        <v>1</v>
      </c>
      <c r="BJ219" s="2"/>
      <c r="BK219" s="2"/>
      <c r="BL219" s="2"/>
      <c r="BM219" s="2"/>
      <c r="BN219" s="2"/>
      <c r="BO219" s="2"/>
      <c r="BP219" s="2"/>
      <c r="BQ219" s="2"/>
      <c r="BR219" s="2"/>
      <c r="BS219" s="2" t="inlineStr">
        <is>
          <t>9fb70f04-525f-4802-a3cc-80e00ff05592</t>
        </is>
      </c>
      <c r="BT219" s="3" t="n">
        <v>1</v>
      </c>
      <c r="BU219" s="2" t="inlineStr">
        <is>
          <t>数据报表类</t>
        </is>
      </c>
      <c r="BV219" s="2" t="inlineStr">
        <is>
          <t>落图，替换升版图纸，统计焊接信息</t>
        </is>
      </c>
      <c r="BW219" s="2" t="inlineStr">
        <is>
          <t>1次</t>
        </is>
      </c>
      <c r="BX219" s="3" t="n">
        <v>1</v>
      </c>
      <c r="BY219" s="3" t="n">
        <v>1</v>
      </c>
      <c r="BZ219" s="2" t="inlineStr">
        <is>
          <t>D.4-8小时</t>
        </is>
      </c>
      <c r="CA219" s="7" t="n">
        <v>4</v>
      </c>
      <c r="CB219" s="7" t="n">
        <v>8</v>
      </c>
      <c r="CC219" s="7" t="n">
        <v>4</v>
      </c>
      <c r="CD219" s="7" t="n">
        <v>8</v>
      </c>
      <c r="CE219" s="2" t="inlineStr">
        <is>
          <t>数据报表类</t>
        </is>
      </c>
      <c r="CF219" s="2"/>
      <c r="CG219" s="2" t="inlineStr">
        <is>
          <t>专项统计</t>
        </is>
      </c>
      <c r="CH219" s="2" t="inlineStr">
        <is>
          <t>上级指令</t>
        </is>
      </c>
      <c r="CI219" s="2" t="inlineStr">
        <is>
          <t>重要且紧急</t>
        </is>
      </c>
      <c r="CJ219" s="2" t="inlineStr">
        <is>
          <t>半标准化-有流程框架，需专业经验</t>
        </is>
      </c>
      <c r="CK219" s="2" t="inlineStr">
        <is>
          <t>极少（&lt;5%）</t>
        </is>
      </c>
      <c r="CL219" s="2" t="inlineStr">
        <is>
          <t>时效/强度负荷</t>
        </is>
      </c>
      <c r="CM219" s="2"/>
      <c r="CN219" s="2" t="inlineStr">
        <is>
          <t>cf1918bc-d940-438c-8d45-f1d535ff9fad</t>
        </is>
      </c>
      <c r="CO219" s="3" t="n">
        <v>1</v>
      </c>
      <c r="CP219" s="2"/>
      <c r="CQ219" s="2"/>
      <c r="CR219" s="2"/>
      <c r="CS219" s="3"/>
      <c r="CT219" s="3"/>
      <c r="CU219" s="2"/>
      <c r="CV219" s="3"/>
      <c r="CW219" s="3"/>
      <c r="CX219" s="3"/>
      <c r="CY219" s="3"/>
      <c r="CZ219" s="2"/>
      <c r="DA219" s="2"/>
      <c r="DB219" s="2"/>
      <c r="DC219" s="2"/>
      <c r="DD219" s="2"/>
      <c r="DE219" s="2"/>
      <c r="DF219" s="2"/>
      <c r="DG219" s="2"/>
      <c r="DH219" s="2"/>
      <c r="DI219" s="2" t="inlineStr">
        <is>
          <t>1e3753b1-8840-45ab-a2c1-63fccaa8c8da</t>
        </is>
      </c>
      <c r="DJ219" s="3" t="n">
        <v>1</v>
      </c>
      <c r="DK219" s="2"/>
      <c r="DL219" s="2"/>
      <c r="DM219" s="2"/>
      <c r="DN219" s="3"/>
      <c r="DO219" s="3"/>
      <c r="DP219" s="2"/>
      <c r="DQ219" s="3"/>
      <c r="DR219" s="3"/>
      <c r="DS219" s="3"/>
      <c r="DT219" s="3"/>
      <c r="DU219" s="2"/>
      <c r="DV219" s="2"/>
      <c r="DW219" s="2"/>
      <c r="DX219" s="2"/>
      <c r="DY219" s="2"/>
      <c r="DZ219" s="2"/>
      <c r="EA219" s="2"/>
      <c r="EB219" s="2"/>
      <c r="EC219" s="2"/>
      <c r="ED219" s="2" t="inlineStr">
        <is>
          <t>ab5685f6-8d25-4ff0-bda8-eaec60c2f14f</t>
        </is>
      </c>
      <c r="EE219" s="3" t="n">
        <v>1</v>
      </c>
      <c r="EF219" s="2"/>
      <c r="EG219" s="2"/>
      <c r="EH219" s="2"/>
      <c r="EI219" s="3"/>
      <c r="EJ219" s="2"/>
      <c r="EK219" s="3"/>
      <c r="EL219" s="3"/>
      <c r="EM219" s="3"/>
      <c r="EN219" s="3"/>
      <c r="EO219" s="2"/>
      <c r="EP219" s="2"/>
      <c r="EQ219" s="2"/>
      <c r="ER219" s="2"/>
      <c r="ES219" s="2"/>
      <c r="ET219" s="2"/>
      <c r="EU219" s="2"/>
      <c r="EV219" s="2"/>
      <c r="EW219" s="2"/>
      <c r="EX219" s="2" t="inlineStr">
        <is>
          <t>7a36c9c2-1f3a-4267-adfa-5e83eb8e6afa</t>
        </is>
      </c>
      <c r="EY219" s="3" t="n">
        <v>1</v>
      </c>
      <c r="EZ219" s="2"/>
      <c r="FA219" s="2"/>
      <c r="FB219" s="2"/>
      <c r="FC219" s="2"/>
      <c r="FD219" s="3"/>
      <c r="FE219" s="3"/>
      <c r="FF219" s="2"/>
      <c r="FG219" s="3"/>
      <c r="FH219" s="3"/>
      <c r="FI219" s="7" t="n">
        <v>0</v>
      </c>
      <c r="FJ219" s="7" t="n">
        <v>0</v>
      </c>
      <c r="FK219" s="7" t="n">
        <v>0</v>
      </c>
      <c r="FL219" s="7" t="n">
        <v>0</v>
      </c>
      <c r="FM219" s="7" t="n">
        <v>0</v>
      </c>
      <c r="FN219" s="7" t="n">
        <v>0</v>
      </c>
      <c r="FO219" s="2"/>
      <c r="FP219" s="2"/>
      <c r="FQ219" s="2"/>
      <c r="FR219" s="2"/>
      <c r="FS219" s="2"/>
      <c r="FT219" s="2"/>
      <c r="FU219" s="2"/>
      <c r="FV219" s="2"/>
      <c r="FW219" s="2"/>
    </row>
    <row r="220">
      <c r="A220" s="2" t="inlineStr">
        <is>
          <t>2026-05-12 08:27:05</t>
        </is>
      </c>
      <c r="B220" s="2" t="inlineStr">
        <is>
          <t>金洋玄</t>
        </is>
      </c>
      <c r="C220" s="2" t="inlineStr">
        <is>
          <t>马来西亚分公司（国内采购）</t>
        </is>
      </c>
      <c r="D220" s="2" t="inlineStr">
        <is>
          <t>男</t>
        </is>
      </c>
      <c r="E220" s="2" t="inlineStr">
        <is>
          <t>320107200306050010</t>
        </is>
      </c>
      <c r="F220" s="2" t="inlineStr">
        <is>
          <t>技术助理(三)</t>
        </is>
      </c>
      <c r="G220" s="2" t="inlineStr">
        <is>
          <t>2025-08</t>
        </is>
      </c>
      <c r="H220" s="2" t="inlineStr">
        <is>
          <t>南通理工学院</t>
        </is>
      </c>
      <c r="I220" s="2" t="inlineStr">
        <is>
          <t>化机</t>
        </is>
      </c>
      <c r="J220" s="2" t="inlineStr">
        <is>
          <t>本科</t>
        </is>
      </c>
      <c r="K220" s="2"/>
      <c r="L220" s="6">
        <f>HYPERLINK("https://www.h3yun.com/Form/Attachments/?schemacode=D1483577de63ede327d4760b10664bd57671d7e&amp;bizObjectId=7d299004-14c1-4c9d-af8b-5e3b717835c7&amp;name=F0000046","点击查看")</f>
        <v>0</v>
      </c>
      <c r="M220" s="2" t="inlineStr">
        <is>
          <t>无</t>
        </is>
      </c>
      <c r="N220" s="2" t="inlineStr">
        <is>
          <t>每日工作</t>
        </is>
      </c>
      <c r="O220" s="2" t="inlineStr">
        <is>
          <t>25岁及以下</t>
        </is>
      </c>
      <c r="P220" s="2" t="inlineStr">
        <is>
          <t>A.未婚</t>
        </is>
      </c>
      <c r="Q220" s="2" t="inlineStr">
        <is>
          <t>A.否</t>
        </is>
      </c>
      <c r="R220" s="2" t="inlineStr">
        <is>
          <t>A.否</t>
        </is>
      </c>
      <c r="S220" s="2" t="inlineStr">
        <is>
          <t>C.希望工作压力适中，但职责边界更清晰</t>
        </is>
      </c>
      <c r="T220" s="2" t="inlineStr">
        <is>
          <t>A.基本满意，希望保持</t>
        </is>
      </c>
      <c r="U220" s="2" t="inlineStr">
        <is>
          <t>A.减少重复性事务</t>
        </is>
      </c>
      <c r="V220" s="2" t="inlineStr">
        <is>
          <t>D.已形成较稳定优化做法</t>
        </is>
      </c>
      <c r="W220" s="2"/>
      <c r="X220" s="2" t="inlineStr">
        <is>
          <t>C.均衡 (80%-100%)</t>
        </is>
      </c>
      <c r="Y220" s="2" t="inlineStr">
        <is>
          <t>E.项目服务按照项目作息考勤制加班;G.接收到任务分配单完成周期内要求的加班</t>
        </is>
      </c>
      <c r="Z220" s="2" t="inlineStr">
        <is>
          <t>无</t>
        </is>
      </c>
      <c r="AA220" s="2" t="inlineStr">
        <is>
          <t>无</t>
        </is>
      </c>
      <c r="AB220" s="2" t="inlineStr">
        <is>
          <t>专业问题协调</t>
        </is>
      </c>
      <c r="AC220" s="2" t="inlineStr">
        <is>
          <t>C.存在偏差（需辅导）</t>
        </is>
      </c>
      <c r="AD220" s="2" t="inlineStr">
        <is>
          <t>无</t>
        </is>
      </c>
      <c r="AE220" s="2"/>
      <c r="AF220" s="2"/>
      <c r="AG220" s="2"/>
      <c r="AH220" s="2"/>
      <c r="AI220" s="7" t="n">
        <v>4.33</v>
      </c>
      <c r="AJ220" s="7" t="n">
        <v>6.33</v>
      </c>
      <c r="AK220" s="7" t="n">
        <v>0</v>
      </c>
      <c r="AL220" s="7" t="n">
        <v>0</v>
      </c>
      <c r="AM220" s="7" t="n">
        <v>0</v>
      </c>
      <c r="AN220" s="7" t="n">
        <v>0</v>
      </c>
      <c r="AO220" s="7" t="n">
        <v>0</v>
      </c>
      <c r="AP220" s="7" t="n">
        <v>0</v>
      </c>
      <c r="AQ220" s="7" t="n">
        <v>0</v>
      </c>
      <c r="AR220" s="7" t="n">
        <v>0</v>
      </c>
      <c r="AS220" s="7" t="n">
        <v>4.33</v>
      </c>
      <c r="AT220" s="7" t="n">
        <v>6.33</v>
      </c>
      <c r="AU220" s="7" t="n">
        <v>5.33</v>
      </c>
      <c r="AV220" s="2" t="inlineStr">
        <is>
          <t>欠饱和</t>
        </is>
      </c>
      <c r="AW220" s="2" t="inlineStr">
        <is>
          <t>不一致</t>
        </is>
      </c>
      <c r="AX220" s="2" t="inlineStr">
        <is>
          <t>7d299004-14c1-4c9d-af8b-5e3b717835c7</t>
        </is>
      </c>
      <c r="AY220" s="2" t="inlineStr">
        <is>
          <t>马来西亚分公司（国内采购）    金洋玄</t>
        </is>
      </c>
      <c r="AZ220" s="2" t="inlineStr">
        <is>
          <t>Anonymous</t>
        </is>
      </c>
      <c r="BA220" s="2" t="inlineStr">
        <is>
          <t>Anonymous</t>
        </is>
      </c>
      <c r="BB220" s="2"/>
      <c r="BC220" s="2" t="inlineStr">
        <is>
          <t>2026-05-21 08:43:22</t>
        </is>
      </c>
      <c r="BD220" s="3" t="n">
        <v>2003</v>
      </c>
      <c r="BE220" s="3" t="n">
        <v>23</v>
      </c>
      <c r="BF220" s="2" t="inlineStr">
        <is>
          <t>A.无此需求</t>
        </is>
      </c>
      <c r="BG220" s="2" t="inlineStr">
        <is>
          <t>已生效</t>
        </is>
      </c>
      <c r="BH220" s="2" t="inlineStr">
        <is>
          <t>48d260b0-db5c-41b7-a5a7-f4813769a9bd</t>
        </is>
      </c>
      <c r="BI220" s="3" t="n">
        <v>1</v>
      </c>
      <c r="BJ220" s="2"/>
      <c r="BK220" s="2"/>
      <c r="BL220" s="2"/>
      <c r="BM220" s="2"/>
      <c r="BN220" s="2"/>
      <c r="BO220" s="2"/>
      <c r="BP220" s="2"/>
      <c r="BQ220" s="2"/>
      <c r="BR220" s="2"/>
      <c r="BS220" s="2" t="inlineStr">
        <is>
          <t>67304cf5-5d34-4089-b474-f3e1e8baafd3</t>
        </is>
      </c>
      <c r="BT220" s="3" t="n">
        <v>1</v>
      </c>
      <c r="BU220" s="2" t="inlineStr">
        <is>
          <t>数据报表类</t>
        </is>
      </c>
      <c r="BV220" s="2" t="inlineStr">
        <is>
          <t>点口</t>
        </is>
      </c>
      <c r="BW220" s="2" t="inlineStr">
        <is>
          <t>1次</t>
        </is>
      </c>
      <c r="BX220" s="3" t="n">
        <v>1</v>
      </c>
      <c r="BY220" s="3" t="n">
        <v>1</v>
      </c>
      <c r="BZ220" s="2" t="inlineStr">
        <is>
          <t>C.2-4小时</t>
        </is>
      </c>
      <c r="CA220" s="7" t="n">
        <v>2</v>
      </c>
      <c r="CB220" s="7" t="n">
        <v>4</v>
      </c>
      <c r="CC220" s="7" t="n">
        <v>2</v>
      </c>
      <c r="CD220" s="7" t="n">
        <v>4</v>
      </c>
      <c r="CE220" s="2" t="inlineStr">
        <is>
          <t>数据报表类</t>
        </is>
      </c>
      <c r="CF220" s="2"/>
      <c r="CG220" s="2" t="inlineStr">
        <is>
          <t>专项统计</t>
        </is>
      </c>
      <c r="CH220" s="2" t="inlineStr">
        <is>
          <t>岗位职责</t>
        </is>
      </c>
      <c r="CI220" s="2" t="inlineStr">
        <is>
          <t>重要且紧急</t>
        </is>
      </c>
      <c r="CJ220" s="2" t="inlineStr">
        <is>
          <t>高度标准化-有成熟SOP，照做即可</t>
        </is>
      </c>
      <c r="CK220" s="2" t="inlineStr">
        <is>
          <t>极少（&lt;5%）</t>
        </is>
      </c>
      <c r="CL220" s="2" t="inlineStr">
        <is>
          <t>沟通/协调负荷</t>
        </is>
      </c>
      <c r="CM220" s="2"/>
      <c r="CN220" s="2" t="inlineStr">
        <is>
          <t>615c2c37-913e-42ae-9b8c-3bf89f29fff2</t>
        </is>
      </c>
      <c r="CO220" s="3" t="n">
        <v>1</v>
      </c>
      <c r="CP220" s="2"/>
      <c r="CQ220" s="2"/>
      <c r="CR220" s="2"/>
      <c r="CS220" s="3"/>
      <c r="CT220" s="3"/>
      <c r="CU220" s="2"/>
      <c r="CV220" s="3"/>
      <c r="CW220" s="3"/>
      <c r="CX220" s="3"/>
      <c r="CY220" s="3"/>
      <c r="CZ220" s="2"/>
      <c r="DA220" s="2"/>
      <c r="DB220" s="2"/>
      <c r="DC220" s="2"/>
      <c r="DD220" s="2"/>
      <c r="DE220" s="2"/>
      <c r="DF220" s="2"/>
      <c r="DG220" s="2"/>
      <c r="DH220" s="2"/>
      <c r="DI220" s="2" t="inlineStr">
        <is>
          <t>6bfac27f-9e06-4bdd-9378-e16291433dfa</t>
        </is>
      </c>
      <c r="DJ220" s="3" t="n">
        <v>1</v>
      </c>
      <c r="DK220" s="2"/>
      <c r="DL220" s="2"/>
      <c r="DM220" s="2"/>
      <c r="DN220" s="3"/>
      <c r="DO220" s="3"/>
      <c r="DP220" s="2"/>
      <c r="DQ220" s="3"/>
      <c r="DR220" s="3"/>
      <c r="DS220" s="3"/>
      <c r="DT220" s="3"/>
      <c r="DU220" s="2"/>
      <c r="DV220" s="2"/>
      <c r="DW220" s="2"/>
      <c r="DX220" s="2"/>
      <c r="DY220" s="2"/>
      <c r="DZ220" s="2"/>
      <c r="EA220" s="2"/>
      <c r="EB220" s="2"/>
      <c r="EC220" s="2"/>
      <c r="ED220" s="2" t="inlineStr">
        <is>
          <t>62b231c8-b9c9-429a-a411-0d23412ce031</t>
        </is>
      </c>
      <c r="EE220" s="3" t="n">
        <v>1</v>
      </c>
      <c r="EF220" s="2"/>
      <c r="EG220" s="2"/>
      <c r="EH220" s="2"/>
      <c r="EI220" s="3"/>
      <c r="EJ220" s="2"/>
      <c r="EK220" s="3"/>
      <c r="EL220" s="3"/>
      <c r="EM220" s="3"/>
      <c r="EN220" s="3"/>
      <c r="EO220" s="2"/>
      <c r="EP220" s="2"/>
      <c r="EQ220" s="2"/>
      <c r="ER220" s="2"/>
      <c r="ES220" s="2"/>
      <c r="ET220" s="2"/>
      <c r="EU220" s="2"/>
      <c r="EV220" s="2"/>
      <c r="EW220" s="2"/>
      <c r="EX220" s="2" t="inlineStr">
        <is>
          <t>b51f4bb1-850d-4599-b698-04ae940e1819</t>
        </is>
      </c>
      <c r="EY220" s="3" t="n">
        <v>1</v>
      </c>
      <c r="EZ220" s="2"/>
      <c r="FA220" s="2"/>
      <c r="FB220" s="2"/>
      <c r="FC220" s="2"/>
      <c r="FD220" s="3"/>
      <c r="FE220" s="3"/>
      <c r="FF220" s="2"/>
      <c r="FG220" s="3"/>
      <c r="FH220" s="3"/>
      <c r="FI220" s="7" t="n">
        <v>0</v>
      </c>
      <c r="FJ220" s="7" t="n">
        <v>0</v>
      </c>
      <c r="FK220" s="7" t="n">
        <v>0</v>
      </c>
      <c r="FL220" s="7" t="n">
        <v>0</v>
      </c>
      <c r="FM220" s="7" t="n">
        <v>0</v>
      </c>
      <c r="FN220" s="7" t="n">
        <v>0</v>
      </c>
      <c r="FO220" s="2"/>
      <c r="FP220" s="2"/>
      <c r="FQ220" s="2"/>
      <c r="FR220" s="2"/>
      <c r="FS220" s="2"/>
      <c r="FT220" s="2"/>
      <c r="FU220" s="2"/>
      <c r="FV220" s="2"/>
      <c r="FW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t="inlineStr">
        <is>
          <t>956d8661-7c9f-49bf-a85d-aa2692eeaaf0</t>
        </is>
      </c>
      <c r="BT221" s="3" t="n">
        <v>2</v>
      </c>
      <c r="BU221" s="2" t="inlineStr">
        <is>
          <t>数据报表类</t>
        </is>
      </c>
      <c r="BV221" s="2" t="inlineStr">
        <is>
          <t>质保文件</t>
        </is>
      </c>
      <c r="BW221" s="2" t="inlineStr">
        <is>
          <t>1次</t>
        </is>
      </c>
      <c r="BX221" s="3" t="n">
        <v>1</v>
      </c>
      <c r="BY221" s="3" t="n">
        <v>1</v>
      </c>
      <c r="BZ221" s="2" t="inlineStr">
        <is>
          <t>A.20分钟以内</t>
        </is>
      </c>
      <c r="CA221" s="7" t="n">
        <v>0.33</v>
      </c>
      <c r="CB221" s="7" t="n">
        <v>0.33</v>
      </c>
      <c r="CC221" s="7" t="n">
        <v>0.33</v>
      </c>
      <c r="CD221" s="7" t="n">
        <v>0.33</v>
      </c>
      <c r="CE221" s="2" t="inlineStr">
        <is>
          <t>数据报表类</t>
        </is>
      </c>
      <c r="CF221" s="2"/>
      <c r="CG221" s="2" t="inlineStr">
        <is>
          <t>专项统计</t>
        </is>
      </c>
      <c r="CH221" s="2" t="inlineStr">
        <is>
          <t>岗位职责</t>
        </is>
      </c>
      <c r="CI221" s="2" t="inlineStr">
        <is>
          <t>重要且紧急</t>
        </is>
      </c>
      <c r="CJ221" s="2" t="inlineStr">
        <is>
          <t>半标准化-有流程框架，需专业经验</t>
        </is>
      </c>
      <c r="CK221" s="2" t="inlineStr">
        <is>
          <t>极少（&lt;5%）</t>
        </is>
      </c>
      <c r="CL221" s="2" t="inlineStr">
        <is>
          <t>沟通/协调负荷</t>
        </is>
      </c>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t="inlineStr">
        <is>
          <t>56bb2a4d-cd55-4fbe-a564-04a54e417da5</t>
        </is>
      </c>
      <c r="BT222" s="3" t="n">
        <v>3</v>
      </c>
      <c r="BU222" s="2" t="inlineStr">
        <is>
          <t>数据报表类</t>
        </is>
      </c>
      <c r="BV222" s="2" t="inlineStr">
        <is>
          <t>共检委托</t>
        </is>
      </c>
      <c r="BW222" s="2" t="inlineStr">
        <is>
          <t>1次</t>
        </is>
      </c>
      <c r="BX222" s="3" t="n">
        <v>1</v>
      </c>
      <c r="BY222" s="3" t="n">
        <v>1</v>
      </c>
      <c r="BZ222" s="2" t="inlineStr">
        <is>
          <t>B.2小时以内</t>
        </is>
      </c>
      <c r="CA222" s="7" t="n">
        <v>2</v>
      </c>
      <c r="CB222" s="7" t="n">
        <v>2</v>
      </c>
      <c r="CC222" s="7" t="n">
        <v>2</v>
      </c>
      <c r="CD222" s="7" t="n">
        <v>2</v>
      </c>
      <c r="CE222" s="2" t="inlineStr">
        <is>
          <t>数据报表类</t>
        </is>
      </c>
      <c r="CF222" s="2"/>
      <c r="CG222" s="2" t="inlineStr">
        <is>
          <t>专项统计</t>
        </is>
      </c>
      <c r="CH222" s="2" t="inlineStr">
        <is>
          <t>岗位职责</t>
        </is>
      </c>
      <c r="CI222" s="2" t="inlineStr">
        <is>
          <t>不重要不紧急</t>
        </is>
      </c>
      <c r="CJ222" s="2" t="inlineStr">
        <is>
          <t>高度标准化-有成熟SOP，照做即可</t>
        </is>
      </c>
      <c r="CK222" s="2" t="inlineStr">
        <is>
          <t>极少（&lt;5%）</t>
        </is>
      </c>
      <c r="CL222" s="2" t="inlineStr">
        <is>
          <t>沟通/协调负荷</t>
        </is>
      </c>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row>
    <row r="223">
      <c r="A223" s="2" t="inlineStr">
        <is>
          <t>2026-05-12 08:16:56</t>
        </is>
      </c>
      <c r="B223" s="2" t="inlineStr">
        <is>
          <t>周国龙</t>
        </is>
      </c>
      <c r="C223" s="2" t="inlineStr">
        <is>
          <t>马来西亚分公司（国内采购）</t>
        </is>
      </c>
      <c r="D223" s="2" t="inlineStr">
        <is>
          <t>男</t>
        </is>
      </c>
      <c r="E223" s="2" t="inlineStr">
        <is>
          <t>532323200012131933</t>
        </is>
      </c>
      <c r="F223" s="2" t="inlineStr">
        <is>
          <t>技术助理(二)</t>
        </is>
      </c>
      <c r="G223" s="2" t="inlineStr">
        <is>
          <t>2023-08</t>
        </is>
      </c>
      <c r="H223" s="2" t="inlineStr">
        <is>
          <t>昆明理工大学</t>
        </is>
      </c>
      <c r="I223" s="2" t="inlineStr">
        <is>
          <t>焊接</t>
        </is>
      </c>
      <c r="J223" s="2" t="inlineStr">
        <is>
          <t>本科</t>
        </is>
      </c>
      <c r="K223" s="2"/>
      <c r="L223" s="6">
        <f>HYPERLINK("https://www.h3yun.com/Form/Attachments/?schemacode=D1483577de63ede327d4760b10664bd57671d7e&amp;bizObjectId=b8f66acf-bb78-495e-9f99-6601e1c5d606&amp;name=F0000046","点击查看")</f>
        <v>0</v>
      </c>
      <c r="M223" s="2" t="inlineStr">
        <is>
          <t>无</t>
        </is>
      </c>
      <c r="N223" s="2" t="inlineStr">
        <is>
          <t>每日工作</t>
        </is>
      </c>
      <c r="O223" s="2" t="inlineStr">
        <is>
          <t>26-30岁</t>
        </is>
      </c>
      <c r="P223" s="2" t="inlineStr">
        <is>
          <t>A.未婚</t>
        </is>
      </c>
      <c r="Q223" s="2" t="inlineStr">
        <is>
          <t>A.否</t>
        </is>
      </c>
      <c r="R223" s="2" t="inlineStr">
        <is>
          <t>A.否</t>
        </is>
      </c>
      <c r="S223" s="2" t="inlineStr">
        <is>
          <t>D.希望承担更有挑战性的工作，并争取更大发展空间</t>
        </is>
      </c>
      <c r="T223" s="2" t="inlineStr">
        <is>
          <t>A.基本满意，希望保持</t>
        </is>
      </c>
      <c r="U223" s="2" t="inlineStr">
        <is>
          <t>E.增加成长性和挑战性</t>
        </is>
      </c>
      <c r="V223" s="2" t="inlineStr">
        <is>
          <t>A.没有</t>
        </is>
      </c>
      <c r="W223" s="2"/>
      <c r="X223" s="2" t="inlineStr">
        <is>
          <t>C.均衡 (80%-100%)</t>
        </is>
      </c>
      <c r="Y223" s="2" t="inlineStr">
        <is>
          <t>G.接收到任务分配单完成周期内要求的加班</t>
        </is>
      </c>
      <c r="Z223" s="2" t="inlineStr">
        <is>
          <t>无</t>
        </is>
      </c>
      <c r="AA223" s="2" t="inlineStr">
        <is>
          <t>无</t>
        </is>
      </c>
      <c r="AB223" s="2" t="inlineStr">
        <is>
          <t>无</t>
        </is>
      </c>
      <c r="AC223" s="2" t="inlineStr">
        <is>
          <t>B.基本匹配（正常履行）</t>
        </is>
      </c>
      <c r="AD223" s="2" t="inlineStr">
        <is>
          <t>无</t>
        </is>
      </c>
      <c r="AE223" s="2"/>
      <c r="AF223" s="2"/>
      <c r="AG223" s="2"/>
      <c r="AH223" s="2"/>
      <c r="AI223" s="7" t="n">
        <v>4</v>
      </c>
      <c r="AJ223" s="7" t="n">
        <v>8</v>
      </c>
      <c r="AK223" s="7" t="n">
        <v>0</v>
      </c>
      <c r="AL223" s="7" t="n">
        <v>0</v>
      </c>
      <c r="AM223" s="7" t="n">
        <v>0</v>
      </c>
      <c r="AN223" s="7" t="n">
        <v>0</v>
      </c>
      <c r="AO223" s="7" t="n">
        <v>0</v>
      </c>
      <c r="AP223" s="7" t="n">
        <v>0</v>
      </c>
      <c r="AQ223" s="7" t="n">
        <v>0</v>
      </c>
      <c r="AR223" s="7" t="n">
        <v>0</v>
      </c>
      <c r="AS223" s="7" t="n">
        <v>4</v>
      </c>
      <c r="AT223" s="7" t="n">
        <v>8</v>
      </c>
      <c r="AU223" s="7" t="n">
        <v>6</v>
      </c>
      <c r="AV223" s="2" t="inlineStr">
        <is>
          <t>欠饱和</t>
        </is>
      </c>
      <c r="AW223" s="2" t="inlineStr">
        <is>
          <t>不一致</t>
        </is>
      </c>
      <c r="AX223" s="2" t="inlineStr">
        <is>
          <t>b8f66acf-bb78-495e-9f99-6601e1c5d606</t>
        </is>
      </c>
      <c r="AY223" s="2" t="inlineStr">
        <is>
          <t>马来西亚分公司（国内采购）    周国龙</t>
        </is>
      </c>
      <c r="AZ223" s="2" t="inlineStr">
        <is>
          <t>Anonymous</t>
        </is>
      </c>
      <c r="BA223" s="2" t="inlineStr">
        <is>
          <t>Anonymous</t>
        </is>
      </c>
      <c r="BB223" s="2"/>
      <c r="BC223" s="2" t="inlineStr">
        <is>
          <t>2026-05-21 08:43:22</t>
        </is>
      </c>
      <c r="BD223" s="3" t="n">
        <v>2000</v>
      </c>
      <c r="BE223" s="3" t="n">
        <v>26</v>
      </c>
      <c r="BF223" s="2" t="inlineStr">
        <is>
          <t>A.无此需求</t>
        </is>
      </c>
      <c r="BG223" s="2" t="inlineStr">
        <is>
          <t>已生效</t>
        </is>
      </c>
      <c r="BH223" s="2" t="inlineStr">
        <is>
          <t>780894e7-aff5-4dae-a4b9-d4d40f915268</t>
        </is>
      </c>
      <c r="BI223" s="3" t="n">
        <v>1</v>
      </c>
      <c r="BJ223" s="2"/>
      <c r="BK223" s="2"/>
      <c r="BL223" s="2"/>
      <c r="BM223" s="2"/>
      <c r="BN223" s="2"/>
      <c r="BO223" s="2"/>
      <c r="BP223" s="2"/>
      <c r="BQ223" s="2"/>
      <c r="BR223" s="2"/>
      <c r="BS223" s="2" t="inlineStr">
        <is>
          <t>7135b321-472c-4022-b723-7464a003d0cd</t>
        </is>
      </c>
      <c r="BT223" s="3" t="n">
        <v>1</v>
      </c>
      <c r="BU223" s="2" t="inlineStr">
        <is>
          <t>专业技术类</t>
        </is>
      </c>
      <c r="BV223" s="2" t="inlineStr">
        <is>
          <t>管道图纸落图</t>
        </is>
      </c>
      <c r="BW223" s="2" t="inlineStr">
        <is>
          <t>1次</t>
        </is>
      </c>
      <c r="BX223" s="3" t="n">
        <v>1</v>
      </c>
      <c r="BY223" s="3" t="n">
        <v>1</v>
      </c>
      <c r="BZ223" s="2" t="inlineStr">
        <is>
          <t>D.4-8小时</t>
        </is>
      </c>
      <c r="CA223" s="7" t="n">
        <v>4</v>
      </c>
      <c r="CB223" s="7" t="n">
        <v>8</v>
      </c>
      <c r="CC223" s="7" t="n">
        <v>4</v>
      </c>
      <c r="CD223" s="7" t="n">
        <v>8</v>
      </c>
      <c r="CE223" s="2" t="inlineStr">
        <is>
          <t>专业技术类</t>
        </is>
      </c>
      <c r="CF223" s="2"/>
      <c r="CG223" s="2" t="inlineStr">
        <is>
          <t>专业问题协调</t>
        </is>
      </c>
      <c r="CH223" s="2" t="inlineStr">
        <is>
          <t>部门计划</t>
        </is>
      </c>
      <c r="CI223" s="2" t="inlineStr">
        <is>
          <t>重要且紧急</t>
        </is>
      </c>
      <c r="CJ223" s="2" t="inlineStr">
        <is>
          <t>高度标准化-有成熟SOP，照做即可</t>
        </is>
      </c>
      <c r="CK223" s="2" t="inlineStr">
        <is>
          <t>极少（&lt;5%）</t>
        </is>
      </c>
      <c r="CL223" s="2" t="inlineStr">
        <is>
          <t>时效/强度负荷</t>
        </is>
      </c>
      <c r="CM223" s="2"/>
      <c r="CN223" s="2" t="inlineStr">
        <is>
          <t>391225a5-b809-404a-8b7b-9199f2bc7a8f</t>
        </is>
      </c>
      <c r="CO223" s="3" t="n">
        <v>1</v>
      </c>
      <c r="CP223" s="2"/>
      <c r="CQ223" s="2"/>
      <c r="CR223" s="2"/>
      <c r="CS223" s="3"/>
      <c r="CT223" s="3"/>
      <c r="CU223" s="2"/>
      <c r="CV223" s="3"/>
      <c r="CW223" s="3"/>
      <c r="CX223" s="3"/>
      <c r="CY223" s="3"/>
      <c r="CZ223" s="2"/>
      <c r="DA223" s="2"/>
      <c r="DB223" s="2"/>
      <c r="DC223" s="2"/>
      <c r="DD223" s="2"/>
      <c r="DE223" s="2"/>
      <c r="DF223" s="2"/>
      <c r="DG223" s="2"/>
      <c r="DH223" s="2"/>
      <c r="DI223" s="2" t="inlineStr">
        <is>
          <t>16ce5cc4-44b4-4d78-be2a-c1002c5480e7</t>
        </is>
      </c>
      <c r="DJ223" s="3" t="n">
        <v>1</v>
      </c>
      <c r="DK223" s="2"/>
      <c r="DL223" s="2"/>
      <c r="DM223" s="2"/>
      <c r="DN223" s="3"/>
      <c r="DO223" s="3"/>
      <c r="DP223" s="2"/>
      <c r="DQ223" s="3"/>
      <c r="DR223" s="3"/>
      <c r="DS223" s="3"/>
      <c r="DT223" s="3"/>
      <c r="DU223" s="2"/>
      <c r="DV223" s="2"/>
      <c r="DW223" s="2"/>
      <c r="DX223" s="2"/>
      <c r="DY223" s="2"/>
      <c r="DZ223" s="2"/>
      <c r="EA223" s="2"/>
      <c r="EB223" s="2"/>
      <c r="EC223" s="2"/>
      <c r="ED223" s="2" t="inlineStr">
        <is>
          <t>deb22d5b-0f22-4a5e-8c1d-a195a0a16a31</t>
        </is>
      </c>
      <c r="EE223" s="3" t="n">
        <v>1</v>
      </c>
      <c r="EF223" s="2"/>
      <c r="EG223" s="2"/>
      <c r="EH223" s="2"/>
      <c r="EI223" s="3"/>
      <c r="EJ223" s="2"/>
      <c r="EK223" s="3"/>
      <c r="EL223" s="3"/>
      <c r="EM223" s="3"/>
      <c r="EN223" s="3"/>
      <c r="EO223" s="2"/>
      <c r="EP223" s="2"/>
      <c r="EQ223" s="2"/>
      <c r="ER223" s="2"/>
      <c r="ES223" s="2"/>
      <c r="ET223" s="2"/>
      <c r="EU223" s="2"/>
      <c r="EV223" s="2"/>
      <c r="EW223" s="2"/>
      <c r="EX223" s="2" t="inlineStr">
        <is>
          <t>9504f3e9-a9e7-42e6-b157-7f4191ba6572</t>
        </is>
      </c>
      <c r="EY223" s="3" t="n">
        <v>1</v>
      </c>
      <c r="EZ223" s="2"/>
      <c r="FA223" s="2"/>
      <c r="FB223" s="2"/>
      <c r="FC223" s="2"/>
      <c r="FD223" s="3"/>
      <c r="FE223" s="3"/>
      <c r="FF223" s="2"/>
      <c r="FG223" s="3"/>
      <c r="FH223" s="3"/>
      <c r="FI223" s="7" t="n">
        <v>0</v>
      </c>
      <c r="FJ223" s="7" t="n">
        <v>0</v>
      </c>
      <c r="FK223" s="7" t="n">
        <v>0</v>
      </c>
      <c r="FL223" s="7" t="n">
        <v>0</v>
      </c>
      <c r="FM223" s="7" t="n">
        <v>0</v>
      </c>
      <c r="FN223" s="7" t="n">
        <v>0</v>
      </c>
      <c r="FO223" s="2"/>
      <c r="FP223" s="2"/>
      <c r="FQ223" s="2"/>
      <c r="FR223" s="2"/>
      <c r="FS223" s="2"/>
      <c r="FT223" s="2"/>
      <c r="FU223" s="2"/>
      <c r="FV223" s="2"/>
      <c r="FW223" s="2"/>
    </row>
    <row r="224">
      <c r="A224" s="2" t="inlineStr">
        <is>
          <t>2026-05-11 15:28:35</t>
        </is>
      </c>
      <c r="B224" s="2" t="inlineStr">
        <is>
          <t>鲁子恒</t>
        </is>
      </c>
      <c r="C224" s="2" t="inlineStr">
        <is>
          <t>马来西亚分公司（国外）</t>
        </is>
      </c>
      <c r="D224" s="2" t="inlineStr">
        <is>
          <t>男</t>
        </is>
      </c>
      <c r="E224" s="2" t="inlineStr">
        <is>
          <t>42900620020110633x</t>
        </is>
      </c>
      <c r="F224" s="2" t="inlineStr">
        <is>
          <t>技术助理(三)</t>
        </is>
      </c>
      <c r="G224" s="2" t="inlineStr">
        <is>
          <t>2025-08</t>
        </is>
      </c>
      <c r="H224" s="2" t="inlineStr">
        <is>
          <t>荆州学院</t>
        </is>
      </c>
      <c r="I224" s="2" t="inlineStr">
        <is>
          <t>材料员</t>
        </is>
      </c>
      <c r="J224" s="2" t="inlineStr">
        <is>
          <t>本科</t>
        </is>
      </c>
      <c r="K224" s="2"/>
      <c r="L224" s="6">
        <f>HYPERLINK("https://www.h3yun.com/Form/Attachments/?schemacode=D1483577de63ede327d4760b10664bd57671d7e&amp;bizObjectId=22a793e4-aad6-41bb-be8d-243007ac3839&amp;name=F0000046","点击查看")</f>
        <v>0</v>
      </c>
      <c r="M224" s="2" t="inlineStr">
        <is>
          <t>没有建议，目前从事的工作内容很合理</t>
        </is>
      </c>
      <c r="N224" s="2" t="inlineStr">
        <is>
          <t>每周工作</t>
        </is>
      </c>
      <c r="O224" s="2" t="inlineStr">
        <is>
          <t>25岁及以下</t>
        </is>
      </c>
      <c r="P224" s="2" t="inlineStr">
        <is>
          <t>A.未婚</t>
        </is>
      </c>
      <c r="Q224" s="2" t="inlineStr">
        <is>
          <t>A.否</t>
        </is>
      </c>
      <c r="R224" s="2" t="inlineStr">
        <is>
          <t>A.否</t>
        </is>
      </c>
      <c r="S224" s="2" t="inlineStr">
        <is>
          <t>A.保持当前工作内容和节奏，收入相对稳定即可</t>
        </is>
      </c>
      <c r="T224" s="2" t="inlineStr">
        <is>
          <t>C.工作较稳定，但发展空间不足</t>
        </is>
      </c>
      <c r="U224" s="2" t="inlineStr">
        <is>
          <t>C.增加弹性和稳定性</t>
        </is>
      </c>
      <c r="V224" s="2" t="inlineStr">
        <is>
          <t>A.没有</t>
        </is>
      </c>
      <c r="W224" s="2"/>
      <c r="X224" s="2" t="inlineStr">
        <is>
          <t>C.均衡 (80%-100%)</t>
        </is>
      </c>
      <c r="Y224" s="2" t="inlineStr">
        <is>
          <t>K.无需加班</t>
        </is>
      </c>
      <c r="Z224" s="2" t="inlineStr">
        <is>
          <t>专业问题协调</t>
        </is>
      </c>
      <c r="AA224" s="2" t="inlineStr">
        <is>
          <t>无</t>
        </is>
      </c>
      <c r="AB224" s="2" t="inlineStr">
        <is>
          <t>无</t>
        </is>
      </c>
      <c r="AC224" s="2" t="inlineStr">
        <is>
          <t>C.存在偏差（需辅导）</t>
        </is>
      </c>
      <c r="AD224" s="2" t="inlineStr">
        <is>
          <t>没有优化建议</t>
        </is>
      </c>
      <c r="AE224" s="2" t="inlineStr">
        <is>
          <t>没有建议</t>
        </is>
      </c>
      <c r="AF224" s="2" t="inlineStr">
        <is>
          <t>没有建议</t>
        </is>
      </c>
      <c r="AG224" s="2"/>
      <c r="AH224" s="2"/>
      <c r="AI224" s="7" t="n">
        <v>0</v>
      </c>
      <c r="AJ224" s="7" t="n">
        <v>0</v>
      </c>
      <c r="AK224" s="7" t="n">
        <v>4.13</v>
      </c>
      <c r="AL224" s="7" t="n">
        <v>9.8</v>
      </c>
      <c r="AM224" s="7" t="n">
        <v>0</v>
      </c>
      <c r="AN224" s="7" t="n">
        <v>0</v>
      </c>
      <c r="AO224" s="7" t="n">
        <v>0</v>
      </c>
      <c r="AP224" s="7" t="n">
        <v>0</v>
      </c>
      <c r="AQ224" s="7" t="n">
        <v>0</v>
      </c>
      <c r="AR224" s="7" t="n">
        <v>0</v>
      </c>
      <c r="AS224" s="7" t="n">
        <v>4.13</v>
      </c>
      <c r="AT224" s="7" t="n">
        <v>9.8</v>
      </c>
      <c r="AU224" s="7" t="n">
        <v>6.97</v>
      </c>
      <c r="AV224" s="2" t="inlineStr">
        <is>
          <t>均衡</t>
        </is>
      </c>
      <c r="AW224" s="2" t="inlineStr">
        <is>
          <t>一致</t>
        </is>
      </c>
      <c r="AX224" s="2" t="inlineStr">
        <is>
          <t>22a793e4-aad6-41bb-be8d-243007ac3839</t>
        </is>
      </c>
      <c r="AY224" s="2" t="inlineStr">
        <is>
          <t>马来西亚分公司（国外）    鲁子恒</t>
        </is>
      </c>
      <c r="AZ224" s="2" t="inlineStr">
        <is>
          <t>Anonymous</t>
        </is>
      </c>
      <c r="BA224" s="2" t="inlineStr">
        <is>
          <t>Anonymous</t>
        </is>
      </c>
      <c r="BB224" s="2"/>
      <c r="BC224" s="2" t="inlineStr">
        <is>
          <t>2026-05-21 08:43:22</t>
        </is>
      </c>
      <c r="BD224" s="3" t="n">
        <v>2002</v>
      </c>
      <c r="BE224" s="3" t="n">
        <v>24</v>
      </c>
      <c r="BF224" s="2" t="inlineStr">
        <is>
          <t>A.无此需求</t>
        </is>
      </c>
      <c r="BG224" s="2" t="inlineStr">
        <is>
          <t>已生效</t>
        </is>
      </c>
      <c r="BH224" s="2" t="inlineStr">
        <is>
          <t>0d39eca5-faa1-4b55-b88c-80e032d8bfce</t>
        </is>
      </c>
      <c r="BI224" s="3" t="n">
        <v>1</v>
      </c>
      <c r="BJ224" s="2"/>
      <c r="BK224" s="2"/>
      <c r="BL224" s="2"/>
      <c r="BM224" s="2"/>
      <c r="BN224" s="2"/>
      <c r="BO224" s="2"/>
      <c r="BP224" s="2"/>
      <c r="BQ224" s="2"/>
      <c r="BR224" s="2"/>
      <c r="BS224" s="2" t="inlineStr">
        <is>
          <t>37e6c0df-bf8d-48e8-b7bd-8131d859926e</t>
        </is>
      </c>
      <c r="BT224" s="3" t="n">
        <v>1</v>
      </c>
      <c r="BU224" s="2"/>
      <c r="BV224" s="2"/>
      <c r="BW224" s="2"/>
      <c r="BX224" s="3"/>
      <c r="BY224" s="3"/>
      <c r="BZ224" s="2"/>
      <c r="CA224" s="3"/>
      <c r="CB224" s="3"/>
      <c r="CC224" s="3"/>
      <c r="CD224" s="3"/>
      <c r="CE224" s="2"/>
      <c r="CF224" s="2"/>
      <c r="CG224" s="2"/>
      <c r="CH224" s="2"/>
      <c r="CI224" s="2"/>
      <c r="CJ224" s="2"/>
      <c r="CK224" s="2"/>
      <c r="CL224" s="2"/>
      <c r="CM224" s="2"/>
      <c r="CN224" s="2" t="inlineStr">
        <is>
          <t>4d719632-ab02-46aa-94cf-8734167bcc31</t>
        </is>
      </c>
      <c r="CO224" s="3" t="n">
        <v>1</v>
      </c>
      <c r="CP224" s="2"/>
      <c r="CQ224" s="2" t="inlineStr">
        <is>
          <t>dify机器人提取简历信息，上传至氚云</t>
        </is>
      </c>
      <c r="CR224" s="2" t="inlineStr">
        <is>
          <t>2-3次</t>
        </is>
      </c>
      <c r="CS224" s="3" t="n">
        <v>2</v>
      </c>
      <c r="CT224" s="3" t="n">
        <v>3</v>
      </c>
      <c r="CU224" s="2" t="inlineStr">
        <is>
          <t>C.2-4小时</t>
        </is>
      </c>
      <c r="CV224" s="7" t="n">
        <v>2</v>
      </c>
      <c r="CW224" s="7" t="n">
        <v>4</v>
      </c>
      <c r="CX224" s="7" t="n">
        <v>4</v>
      </c>
      <c r="CY224" s="7" t="n">
        <v>12</v>
      </c>
      <c r="CZ224" s="2" t="inlineStr">
        <is>
          <t>数据报表类</t>
        </is>
      </c>
      <c r="DA224" s="2"/>
      <c r="DB224" s="2" t="inlineStr">
        <is>
          <t>专项统计</t>
        </is>
      </c>
      <c r="DC224" s="2" t="inlineStr">
        <is>
          <t>上级指令</t>
        </is>
      </c>
      <c r="DD224" s="2" t="inlineStr">
        <is>
          <t>重要且紧急</t>
        </is>
      </c>
      <c r="DE224" s="2" t="inlineStr">
        <is>
          <t>高度标准化-有成熟SOP，照做即可</t>
        </is>
      </c>
      <c r="DF224" s="2" t="inlineStr">
        <is>
          <t>极少（&lt;5%）</t>
        </is>
      </c>
      <c r="DG224" s="2" t="inlineStr">
        <is>
          <t>沟通/协调负荷</t>
        </is>
      </c>
      <c r="DH224" s="2"/>
      <c r="DI224" s="2" t="inlineStr">
        <is>
          <t>5d5d28b0-5218-47bb-ad0e-ba9379f84f3a</t>
        </is>
      </c>
      <c r="DJ224" s="3" t="n">
        <v>1</v>
      </c>
      <c r="DK224" s="2"/>
      <c r="DL224" s="2"/>
      <c r="DM224" s="2"/>
      <c r="DN224" s="3"/>
      <c r="DO224" s="3"/>
      <c r="DP224" s="2"/>
      <c r="DQ224" s="3"/>
      <c r="DR224" s="3"/>
      <c r="DS224" s="3"/>
      <c r="DT224" s="3"/>
      <c r="DU224" s="2"/>
      <c r="DV224" s="2"/>
      <c r="DW224" s="2"/>
      <c r="DX224" s="2"/>
      <c r="DY224" s="2"/>
      <c r="DZ224" s="2"/>
      <c r="EA224" s="2"/>
      <c r="EB224" s="2"/>
      <c r="EC224" s="2"/>
      <c r="ED224" s="2" t="inlineStr">
        <is>
          <t>8a5e4c4e-9fee-4e89-8b29-00a6a0ac8151</t>
        </is>
      </c>
      <c r="EE224" s="3" t="n">
        <v>1</v>
      </c>
      <c r="EF224" s="2"/>
      <c r="EG224" s="2"/>
      <c r="EH224" s="2"/>
      <c r="EI224" s="3"/>
      <c r="EJ224" s="2"/>
      <c r="EK224" s="3"/>
      <c r="EL224" s="3"/>
      <c r="EM224" s="3"/>
      <c r="EN224" s="3"/>
      <c r="EO224" s="2"/>
      <c r="EP224" s="2"/>
      <c r="EQ224" s="2"/>
      <c r="ER224" s="2"/>
      <c r="ES224" s="2"/>
      <c r="ET224" s="2"/>
      <c r="EU224" s="2"/>
      <c r="EV224" s="2"/>
      <c r="EW224" s="2"/>
      <c r="EX224" s="2" t="inlineStr">
        <is>
          <t>1c98a31b-0928-4e19-9d4f-96f3db0e5716</t>
        </is>
      </c>
      <c r="EY224" s="3" t="n">
        <v>1</v>
      </c>
      <c r="EZ224" s="2"/>
      <c r="FA224" s="2"/>
      <c r="FB224" s="2"/>
      <c r="FC224" s="2"/>
      <c r="FD224" s="3"/>
      <c r="FE224" s="3"/>
      <c r="FF224" s="2"/>
      <c r="FG224" s="3"/>
      <c r="FH224" s="3"/>
      <c r="FI224" s="7" t="n">
        <v>0</v>
      </c>
      <c r="FJ224" s="7" t="n">
        <v>0</v>
      </c>
      <c r="FK224" s="7" t="n">
        <v>0</v>
      </c>
      <c r="FL224" s="7" t="n">
        <v>0</v>
      </c>
      <c r="FM224" s="7" t="n">
        <v>0</v>
      </c>
      <c r="FN224" s="7" t="n">
        <v>0</v>
      </c>
      <c r="FO224" s="2"/>
      <c r="FP224" s="2"/>
      <c r="FQ224" s="2"/>
      <c r="FR224" s="2"/>
      <c r="FS224" s="2"/>
      <c r="FT224" s="2"/>
      <c r="FU224" s="2"/>
      <c r="FV224" s="2"/>
      <c r="FW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t="inlineStr">
        <is>
          <t>b597993b-1a2b-4b24-b7ff-bdcb71e506b7</t>
        </is>
      </c>
      <c r="CO225" s="3" t="n">
        <v>2</v>
      </c>
      <c r="CP225" s="2"/>
      <c r="CQ225" s="2" t="inlineStr">
        <is>
          <t>岗位面试邀约</t>
        </is>
      </c>
      <c r="CR225" s="2" t="inlineStr">
        <is>
          <t>2-3次</t>
        </is>
      </c>
      <c r="CS225" s="3" t="n">
        <v>2</v>
      </c>
      <c r="CT225" s="3" t="n">
        <v>3</v>
      </c>
      <c r="CU225" s="2" t="inlineStr">
        <is>
          <t>B.2小时以内</t>
        </is>
      </c>
      <c r="CV225" s="7" t="n">
        <v>2</v>
      </c>
      <c r="CW225" s="7" t="n">
        <v>2</v>
      </c>
      <c r="CX225" s="7" t="n">
        <v>4</v>
      </c>
      <c r="CY225" s="7" t="n">
        <v>6</v>
      </c>
      <c r="CZ225" s="2" t="inlineStr">
        <is>
          <t>协调沟通类</t>
        </is>
      </c>
      <c r="DA225" s="2"/>
      <c r="DB225" s="2" t="inlineStr">
        <is>
          <t>外部联络</t>
        </is>
      </c>
      <c r="DC225" s="2" t="inlineStr">
        <is>
          <t>上级指令</t>
        </is>
      </c>
      <c r="DD225" s="2" t="inlineStr">
        <is>
          <t>重要且紧急</t>
        </is>
      </c>
      <c r="DE225" s="2" t="inlineStr">
        <is>
          <t>高度标准化-有成熟SOP，照做即可</t>
        </is>
      </c>
      <c r="DF225" s="2" t="inlineStr">
        <is>
          <t>极少（&lt;5%）</t>
        </is>
      </c>
      <c r="DG225" s="2" t="inlineStr">
        <is>
          <t>沟通/协调负荷</t>
        </is>
      </c>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t="inlineStr">
        <is>
          <t>07e22794-039a-4939-8814-8d221ba37ac1</t>
        </is>
      </c>
      <c r="CO226" s="3" t="n">
        <v>3</v>
      </c>
      <c r="CP226" s="2"/>
      <c r="CQ226" s="2" t="inlineStr">
        <is>
          <t>rpa流程的搭建与研究</t>
        </is>
      </c>
      <c r="CR226" s="2" t="inlineStr">
        <is>
          <t>2-3次</t>
        </is>
      </c>
      <c r="CS226" s="3" t="n">
        <v>2</v>
      </c>
      <c r="CT226" s="3" t="n">
        <v>3</v>
      </c>
      <c r="CU226" s="2" t="inlineStr">
        <is>
          <t>D.4-8小时</t>
        </is>
      </c>
      <c r="CV226" s="7" t="n">
        <v>4</v>
      </c>
      <c r="CW226" s="7" t="n">
        <v>8</v>
      </c>
      <c r="CX226" s="7" t="n">
        <v>8</v>
      </c>
      <c r="CY226" s="7" t="n">
        <v>24</v>
      </c>
      <c r="CZ226" s="2" t="inlineStr">
        <is>
          <t>专业技术类</t>
        </is>
      </c>
      <c r="DA226" s="2"/>
      <c r="DB226" s="2" t="inlineStr">
        <is>
          <t>探索研发类工作</t>
        </is>
      </c>
      <c r="DC226" s="2" t="inlineStr">
        <is>
          <t>上级指令</t>
        </is>
      </c>
      <c r="DD226" s="2" t="inlineStr">
        <is>
          <t>重要且紧急</t>
        </is>
      </c>
      <c r="DE226" s="2" t="inlineStr">
        <is>
          <t>半标准化-有流程框架，需专业经验</t>
        </is>
      </c>
      <c r="DF226" s="2" t="inlineStr">
        <is>
          <t>低频（5%-10%）</t>
        </is>
      </c>
      <c r="DG226" s="2" t="inlineStr">
        <is>
          <t>脑力/复杂度负荷</t>
        </is>
      </c>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t="inlineStr">
        <is>
          <t>62402e1e-3f1e-4c67-b8d5-b1db98d7ea14</t>
        </is>
      </c>
      <c r="CO227" s="3" t="n">
        <v>4</v>
      </c>
      <c r="CP227" s="2"/>
      <c r="CQ227" s="2" t="inlineStr">
        <is>
          <t>氚云表单的搭建</t>
        </is>
      </c>
      <c r="CR227" s="2" t="inlineStr">
        <is>
          <t>2-3次</t>
        </is>
      </c>
      <c r="CS227" s="3" t="n">
        <v>2</v>
      </c>
      <c r="CT227" s="3" t="n">
        <v>3</v>
      </c>
      <c r="CU227" s="2" t="inlineStr">
        <is>
          <t>B.2小时以内</t>
        </is>
      </c>
      <c r="CV227" s="7" t="n">
        <v>2</v>
      </c>
      <c r="CW227" s="7" t="n">
        <v>2</v>
      </c>
      <c r="CX227" s="7" t="n">
        <v>4</v>
      </c>
      <c r="CY227" s="7" t="n">
        <v>6</v>
      </c>
      <c r="CZ227" s="2" t="inlineStr">
        <is>
          <t>数据报表类</t>
        </is>
      </c>
      <c r="DA227" s="2"/>
      <c r="DB227" s="2" t="inlineStr">
        <is>
          <t>专项统计</t>
        </is>
      </c>
      <c r="DC227" s="2" t="inlineStr">
        <is>
          <t>上级指令</t>
        </is>
      </c>
      <c r="DD227" s="2" t="inlineStr">
        <is>
          <t>重要且紧急</t>
        </is>
      </c>
      <c r="DE227" s="2" t="inlineStr">
        <is>
          <t>半标准化-有流程框架，需专业经验</t>
        </is>
      </c>
      <c r="DF227" s="2" t="inlineStr">
        <is>
          <t>低频（5%-10%）</t>
        </is>
      </c>
      <c r="DG227" s="2" t="inlineStr">
        <is>
          <t>时效/强度负荷</t>
        </is>
      </c>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t="inlineStr">
        <is>
          <t>cceda5c2-1438-461c-875e-2a62073e1487</t>
        </is>
      </c>
      <c r="CO228" s="3" t="n">
        <v>5</v>
      </c>
      <c r="CP228" s="2"/>
      <c r="CQ228" s="2" t="inlineStr">
        <is>
          <t>公司技术中心邮箱的运行和维护</t>
        </is>
      </c>
      <c r="CR228" s="2" t="inlineStr">
        <is>
          <t>2-3次</t>
        </is>
      </c>
      <c r="CS228" s="3" t="n">
        <v>2</v>
      </c>
      <c r="CT228" s="3" t="n">
        <v>3</v>
      </c>
      <c r="CU228" s="2" t="inlineStr">
        <is>
          <t>A.20分钟以内</t>
        </is>
      </c>
      <c r="CV228" s="7" t="n">
        <v>0.33</v>
      </c>
      <c r="CW228" s="7" t="n">
        <v>0.33</v>
      </c>
      <c r="CX228" s="7" t="n">
        <v>0.66</v>
      </c>
      <c r="CY228" s="7" t="n">
        <v>0.99</v>
      </c>
      <c r="CZ228" s="2" t="inlineStr">
        <is>
          <t>行政事务类</t>
        </is>
      </c>
      <c r="DA228" s="2"/>
      <c r="DB228" s="2" t="inlineStr">
        <is>
          <t>通知起草</t>
        </is>
      </c>
      <c r="DC228" s="2" t="inlineStr">
        <is>
          <t>上级指令</t>
        </is>
      </c>
      <c r="DD228" s="2" t="inlineStr">
        <is>
          <t>重要且紧急</t>
        </is>
      </c>
      <c r="DE228" s="2" t="inlineStr">
        <is>
          <t>高度标准化-有成熟SOP，照做即可</t>
        </is>
      </c>
      <c r="DF228" s="2" t="inlineStr">
        <is>
          <t>极少（&lt;5%）</t>
        </is>
      </c>
      <c r="DG228" s="2" t="inlineStr">
        <is>
          <t>责任/风险负荷</t>
        </is>
      </c>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row>
    <row r="229">
      <c r="A229" s="2" t="inlineStr">
        <is>
          <t>2026-05-11 13:49:33</t>
        </is>
      </c>
      <c r="B229" s="2" t="inlineStr">
        <is>
          <t>冯俊杰</t>
        </is>
      </c>
      <c r="C229" s="2" t="inlineStr">
        <is>
          <t>马来西亚分公司（国内采购）</t>
        </is>
      </c>
      <c r="D229" s="2" t="inlineStr">
        <is>
          <t>男</t>
        </is>
      </c>
      <c r="E229" s="2" t="inlineStr">
        <is>
          <t>32028120021028177X</t>
        </is>
      </c>
      <c r="F229" s="2" t="inlineStr">
        <is>
          <t>技术助理(三)</t>
        </is>
      </c>
      <c r="G229" s="2" t="inlineStr">
        <is>
          <t>2025-08</t>
        </is>
      </c>
      <c r="H229" s="2" t="inlineStr">
        <is>
          <t>金陵科技学院</t>
        </is>
      </c>
      <c r="I229" s="2" t="inlineStr">
        <is>
          <t>自动化</t>
        </is>
      </c>
      <c r="J229" s="2" t="inlineStr">
        <is>
          <t>本科</t>
        </is>
      </c>
      <c r="K229" s="2"/>
      <c r="L229" s="6">
        <f>HYPERLINK("https://www.h3yun.com/Form/Attachments/?schemacode=D1483577de63ede327d4760b10664bd57671d7e&amp;bizObjectId=e57726ca-7d87-4d41-89aa-3f0e2fa3654c&amp;name=F0000046","点击查看")</f>
        <v>0</v>
      </c>
      <c r="M229" s="2" t="inlineStr">
        <is>
          <t>任务流转流程</t>
        </is>
      </c>
      <c r="N229" s="2" t="inlineStr">
        <is>
          <t>每日工作</t>
        </is>
      </c>
      <c r="O229" s="2" t="inlineStr">
        <is>
          <t>25岁及以下</t>
        </is>
      </c>
      <c r="P229" s="2" t="inlineStr">
        <is>
          <t>A.未婚</t>
        </is>
      </c>
      <c r="Q229" s="2" t="inlineStr">
        <is>
          <t>A.否</t>
        </is>
      </c>
      <c r="R229" s="2" t="inlineStr">
        <is>
          <t>A.否</t>
        </is>
      </c>
      <c r="S229" s="2" t="inlineStr">
        <is>
          <t>C.希望工作压力适中，但职责边界更清晰</t>
        </is>
      </c>
      <c r="T229" s="2" t="inlineStr">
        <is>
          <t>C.工作较稳定，但发展空间不足</t>
        </is>
      </c>
      <c r="U229" s="2" t="inlineStr">
        <is>
          <t>B.减少无效流转和返工</t>
        </is>
      </c>
      <c r="V229" s="2" t="inlineStr">
        <is>
          <t>A.没有</t>
        </is>
      </c>
      <c r="W229" s="2"/>
      <c r="X229" s="2" t="inlineStr">
        <is>
          <t>C.均衡 (80%-100%)</t>
        </is>
      </c>
      <c r="Y229" s="2" t="inlineStr">
        <is>
          <t>K.无需加班</t>
        </is>
      </c>
      <c r="Z229" s="2" t="inlineStr">
        <is>
          <t>专项检查</t>
        </is>
      </c>
      <c r="AA229" s="2" t="inlineStr">
        <is>
          <t>信息化管理流程</t>
        </is>
      </c>
      <c r="AB229" s="2" t="inlineStr">
        <is>
          <t>专题工作推进</t>
        </is>
      </c>
      <c r="AC229" s="2" t="inlineStr">
        <is>
          <t>B.基本匹配（正常履行）</t>
        </is>
      </c>
      <c r="AD229" s="2" t="inlineStr">
        <is>
          <t>无</t>
        </is>
      </c>
      <c r="AE229" s="2"/>
      <c r="AF229" s="2"/>
      <c r="AG229" s="2"/>
      <c r="AH229" s="2"/>
      <c r="AI229" s="7" t="n">
        <v>2</v>
      </c>
      <c r="AJ229" s="7" t="n">
        <v>4</v>
      </c>
      <c r="AK229" s="7" t="n">
        <v>0</v>
      </c>
      <c r="AL229" s="7" t="n">
        <v>0</v>
      </c>
      <c r="AM229" s="7" t="n">
        <v>0</v>
      </c>
      <c r="AN229" s="7" t="n">
        <v>0</v>
      </c>
      <c r="AO229" s="7" t="n">
        <v>0</v>
      </c>
      <c r="AP229" s="7" t="n">
        <v>0</v>
      </c>
      <c r="AQ229" s="7" t="n">
        <v>0</v>
      </c>
      <c r="AR229" s="7" t="n">
        <v>0</v>
      </c>
      <c r="AS229" s="7" t="n">
        <v>2</v>
      </c>
      <c r="AT229" s="7" t="n">
        <v>4</v>
      </c>
      <c r="AU229" s="7" t="n">
        <v>3</v>
      </c>
      <c r="AV229" s="2" t="inlineStr">
        <is>
          <t>非饱和</t>
        </is>
      </c>
      <c r="AW229" s="2" t="inlineStr">
        <is>
          <t>不一致</t>
        </is>
      </c>
      <c r="AX229" s="2" t="inlineStr">
        <is>
          <t>e57726ca-7d87-4d41-89aa-3f0e2fa3654c</t>
        </is>
      </c>
      <c r="AY229" s="2" t="inlineStr">
        <is>
          <t>马来西亚分公司（国内采购）    冯俊杰</t>
        </is>
      </c>
      <c r="AZ229" s="2" t="inlineStr">
        <is>
          <t>Anonymous</t>
        </is>
      </c>
      <c r="BA229" s="2" t="inlineStr">
        <is>
          <t>Anonymous</t>
        </is>
      </c>
      <c r="BB229" s="2"/>
      <c r="BC229" s="2" t="inlineStr">
        <is>
          <t>2026-05-21 08:43:22</t>
        </is>
      </c>
      <c r="BD229" s="3" t="n">
        <v>2002</v>
      </c>
      <c r="BE229" s="3" t="n">
        <v>24</v>
      </c>
      <c r="BF229" s="2" t="inlineStr">
        <is>
          <t>A.无此需求</t>
        </is>
      </c>
      <c r="BG229" s="2" t="inlineStr">
        <is>
          <t>已生效</t>
        </is>
      </c>
      <c r="BH229" s="2" t="inlineStr">
        <is>
          <t>5b71c3dc-7d37-4225-b767-23a647ddc0d8</t>
        </is>
      </c>
      <c r="BI229" s="3" t="n">
        <v>1</v>
      </c>
      <c r="BJ229" s="2"/>
      <c r="BK229" s="2"/>
      <c r="BL229" s="2"/>
      <c r="BM229" s="2"/>
      <c r="BN229" s="2"/>
      <c r="BO229" s="2"/>
      <c r="BP229" s="2"/>
      <c r="BQ229" s="2"/>
      <c r="BR229" s="2"/>
      <c r="BS229" s="2" t="inlineStr">
        <is>
          <t>9a23edd0-89cd-4fa6-b94b-a6c26cd1fb33</t>
        </is>
      </c>
      <c r="BT229" s="3" t="n">
        <v>1</v>
      </c>
      <c r="BU229" s="2" t="inlineStr">
        <is>
          <t>数据报表类</t>
        </is>
      </c>
      <c r="BV229" s="2" t="inlineStr">
        <is>
          <t>核对材料代码</t>
        </is>
      </c>
      <c r="BW229" s="2" t="inlineStr">
        <is>
          <t>1次</t>
        </is>
      </c>
      <c r="BX229" s="3" t="n">
        <v>1</v>
      </c>
      <c r="BY229" s="3" t="n">
        <v>1</v>
      </c>
      <c r="BZ229" s="2" t="inlineStr">
        <is>
          <t>C.2-4小时</t>
        </is>
      </c>
      <c r="CA229" s="7" t="n">
        <v>2</v>
      </c>
      <c r="CB229" s="7" t="n">
        <v>4</v>
      </c>
      <c r="CC229" s="7" t="n">
        <v>2</v>
      </c>
      <c r="CD229" s="7" t="n">
        <v>4</v>
      </c>
      <c r="CE229" s="2" t="inlineStr">
        <is>
          <t>数据报表类</t>
        </is>
      </c>
      <c r="CF229" s="2"/>
      <c r="CG229" s="2" t="inlineStr">
        <is>
          <t>专项统计</t>
        </is>
      </c>
      <c r="CH229" s="2" t="inlineStr">
        <is>
          <t>上级指令</t>
        </is>
      </c>
      <c r="CI229" s="2" t="inlineStr">
        <is>
          <t>重要不紧急</t>
        </is>
      </c>
      <c r="CJ229" s="2" t="inlineStr">
        <is>
          <t>半标准化-有流程框架，需专业经验</t>
        </is>
      </c>
      <c r="CK229" s="2" t="inlineStr">
        <is>
          <t>极少（&lt;5%）</t>
        </is>
      </c>
      <c r="CL229" s="2" t="inlineStr">
        <is>
          <t>脑力/复杂度负荷</t>
        </is>
      </c>
      <c r="CM229" s="2"/>
      <c r="CN229" s="2" t="inlineStr">
        <is>
          <t>27d8069b-2c94-49a4-a2bc-2347f6e3fd8e</t>
        </is>
      </c>
      <c r="CO229" s="3" t="n">
        <v>1</v>
      </c>
      <c r="CP229" s="2"/>
      <c r="CQ229" s="2"/>
      <c r="CR229" s="2"/>
      <c r="CS229" s="3"/>
      <c r="CT229" s="3"/>
      <c r="CU229" s="2"/>
      <c r="CV229" s="3"/>
      <c r="CW229" s="3"/>
      <c r="CX229" s="3"/>
      <c r="CY229" s="3"/>
      <c r="CZ229" s="2"/>
      <c r="DA229" s="2"/>
      <c r="DB229" s="2"/>
      <c r="DC229" s="2"/>
      <c r="DD229" s="2"/>
      <c r="DE229" s="2"/>
      <c r="DF229" s="2"/>
      <c r="DG229" s="2"/>
      <c r="DH229" s="2"/>
      <c r="DI229" s="2" t="inlineStr">
        <is>
          <t>7cdc39f5-df95-4bff-8611-3d38dd83221f</t>
        </is>
      </c>
      <c r="DJ229" s="3" t="n">
        <v>1</v>
      </c>
      <c r="DK229" s="2"/>
      <c r="DL229" s="2"/>
      <c r="DM229" s="2"/>
      <c r="DN229" s="3"/>
      <c r="DO229" s="3"/>
      <c r="DP229" s="2"/>
      <c r="DQ229" s="3"/>
      <c r="DR229" s="3"/>
      <c r="DS229" s="3"/>
      <c r="DT229" s="3"/>
      <c r="DU229" s="2"/>
      <c r="DV229" s="2"/>
      <c r="DW229" s="2"/>
      <c r="DX229" s="2"/>
      <c r="DY229" s="2"/>
      <c r="DZ229" s="2"/>
      <c r="EA229" s="2"/>
      <c r="EB229" s="2"/>
      <c r="EC229" s="2"/>
      <c r="ED229" s="2" t="inlineStr">
        <is>
          <t>bd0d8590-ac76-453a-a41c-f28204ce73a2</t>
        </is>
      </c>
      <c r="EE229" s="3" t="n">
        <v>1</v>
      </c>
      <c r="EF229" s="2"/>
      <c r="EG229" s="2"/>
      <c r="EH229" s="2"/>
      <c r="EI229" s="3"/>
      <c r="EJ229" s="2"/>
      <c r="EK229" s="3"/>
      <c r="EL229" s="3"/>
      <c r="EM229" s="3"/>
      <c r="EN229" s="3"/>
      <c r="EO229" s="2"/>
      <c r="EP229" s="2"/>
      <c r="EQ229" s="2"/>
      <c r="ER229" s="2"/>
      <c r="ES229" s="2"/>
      <c r="ET229" s="2"/>
      <c r="EU229" s="2"/>
      <c r="EV229" s="2"/>
      <c r="EW229" s="2"/>
      <c r="EX229" s="2" t="inlineStr">
        <is>
          <t>fd830d54-77dc-446d-8f0b-f91615a09c67</t>
        </is>
      </c>
      <c r="EY229" s="3" t="n">
        <v>1</v>
      </c>
      <c r="EZ229" s="2"/>
      <c r="FA229" s="2"/>
      <c r="FB229" s="2"/>
      <c r="FC229" s="2"/>
      <c r="FD229" s="3"/>
      <c r="FE229" s="3"/>
      <c r="FF229" s="2"/>
      <c r="FG229" s="3"/>
      <c r="FH229" s="3"/>
      <c r="FI229" s="7" t="n">
        <v>0</v>
      </c>
      <c r="FJ229" s="7" t="n">
        <v>0</v>
      </c>
      <c r="FK229" s="7" t="n">
        <v>0</v>
      </c>
      <c r="FL229" s="7" t="n">
        <v>0</v>
      </c>
      <c r="FM229" s="7" t="n">
        <v>0</v>
      </c>
      <c r="FN229" s="7" t="n">
        <v>0</v>
      </c>
      <c r="FO229" s="2"/>
      <c r="FP229" s="2"/>
      <c r="FQ229" s="2"/>
      <c r="FR229" s="2"/>
      <c r="FS229" s="2"/>
      <c r="FT229" s="2"/>
      <c r="FU229" s="2"/>
      <c r="FV229" s="2"/>
      <c r="FW229" s="2"/>
    </row>
    <row r="230">
      <c r="A230" s="2" t="inlineStr">
        <is>
          <t>2026-05-07 17:12:27</t>
        </is>
      </c>
      <c r="B230" s="2" t="inlineStr">
        <is>
          <t>周冰倩</t>
        </is>
      </c>
      <c r="C230" s="2" t="inlineStr">
        <is>
          <t>技术中心</t>
        </is>
      </c>
      <c r="D230" s="2" t="inlineStr">
        <is>
          <t>女</t>
        </is>
      </c>
      <c r="E230" s="2" t="inlineStr">
        <is>
          <t>360421200005300021</t>
        </is>
      </c>
      <c r="F230" s="2" t="inlineStr">
        <is>
          <t>技术助理(二)</t>
        </is>
      </c>
      <c r="G230" s="2" t="inlineStr">
        <is>
          <t>2023-08</t>
        </is>
      </c>
      <c r="H230" s="2" t="inlineStr">
        <is>
          <t>江西理工大学应用科学学院</t>
        </is>
      </c>
      <c r="I230" s="2" t="inlineStr">
        <is>
          <t>工程造价</t>
        </is>
      </c>
      <c r="J230" s="2" t="inlineStr">
        <is>
          <t>本科</t>
        </is>
      </c>
      <c r="K230" s="2"/>
      <c r="L230" s="6">
        <f>HYPERLINK("https://www.h3yun.com/Form/Attachments/?schemacode=D1483577de63ede327d4760b10664bd57671d7e&amp;bizObjectId=e9f50fe2-8413-428a-8609-8c767d195bc1&amp;name=F0000046","点击查看")</f>
        <v>0</v>
      </c>
      <c r="M230" s="2" t="inlineStr">
        <is>
          <t>希望项目及设计方在前期提供尽可能完整的资料，以减少后续反复沟通与资料补要的工作。</t>
        </is>
      </c>
      <c r="N230" s="2" t="inlineStr">
        <is>
          <t>每周工作;每月工作</t>
        </is>
      </c>
      <c r="O230" s="2" t="inlineStr">
        <is>
          <t>26-30岁</t>
        </is>
      </c>
      <c r="P230" s="2" t="inlineStr">
        <is>
          <t>A.未婚</t>
        </is>
      </c>
      <c r="Q230" s="2" t="inlineStr">
        <is>
          <t>A.否</t>
        </is>
      </c>
      <c r="R230" s="2" t="inlineStr">
        <is>
          <t>A.否</t>
        </is>
      </c>
      <c r="S230" s="2" t="inlineStr">
        <is>
          <t>D.希望承担更有挑战性的工作，并争取更大发展空间</t>
        </is>
      </c>
      <c r="T230" s="2" t="inlineStr">
        <is>
          <t>E.希望承担更重要、更有挑战的职责</t>
        </is>
      </c>
      <c r="U230" s="2" t="inlineStr">
        <is>
          <t>B.减少无效流转和返工</t>
        </is>
      </c>
      <c r="V230" s="2" t="inlineStr">
        <is>
          <t>A.没有</t>
        </is>
      </c>
      <c r="W230" s="2"/>
      <c r="X230" s="2" t="inlineStr">
        <is>
          <t>B.满负荷 (100%-120%)</t>
        </is>
      </c>
      <c r="Y230" s="2" t="inlineStr">
        <is>
          <t>G.接收到任务分配单完成周期内要求的加班</t>
        </is>
      </c>
      <c r="Z230" s="2" t="inlineStr">
        <is>
          <t>专业问题协调</t>
        </is>
      </c>
      <c r="AA230" s="2" t="inlineStr">
        <is>
          <t>专项统计</t>
        </is>
      </c>
      <c r="AB230" s="2" t="inlineStr">
        <is>
          <t>专题工作推进</t>
        </is>
      </c>
      <c r="AC230" s="2" t="inlineStr">
        <is>
          <t>A.高度匹配（得心应手）</t>
        </is>
      </c>
      <c r="AD230" s="2" t="inlineStr">
        <is>
          <t>通过AI自动处理管道特性表并直接录入EP3D设计版，不再人为进行处理及录入。</t>
        </is>
      </c>
      <c r="AE230" s="2" t="inlineStr">
        <is>
          <t>无</t>
        </is>
      </c>
      <c r="AF230" s="2" t="inlineStr">
        <is>
          <t>无</t>
        </is>
      </c>
      <c r="AG230" s="2"/>
      <c r="AH230" s="2"/>
      <c r="AI230" s="7" t="n">
        <v>0</v>
      </c>
      <c r="AJ230" s="7" t="n">
        <v>0</v>
      </c>
      <c r="AK230" s="7" t="n">
        <v>3.2</v>
      </c>
      <c r="AL230" s="7" t="n">
        <v>8</v>
      </c>
      <c r="AM230" s="7" t="n">
        <v>1.09</v>
      </c>
      <c r="AN230" s="7" t="n">
        <v>1.45</v>
      </c>
      <c r="AO230" s="7" t="n">
        <v>0</v>
      </c>
      <c r="AP230" s="7" t="n">
        <v>0</v>
      </c>
      <c r="AQ230" s="7" t="n">
        <v>0</v>
      </c>
      <c r="AR230" s="7" t="n">
        <v>0</v>
      </c>
      <c r="AS230" s="7" t="n">
        <v>4.29</v>
      </c>
      <c r="AT230" s="7" t="n">
        <v>9.45</v>
      </c>
      <c r="AU230" s="7" t="n">
        <v>6.87</v>
      </c>
      <c r="AV230" s="2" t="inlineStr">
        <is>
          <t>均衡</t>
        </is>
      </c>
      <c r="AW230" s="2" t="inlineStr">
        <is>
          <t>不一致</t>
        </is>
      </c>
      <c r="AX230" s="2" t="inlineStr">
        <is>
          <t>e9f50fe2-8413-428a-8609-8c767d195bc1</t>
        </is>
      </c>
      <c r="AY230" s="2" t="inlineStr">
        <is>
          <t>技术中心    周冰倩</t>
        </is>
      </c>
      <c r="AZ230" s="2" t="inlineStr">
        <is>
          <t>Anonymous</t>
        </is>
      </c>
      <c r="BA230" s="2" t="inlineStr">
        <is>
          <t>Anonymous</t>
        </is>
      </c>
      <c r="BB230" s="2"/>
      <c r="BC230" s="2" t="inlineStr">
        <is>
          <t>2026-05-21 08:43:22</t>
        </is>
      </c>
      <c r="BD230" s="3" t="n">
        <v>2000</v>
      </c>
      <c r="BE230" s="3" t="n">
        <v>26</v>
      </c>
      <c r="BF230" s="2" t="inlineStr">
        <is>
          <t>A.无此需求</t>
        </is>
      </c>
      <c r="BG230" s="2" t="inlineStr">
        <is>
          <t>已生效</t>
        </is>
      </c>
      <c r="BH230" s="2" t="inlineStr">
        <is>
          <t>d3f50eae-1948-429f-a2a5-271a648e0163</t>
        </is>
      </c>
      <c r="BI230" s="3" t="n">
        <v>1</v>
      </c>
      <c r="BJ230" s="2"/>
      <c r="BK230" s="2"/>
      <c r="BL230" s="2"/>
      <c r="BM230" s="2"/>
      <c r="BN230" s="2"/>
      <c r="BO230" s="2"/>
      <c r="BP230" s="2"/>
      <c r="BQ230" s="2"/>
      <c r="BR230" s="2"/>
      <c r="BS230" s="2" t="inlineStr">
        <is>
          <t>b55522ea-cdc0-4c3a-855b-8a753a82d35c</t>
        </is>
      </c>
      <c r="BT230" s="3" t="n">
        <v>1</v>
      </c>
      <c r="BU230" s="2"/>
      <c r="BV230" s="2"/>
      <c r="BW230" s="2"/>
      <c r="BX230" s="3"/>
      <c r="BY230" s="3"/>
      <c r="BZ230" s="2"/>
      <c r="CA230" s="3"/>
      <c r="CB230" s="3"/>
      <c r="CC230" s="3"/>
      <c r="CD230" s="3"/>
      <c r="CE230" s="2"/>
      <c r="CF230" s="2"/>
      <c r="CG230" s="2"/>
      <c r="CH230" s="2"/>
      <c r="CI230" s="2"/>
      <c r="CJ230" s="2"/>
      <c r="CK230" s="2"/>
      <c r="CL230" s="2"/>
      <c r="CM230" s="2"/>
      <c r="CN230" s="2" t="inlineStr">
        <is>
          <t>725823d6-34f8-4df2-9e59-b84a5e516dce</t>
        </is>
      </c>
      <c r="CO230" s="3" t="n">
        <v>1</v>
      </c>
      <c r="CP230" s="2"/>
      <c r="CQ230" s="2" t="inlineStr">
        <is>
          <t>依据图纸，在EP3D、tekla、revit中进行建模</t>
        </is>
      </c>
      <c r="CR230" s="2" t="inlineStr">
        <is>
          <t>4-5次</t>
        </is>
      </c>
      <c r="CS230" s="3" t="n">
        <v>4</v>
      </c>
      <c r="CT230" s="3" t="n">
        <v>5</v>
      </c>
      <c r="CU230" s="2" t="inlineStr">
        <is>
          <t>D.4-8小时</t>
        </is>
      </c>
      <c r="CV230" s="7" t="n">
        <v>4</v>
      </c>
      <c r="CW230" s="7" t="n">
        <v>8</v>
      </c>
      <c r="CX230" s="7" t="n">
        <v>16</v>
      </c>
      <c r="CY230" s="7" t="n">
        <v>40</v>
      </c>
      <c r="CZ230" s="2" t="inlineStr">
        <is>
          <t>专业技术类</t>
        </is>
      </c>
      <c r="DA230" s="2"/>
      <c r="DB230" s="2" t="inlineStr">
        <is>
          <t>标准研究</t>
        </is>
      </c>
      <c r="DC230" s="2" t="inlineStr">
        <is>
          <t>上级指令</t>
        </is>
      </c>
      <c r="DD230" s="2" t="inlineStr">
        <is>
          <t>重要且紧急</t>
        </is>
      </c>
      <c r="DE230" s="2" t="inlineStr">
        <is>
          <t>半标准化-有流程框架，需专业经验</t>
        </is>
      </c>
      <c r="DF230" s="2" t="inlineStr">
        <is>
          <t>极少（&lt;5%）</t>
        </is>
      </c>
      <c r="DG230" s="2" t="inlineStr">
        <is>
          <t>脑力/复杂度负荷</t>
        </is>
      </c>
      <c r="DH230" s="2"/>
      <c r="DI230" s="2" t="inlineStr">
        <is>
          <t>bfde7887-0e81-4a34-8df3-b5273415036d</t>
        </is>
      </c>
      <c r="DJ230" s="3" t="n">
        <v>1</v>
      </c>
      <c r="DK230" s="2"/>
      <c r="DL230" s="2" t="inlineStr">
        <is>
          <t>通过Dynamo脚本将rvt格式的管道导出为pcf格式</t>
        </is>
      </c>
      <c r="DM230" s="2" t="inlineStr">
        <is>
          <t>1次</t>
        </is>
      </c>
      <c r="DN230" s="3" t="n">
        <v>1</v>
      </c>
      <c r="DO230" s="3" t="n">
        <v>1</v>
      </c>
      <c r="DP230" s="2" t="inlineStr">
        <is>
          <t>D.4-8小时</t>
        </is>
      </c>
      <c r="DQ230" s="7" t="n">
        <v>4</v>
      </c>
      <c r="DR230" s="7" t="n">
        <v>8</v>
      </c>
      <c r="DS230" s="7" t="n">
        <v>4</v>
      </c>
      <c r="DT230" s="7" t="n">
        <v>8</v>
      </c>
      <c r="DU230" s="2" t="inlineStr">
        <is>
          <t>专业技术类</t>
        </is>
      </c>
      <c r="DV230" s="2"/>
      <c r="DW230" s="2" t="inlineStr">
        <is>
          <t>探索研发类工作</t>
        </is>
      </c>
      <c r="DX230" s="2" t="inlineStr">
        <is>
          <t>上级指令</t>
        </is>
      </c>
      <c r="DY230" s="2" t="inlineStr">
        <is>
          <t>重要不紧急</t>
        </is>
      </c>
      <c r="DZ230" s="2" t="inlineStr">
        <is>
          <t>非标准化-无先例参考，需创新协调</t>
        </is>
      </c>
      <c r="EA230" s="2" t="inlineStr">
        <is>
          <t>极少（&lt;5%）</t>
        </is>
      </c>
      <c r="EB230" s="2" t="inlineStr">
        <is>
          <t>脑力/复杂度负荷</t>
        </is>
      </c>
      <c r="EC230" s="2"/>
      <c r="ED230" s="2" t="inlineStr">
        <is>
          <t>870ebe10-cb49-45bc-86b2-aa236cea6f99</t>
        </is>
      </c>
      <c r="EE230" s="3" t="n">
        <v>1</v>
      </c>
      <c r="EF230" s="2"/>
      <c r="EG230" s="2"/>
      <c r="EH230" s="2"/>
      <c r="EI230" s="3"/>
      <c r="EJ230" s="2"/>
      <c r="EK230" s="3"/>
      <c r="EL230" s="3"/>
      <c r="EM230" s="3"/>
      <c r="EN230" s="3"/>
      <c r="EO230" s="2"/>
      <c r="EP230" s="2"/>
      <c r="EQ230" s="2"/>
      <c r="ER230" s="2"/>
      <c r="ES230" s="2"/>
      <c r="ET230" s="2"/>
      <c r="EU230" s="2"/>
      <c r="EV230" s="2"/>
      <c r="EW230" s="2"/>
      <c r="EX230" s="2" t="inlineStr">
        <is>
          <t>7dcda952-7a70-409a-b988-6e2494fed250</t>
        </is>
      </c>
      <c r="EY230" s="3" t="n">
        <v>1</v>
      </c>
      <c r="EZ230" s="2"/>
      <c r="FA230" s="2"/>
      <c r="FB230" s="2"/>
      <c r="FC230" s="2"/>
      <c r="FD230" s="3"/>
      <c r="FE230" s="3"/>
      <c r="FF230" s="2"/>
      <c r="FG230" s="3"/>
      <c r="FH230" s="3"/>
      <c r="FI230" s="7" t="n">
        <v>0</v>
      </c>
      <c r="FJ230" s="7" t="n">
        <v>0</v>
      </c>
      <c r="FK230" s="7" t="n">
        <v>0</v>
      </c>
      <c r="FL230" s="7" t="n">
        <v>0</v>
      </c>
      <c r="FM230" s="7" t="n">
        <v>0</v>
      </c>
      <c r="FN230" s="7" t="n">
        <v>0</v>
      </c>
      <c r="FO230" s="2"/>
      <c r="FP230" s="2"/>
      <c r="FQ230" s="2"/>
      <c r="FR230" s="2"/>
      <c r="FS230" s="2"/>
      <c r="FT230" s="2"/>
      <c r="FU230" s="2"/>
      <c r="FV230" s="2"/>
      <c r="FW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t="inlineStr">
        <is>
          <t>3c983fd5-7a22-4379-90bb-9110ced3aca2</t>
        </is>
      </c>
      <c r="DJ231" s="3" t="n">
        <v>2</v>
      </c>
      <c r="DK231" s="2"/>
      <c r="DL231" s="2" t="inlineStr">
        <is>
          <t>通过autopipe vessel对换热器、储罐等设备进行参数计算和受力分析</t>
        </is>
      </c>
      <c r="DM231" s="2" t="inlineStr">
        <is>
          <t>1次</t>
        </is>
      </c>
      <c r="DN231" s="3" t="n">
        <v>1</v>
      </c>
      <c r="DO231" s="3" t="n">
        <v>1</v>
      </c>
      <c r="DP231" s="2" t="inlineStr">
        <is>
          <t>E.8小时以上</t>
        </is>
      </c>
      <c r="DQ231" s="7" t="n">
        <v>8</v>
      </c>
      <c r="DR231" s="7" t="n">
        <v>8</v>
      </c>
      <c r="DS231" s="7" t="n">
        <v>8</v>
      </c>
      <c r="DT231" s="7" t="n">
        <v>8</v>
      </c>
      <c r="DU231" s="2" t="inlineStr">
        <is>
          <t>专业技术类</t>
        </is>
      </c>
      <c r="DV231" s="2"/>
      <c r="DW231" s="2" t="inlineStr">
        <is>
          <t>标准研究</t>
        </is>
      </c>
      <c r="DX231" s="2" t="inlineStr">
        <is>
          <t>上级指令</t>
        </is>
      </c>
      <c r="DY231" s="2" t="inlineStr">
        <is>
          <t>重要且紧急</t>
        </is>
      </c>
      <c r="DZ231" s="2" t="inlineStr">
        <is>
          <t>非标准化-无先例参考，需创新协调</t>
        </is>
      </c>
      <c r="EA231" s="2" t="inlineStr">
        <is>
          <t>极少（&lt;5%）</t>
        </is>
      </c>
      <c r="EB231" s="2" t="inlineStr">
        <is>
          <t>脑力/复杂度负荷</t>
        </is>
      </c>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t="inlineStr">
        <is>
          <t>989fb65c-3558-46a4-8260-8f2f1db14489</t>
        </is>
      </c>
      <c r="DJ232" s="3" t="n">
        <v>3</v>
      </c>
      <c r="DK232" s="2"/>
      <c r="DL232" s="2" t="inlineStr">
        <is>
          <t>通过staad pro对钢结构进行参数计算和受力分析</t>
        </is>
      </c>
      <c r="DM232" s="2" t="inlineStr">
        <is>
          <t>1次</t>
        </is>
      </c>
      <c r="DN232" s="3" t="n">
        <v>1</v>
      </c>
      <c r="DO232" s="3" t="n">
        <v>1</v>
      </c>
      <c r="DP232" s="2" t="inlineStr">
        <is>
          <t>E.8小时以上</t>
        </is>
      </c>
      <c r="DQ232" s="7" t="n">
        <v>8</v>
      </c>
      <c r="DR232" s="7" t="n">
        <v>8</v>
      </c>
      <c r="DS232" s="7" t="n">
        <v>8</v>
      </c>
      <c r="DT232" s="7" t="n">
        <v>8</v>
      </c>
      <c r="DU232" s="2" t="inlineStr">
        <is>
          <t>专业技术类</t>
        </is>
      </c>
      <c r="DV232" s="2"/>
      <c r="DW232" s="2" t="inlineStr">
        <is>
          <t>标准研究</t>
        </is>
      </c>
      <c r="DX232" s="2" t="inlineStr">
        <is>
          <t>上级指令</t>
        </is>
      </c>
      <c r="DY232" s="2" t="inlineStr">
        <is>
          <t>重要且紧急</t>
        </is>
      </c>
      <c r="DZ232" s="2" t="inlineStr">
        <is>
          <t>非标准化-无先例参考，需创新协调</t>
        </is>
      </c>
      <c r="EA232" s="2" t="inlineStr">
        <is>
          <t>极少（&lt;5%）</t>
        </is>
      </c>
      <c r="EB232" s="2" t="inlineStr">
        <is>
          <t>脑力/复杂度负荷</t>
        </is>
      </c>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t="inlineStr">
        <is>
          <t>3dbfaedd-cabe-4de8-b2c0-80add832c5e6</t>
        </is>
      </c>
      <c r="DJ233" s="3" t="n">
        <v>4</v>
      </c>
      <c r="DK233" s="2"/>
      <c r="DL233" s="2" t="inlineStr">
        <is>
          <t>在ep3d施工版中进行出图工作</t>
        </is>
      </c>
      <c r="DM233" s="2" t="inlineStr">
        <is>
          <t>1次</t>
        </is>
      </c>
      <c r="DN233" s="3" t="n">
        <v>1</v>
      </c>
      <c r="DO233" s="3" t="n">
        <v>1</v>
      </c>
      <c r="DP233" s="2" t="inlineStr">
        <is>
          <t>D.4-8小时</t>
        </is>
      </c>
      <c r="DQ233" s="7" t="n">
        <v>4</v>
      </c>
      <c r="DR233" s="7" t="n">
        <v>8</v>
      </c>
      <c r="DS233" s="7" t="n">
        <v>4</v>
      </c>
      <c r="DT233" s="7" t="n">
        <v>8</v>
      </c>
      <c r="DU233" s="2" t="inlineStr">
        <is>
          <t>专业技术类</t>
        </is>
      </c>
      <c r="DV233" s="2"/>
      <c r="DW233" s="2" t="inlineStr">
        <is>
          <t>标准研究</t>
        </is>
      </c>
      <c r="DX233" s="2" t="inlineStr">
        <is>
          <t>上级指令</t>
        </is>
      </c>
      <c r="DY233" s="2" t="inlineStr">
        <is>
          <t>重要且紧急</t>
        </is>
      </c>
      <c r="DZ233" s="2" t="inlineStr">
        <is>
          <t>高度标准化-有成熟SOP，照做即可</t>
        </is>
      </c>
      <c r="EA233" s="2" t="inlineStr">
        <is>
          <t>极少（&lt;5%）</t>
        </is>
      </c>
      <c r="EB233" s="2" t="inlineStr">
        <is>
          <t>脑力/复杂度负荷</t>
        </is>
      </c>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row>
    <row r="234">
      <c r="A234" s="2" t="inlineStr">
        <is>
          <t>2026-05-07 16:50:16</t>
        </is>
      </c>
      <c r="B234" s="2" t="inlineStr">
        <is>
          <t>董健</t>
        </is>
      </c>
      <c r="C234" s="2" t="inlineStr">
        <is>
          <t>技术中心</t>
        </is>
      </c>
      <c r="D234" s="2" t="inlineStr">
        <is>
          <t>男</t>
        </is>
      </c>
      <c r="E234" s="2" t="inlineStr">
        <is>
          <t>341125199908201295</t>
        </is>
      </c>
      <c r="F234" s="2" t="inlineStr">
        <is>
          <t>业务主管</t>
        </is>
      </c>
      <c r="G234" s="2" t="inlineStr">
        <is>
          <t>2025-08</t>
        </is>
      </c>
      <c r="H234" s="2" t="inlineStr">
        <is>
          <t>安徽理工大学</t>
        </is>
      </c>
      <c r="I234" s="2" t="inlineStr">
        <is>
          <t>其他</t>
        </is>
      </c>
      <c r="J234" s="2" t="inlineStr">
        <is>
          <t>研究生</t>
        </is>
      </c>
      <c r="K234" s="2"/>
      <c r="L234" s="6">
        <f>HYPERLINK("https://www.h3yun.com/Form/Attachments/?schemacode=D1483577de63ede327d4760b10664bd57671d7e&amp;bizObjectId=ca27a49b-923f-4343-9e1a-afa6025c3501&amp;name=F0000046","点击查看")</f>
        <v>0</v>
      </c>
      <c r="M234" s="2" t="inlineStr">
        <is>
          <t>无</t>
        </is>
      </c>
      <c r="N234" s="2" t="inlineStr">
        <is>
          <t>每周工作</t>
        </is>
      </c>
      <c r="O234" s="2" t="inlineStr">
        <is>
          <t>26-30岁</t>
        </is>
      </c>
      <c r="P234" s="2" t="inlineStr">
        <is>
          <t>A.未婚</t>
        </is>
      </c>
      <c r="Q234" s="2" t="inlineStr">
        <is>
          <t>A.否</t>
        </is>
      </c>
      <c r="R234" s="2" t="inlineStr">
        <is>
          <t>A.否</t>
        </is>
      </c>
      <c r="S234" s="2" t="inlineStr">
        <is>
          <t>E.愿意承担更高挑战和更大压力，以换取更高回报或晋升机会</t>
        </is>
      </c>
      <c r="T234" s="2" t="inlineStr">
        <is>
          <t>A.基本满意，希望保持</t>
        </is>
      </c>
      <c r="U234" s="2" t="inlineStr">
        <is>
          <t>E.增加成长性和挑战性</t>
        </is>
      </c>
      <c r="V234" s="2" t="inlineStr">
        <is>
          <t>A.没有</t>
        </is>
      </c>
      <c r="W234" s="2"/>
      <c r="X234" s="2" t="inlineStr">
        <is>
          <t>B.满负荷 (100%-120%)</t>
        </is>
      </c>
      <c r="Y234" s="2" t="inlineStr">
        <is>
          <t>E.临时差旅、突发事件、会议加班</t>
        </is>
      </c>
      <c r="Z234" s="2" t="inlineStr">
        <is>
          <t>无</t>
        </is>
      </c>
      <c r="AA234" s="2" t="inlineStr">
        <is>
          <t>无</t>
        </is>
      </c>
      <c r="AB234" s="2" t="inlineStr">
        <is>
          <t>会议安排</t>
        </is>
      </c>
      <c r="AC234" s="2" t="inlineStr">
        <is>
          <t>B.基本匹配（正常履行）</t>
        </is>
      </c>
      <c r="AD234" s="2" t="inlineStr">
        <is>
          <t>无</t>
        </is>
      </c>
      <c r="AE234" s="2" t="inlineStr">
        <is>
          <t>无</t>
        </is>
      </c>
      <c r="AF234" s="2" t="inlineStr">
        <is>
          <t>无</t>
        </is>
      </c>
      <c r="AG234" s="2"/>
      <c r="AH234" s="2"/>
      <c r="AI234" s="7" t="n">
        <v>0</v>
      </c>
      <c r="AJ234" s="7" t="n">
        <v>0</v>
      </c>
      <c r="AK234" s="7" t="n">
        <v>7.6</v>
      </c>
      <c r="AL234" s="7" t="n">
        <v>9.6</v>
      </c>
      <c r="AM234" s="7" t="n">
        <v>0</v>
      </c>
      <c r="AN234" s="7" t="n">
        <v>0</v>
      </c>
      <c r="AO234" s="7" t="n">
        <v>0</v>
      </c>
      <c r="AP234" s="7" t="n">
        <v>0</v>
      </c>
      <c r="AQ234" s="7" t="n">
        <v>0</v>
      </c>
      <c r="AR234" s="7" t="n">
        <v>0</v>
      </c>
      <c r="AS234" s="7" t="n">
        <v>7.6</v>
      </c>
      <c r="AT234" s="7" t="n">
        <v>9.6</v>
      </c>
      <c r="AU234" s="7" t="n">
        <v>8.6</v>
      </c>
      <c r="AV234" s="2" t="inlineStr">
        <is>
          <t>满负荷</t>
        </is>
      </c>
      <c r="AW234" s="2" t="inlineStr">
        <is>
          <t>一致</t>
        </is>
      </c>
      <c r="AX234" s="2" t="inlineStr">
        <is>
          <t>ca27a49b-923f-4343-9e1a-afa6025c3501</t>
        </is>
      </c>
      <c r="AY234" s="2" t="inlineStr">
        <is>
          <t>技术中心    董健</t>
        </is>
      </c>
      <c r="AZ234" s="2" t="inlineStr">
        <is>
          <t>Anonymous</t>
        </is>
      </c>
      <c r="BA234" s="2" t="inlineStr">
        <is>
          <t>Anonymous</t>
        </is>
      </c>
      <c r="BB234" s="2"/>
      <c r="BC234" s="2" t="inlineStr">
        <is>
          <t>2026-05-21 08:43:22</t>
        </is>
      </c>
      <c r="BD234" s="3" t="n">
        <v>1999</v>
      </c>
      <c r="BE234" s="3" t="n">
        <v>27</v>
      </c>
      <c r="BF234" s="2" t="inlineStr">
        <is>
          <t>A.无此需求</t>
        </is>
      </c>
      <c r="BG234" s="2" t="inlineStr">
        <is>
          <t>已生效</t>
        </is>
      </c>
      <c r="BH234" s="2" t="inlineStr">
        <is>
          <t>312bdcd1-66d4-47bc-b72c-85195739fff9</t>
        </is>
      </c>
      <c r="BI234" s="3" t="n">
        <v>1</v>
      </c>
      <c r="BJ234" s="2"/>
      <c r="BK234" s="2"/>
      <c r="BL234" s="2"/>
      <c r="BM234" s="2"/>
      <c r="BN234" s="2"/>
      <c r="BO234" s="2"/>
      <c r="BP234" s="2"/>
      <c r="BQ234" s="2"/>
      <c r="BR234" s="2"/>
      <c r="BS234" s="2" t="inlineStr">
        <is>
          <t>ffdb1cb8-f07c-4c1a-a55a-f3d5bf5ba315</t>
        </is>
      </c>
      <c r="BT234" s="3" t="n">
        <v>1</v>
      </c>
      <c r="BU234" s="2"/>
      <c r="BV234" s="2"/>
      <c r="BW234" s="2"/>
      <c r="BX234" s="3"/>
      <c r="BY234" s="3"/>
      <c r="BZ234" s="2"/>
      <c r="CA234" s="3"/>
      <c r="CB234" s="3"/>
      <c r="CC234" s="3"/>
      <c r="CD234" s="3"/>
      <c r="CE234" s="2"/>
      <c r="CF234" s="2"/>
      <c r="CG234" s="2"/>
      <c r="CH234" s="2"/>
      <c r="CI234" s="2"/>
      <c r="CJ234" s="2"/>
      <c r="CK234" s="2"/>
      <c r="CL234" s="2"/>
      <c r="CM234" s="2"/>
      <c r="CN234" s="2" t="inlineStr">
        <is>
          <t>c4fed4f2-9bf9-4a66-b221-54129947a742</t>
        </is>
      </c>
      <c r="CO234" s="3" t="n">
        <v>1</v>
      </c>
      <c r="CP234" s="2"/>
      <c r="CQ234" s="2" t="inlineStr">
        <is>
          <t>优化维护落图软件</t>
        </is>
      </c>
      <c r="CR234" s="2" t="inlineStr">
        <is>
          <t>2-3次</t>
        </is>
      </c>
      <c r="CS234" s="3" t="n">
        <v>2</v>
      </c>
      <c r="CT234" s="3" t="n">
        <v>3</v>
      </c>
      <c r="CU234" s="2" t="inlineStr">
        <is>
          <t>B.2小时以内</t>
        </is>
      </c>
      <c r="CV234" s="7" t="n">
        <v>2</v>
      </c>
      <c r="CW234" s="7" t="n">
        <v>2</v>
      </c>
      <c r="CX234" s="7" t="n">
        <v>4</v>
      </c>
      <c r="CY234" s="7" t="n">
        <v>6</v>
      </c>
      <c r="CZ234" s="2" t="inlineStr">
        <is>
          <t>专业技术类</t>
        </is>
      </c>
      <c r="DA234" s="2"/>
      <c r="DB234" s="2" t="inlineStr">
        <is>
          <t>探索研发类工作</t>
        </is>
      </c>
      <c r="DC234" s="2" t="inlineStr">
        <is>
          <t>岗位职责</t>
        </is>
      </c>
      <c r="DD234" s="2" t="inlineStr">
        <is>
          <t>重要不紧急</t>
        </is>
      </c>
      <c r="DE234" s="2" t="inlineStr">
        <is>
          <t>非标准化-无先例参考，需创新协调</t>
        </is>
      </c>
      <c r="DF234" s="2" t="inlineStr">
        <is>
          <t>低频（5%-10%）</t>
        </is>
      </c>
      <c r="DG234" s="2" t="inlineStr">
        <is>
          <t>脑力/复杂度负荷</t>
        </is>
      </c>
      <c r="DH234" s="2"/>
      <c r="DI234" s="2" t="inlineStr">
        <is>
          <t>f4d1e3ec-2127-4f2d-add5-80215c6cd6b0</t>
        </is>
      </c>
      <c r="DJ234" s="3" t="n">
        <v>1</v>
      </c>
      <c r="DK234" s="2"/>
      <c r="DL234" s="2"/>
      <c r="DM234" s="2"/>
      <c r="DN234" s="3"/>
      <c r="DO234" s="3"/>
      <c r="DP234" s="2"/>
      <c r="DQ234" s="3"/>
      <c r="DR234" s="3"/>
      <c r="DS234" s="3"/>
      <c r="DT234" s="3"/>
      <c r="DU234" s="2"/>
      <c r="DV234" s="2"/>
      <c r="DW234" s="2"/>
      <c r="DX234" s="2"/>
      <c r="DY234" s="2"/>
      <c r="DZ234" s="2"/>
      <c r="EA234" s="2"/>
      <c r="EB234" s="2"/>
      <c r="EC234" s="2"/>
      <c r="ED234" s="2" t="inlineStr">
        <is>
          <t>2b224c45-e3eb-4019-a674-109c2fef8e5b</t>
        </is>
      </c>
      <c r="EE234" s="3" t="n">
        <v>1</v>
      </c>
      <c r="EF234" s="2"/>
      <c r="EG234" s="2"/>
      <c r="EH234" s="2"/>
      <c r="EI234" s="3"/>
      <c r="EJ234" s="2"/>
      <c r="EK234" s="3"/>
      <c r="EL234" s="3"/>
      <c r="EM234" s="3"/>
      <c r="EN234" s="3"/>
      <c r="EO234" s="2"/>
      <c r="EP234" s="2"/>
      <c r="EQ234" s="2"/>
      <c r="ER234" s="2"/>
      <c r="ES234" s="2"/>
      <c r="ET234" s="2"/>
      <c r="EU234" s="2"/>
      <c r="EV234" s="2"/>
      <c r="EW234" s="2"/>
      <c r="EX234" s="2" t="inlineStr">
        <is>
          <t>2669c6b1-a832-4340-bcb8-870b1676dbbe</t>
        </is>
      </c>
      <c r="EY234" s="3" t="n">
        <v>1</v>
      </c>
      <c r="EZ234" s="2"/>
      <c r="FA234" s="2"/>
      <c r="FB234" s="2" t="inlineStr">
        <is>
          <t>每季1-2次</t>
        </is>
      </c>
      <c r="FC234" s="2" t="inlineStr">
        <is>
          <t>季</t>
        </is>
      </c>
      <c r="FD234" s="3" t="n">
        <v>1</v>
      </c>
      <c r="FE234" s="3" t="n">
        <v>2</v>
      </c>
      <c r="FF234" s="2"/>
      <c r="FG234" s="3"/>
      <c r="FH234" s="3"/>
      <c r="FI234" s="7" t="n">
        <v>0</v>
      </c>
      <c r="FJ234" s="7" t="n">
        <v>0</v>
      </c>
      <c r="FK234" s="3"/>
      <c r="FL234" s="3"/>
      <c r="FM234" s="7" t="n">
        <v>0</v>
      </c>
      <c r="FN234" s="7" t="n">
        <v>0</v>
      </c>
      <c r="FO234" s="2"/>
      <c r="FP234" s="2"/>
      <c r="FQ234" s="2"/>
      <c r="FR234" s="2"/>
      <c r="FS234" s="2"/>
      <c r="FT234" s="2"/>
      <c r="FU234" s="2"/>
      <c r="FV234" s="2"/>
      <c r="FW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t="inlineStr">
        <is>
          <t>d1b25415-736a-42ed-9903-6550c16744b8</t>
        </is>
      </c>
      <c r="CO235" s="3" t="n">
        <v>2</v>
      </c>
      <c r="CP235" s="2"/>
      <c r="CQ235" s="2" t="inlineStr">
        <is>
          <t>具身机器人研究</t>
        </is>
      </c>
      <c r="CR235" s="2" t="inlineStr">
        <is>
          <t>4-5次</t>
        </is>
      </c>
      <c r="CS235" s="3" t="n">
        <v>4</v>
      </c>
      <c r="CT235" s="3" t="n">
        <v>5</v>
      </c>
      <c r="CU235" s="2" t="inlineStr">
        <is>
          <t>E.8小时以上</t>
        </is>
      </c>
      <c r="CV235" s="7" t="n">
        <v>8</v>
      </c>
      <c r="CW235" s="7" t="n">
        <v>8</v>
      </c>
      <c r="CX235" s="7" t="n">
        <v>32</v>
      </c>
      <c r="CY235" s="7" t="n">
        <v>40</v>
      </c>
      <c r="CZ235" s="2" t="inlineStr">
        <is>
          <t>专业技术类</t>
        </is>
      </c>
      <c r="DA235" s="2"/>
      <c r="DB235" s="2" t="inlineStr">
        <is>
          <t>探索研发类工作</t>
        </is>
      </c>
      <c r="DC235" s="2" t="inlineStr">
        <is>
          <t>岗位职责</t>
        </is>
      </c>
      <c r="DD235" s="2" t="inlineStr">
        <is>
          <t>重要且紧急</t>
        </is>
      </c>
      <c r="DE235" s="2" t="inlineStr">
        <is>
          <t>非标准化-无先例参考，需创新协调</t>
        </is>
      </c>
      <c r="DF235" s="2" t="inlineStr">
        <is>
          <t>极少（&lt;5%）</t>
        </is>
      </c>
      <c r="DG235" s="2" t="inlineStr">
        <is>
          <t>脑力/复杂度负荷</t>
        </is>
      </c>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t="inlineStr">
        <is>
          <t>e14c918d-8174-462b-802c-6a02a4f28f5b</t>
        </is>
      </c>
      <c r="CO236" s="3" t="n">
        <v>3</v>
      </c>
      <c r="CP236" s="2"/>
      <c r="CQ236" s="2" t="inlineStr">
        <is>
          <t>会议</t>
        </is>
      </c>
      <c r="CR236" s="2" t="inlineStr">
        <is>
          <t>1次</t>
        </is>
      </c>
      <c r="CS236" s="3" t="n">
        <v>1</v>
      </c>
      <c r="CT236" s="3" t="n">
        <v>1</v>
      </c>
      <c r="CU236" s="2" t="inlineStr">
        <is>
          <t>B.2小时以内</t>
        </is>
      </c>
      <c r="CV236" s="7" t="n">
        <v>2</v>
      </c>
      <c r="CW236" s="7" t="n">
        <v>2</v>
      </c>
      <c r="CX236" s="7" t="n">
        <v>2</v>
      </c>
      <c r="CY236" s="7" t="n">
        <v>2</v>
      </c>
      <c r="CZ236" s="2" t="inlineStr">
        <is>
          <t>专业技术类</t>
        </is>
      </c>
      <c r="DA236" s="2"/>
      <c r="DB236" s="2" t="inlineStr">
        <is>
          <t>探索研发类工作</t>
        </is>
      </c>
      <c r="DC236" s="2" t="inlineStr">
        <is>
          <t>岗位职责</t>
        </is>
      </c>
      <c r="DD236" s="2" t="inlineStr">
        <is>
          <t>重要且紧急</t>
        </is>
      </c>
      <c r="DE236" s="2" t="inlineStr">
        <is>
          <t>高度标准化-有成熟SOP，照做即可</t>
        </is>
      </c>
      <c r="DF236" s="2" t="inlineStr">
        <is>
          <t>极少（&lt;5%）</t>
        </is>
      </c>
      <c r="DG236" s="2" t="inlineStr">
        <is>
          <t>沟通/协调负荷</t>
        </is>
      </c>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row>
    <row r="237">
      <c r="A237" s="2" t="inlineStr">
        <is>
          <t>2026-05-07 16:45:49</t>
        </is>
      </c>
      <c r="B237" s="2" t="inlineStr">
        <is>
          <t>童家斌</t>
        </is>
      </c>
      <c r="C237" s="2" t="inlineStr">
        <is>
          <t>马来西亚分公司（国内采购）</t>
        </is>
      </c>
      <c r="D237" s="2" t="inlineStr">
        <is>
          <t>男</t>
        </is>
      </c>
      <c r="E237" s="2" t="inlineStr">
        <is>
          <t>320123200008075236</t>
        </is>
      </c>
      <c r="F237" s="2" t="inlineStr">
        <is>
          <t>技术助理(三)</t>
        </is>
      </c>
      <c r="G237" s="2" t="inlineStr">
        <is>
          <t>2025-08</t>
        </is>
      </c>
      <c r="H237" s="2" t="inlineStr">
        <is>
          <t>南京工业职业技术大学</t>
        </is>
      </c>
      <c r="I237" s="2" t="inlineStr">
        <is>
          <t>自动化</t>
        </is>
      </c>
      <c r="J237" s="2" t="inlineStr">
        <is>
          <t>本科</t>
        </is>
      </c>
      <c r="K237" s="2"/>
      <c r="L237" s="6">
        <f>HYPERLINK("https://www.h3yun.com/Form/Attachments/?schemacode=D1483577de63ede327d4760b10664bd57671d7e&amp;bizObjectId=e0ef6eee-202b-4f83-8e9e-6e451508f58c&amp;name=F0000046","点击查看")</f>
        <v>0</v>
      </c>
      <c r="M237" s="2" t="inlineStr">
        <is>
          <t>技术中心内部管理精细化与个体责任化程度高，是当代企业的典型特征，我对工作要求并没有任何意见。但如若当我接受新的工作内容时，我希望能够给予我适当的时间去消化和进行个人总结以让我可以对该项任务形成清晰的逻辑认识。</t>
        </is>
      </c>
      <c r="N237" s="2" t="inlineStr">
        <is>
          <t>每日工作</t>
        </is>
      </c>
      <c r="O237" s="2" t="inlineStr">
        <is>
          <t>26-30岁</t>
        </is>
      </c>
      <c r="P237" s="2" t="inlineStr">
        <is>
          <t>A.未婚</t>
        </is>
      </c>
      <c r="Q237" s="2" t="inlineStr">
        <is>
          <t>A.否</t>
        </is>
      </c>
      <c r="R237" s="2" t="inlineStr">
        <is>
          <t>A.否</t>
        </is>
      </c>
      <c r="S237" s="2" t="inlineStr">
        <is>
          <t>E.愿意承担更高挑战和更大压力，以换取更高回报或晋升机会</t>
        </is>
      </c>
      <c r="T237" s="2" t="inlineStr">
        <is>
          <t>E.希望承担更重要、更有挑战的职责</t>
        </is>
      </c>
      <c r="U237" s="2" t="inlineStr">
        <is>
          <t>E.增加成长性和挑战性</t>
        </is>
      </c>
      <c r="V237" s="2" t="inlineStr">
        <is>
          <t>A.没有</t>
        </is>
      </c>
      <c r="W237" s="2"/>
      <c r="X237" s="2" t="inlineStr">
        <is>
          <t>C.均衡 (80%-100%)</t>
        </is>
      </c>
      <c r="Y237" s="2" t="inlineStr">
        <is>
          <t>I.无需加班</t>
        </is>
      </c>
      <c r="Z237" s="2" t="inlineStr">
        <is>
          <t>无</t>
        </is>
      </c>
      <c r="AA237" s="2" t="inlineStr">
        <is>
          <t>无</t>
        </is>
      </c>
      <c r="AB237" s="2" t="inlineStr">
        <is>
          <t>无</t>
        </is>
      </c>
      <c r="AC237" s="2" t="inlineStr">
        <is>
          <t>C.存在偏差（需辅导）</t>
        </is>
      </c>
      <c r="AD237" s="2" t="inlineStr">
        <is>
          <t>我并不是非常了解我所处的工作部门，但是职责划分明确，上级对下负责。我没有任何意见或者建议。</t>
        </is>
      </c>
      <c r="AE237" s="2"/>
      <c r="AF237" s="2"/>
      <c r="AG237" s="2"/>
      <c r="AH237" s="2"/>
      <c r="AI237" s="7" t="n">
        <v>4</v>
      </c>
      <c r="AJ237" s="7" t="n">
        <v>8</v>
      </c>
      <c r="AK237" s="7" t="n">
        <v>0</v>
      </c>
      <c r="AL237" s="7" t="n">
        <v>0</v>
      </c>
      <c r="AM237" s="7" t="n">
        <v>0</v>
      </c>
      <c r="AN237" s="7" t="n">
        <v>0</v>
      </c>
      <c r="AO237" s="7" t="n">
        <v>0</v>
      </c>
      <c r="AP237" s="7" t="n">
        <v>0</v>
      </c>
      <c r="AQ237" s="7" t="n">
        <v>0</v>
      </c>
      <c r="AR237" s="7" t="n">
        <v>0</v>
      </c>
      <c r="AS237" s="7" t="n">
        <v>4</v>
      </c>
      <c r="AT237" s="7" t="n">
        <v>8</v>
      </c>
      <c r="AU237" s="7" t="n">
        <v>6</v>
      </c>
      <c r="AV237" s="2" t="inlineStr">
        <is>
          <t>欠饱和</t>
        </is>
      </c>
      <c r="AW237" s="2" t="inlineStr">
        <is>
          <t>不一致</t>
        </is>
      </c>
      <c r="AX237" s="2" t="inlineStr">
        <is>
          <t>e0ef6eee-202b-4f83-8e9e-6e451508f58c</t>
        </is>
      </c>
      <c r="AY237" s="2" t="inlineStr">
        <is>
          <t>马来西亚分公司（国内采购）    童家斌</t>
        </is>
      </c>
      <c r="AZ237" s="2" t="inlineStr">
        <is>
          <t>Anonymous</t>
        </is>
      </c>
      <c r="BA237" s="2" t="inlineStr">
        <is>
          <t>Anonymous</t>
        </is>
      </c>
      <c r="BB237" s="2"/>
      <c r="BC237" s="2" t="inlineStr">
        <is>
          <t>2026-05-21 08:43:22</t>
        </is>
      </c>
      <c r="BD237" s="3" t="n">
        <v>2000</v>
      </c>
      <c r="BE237" s="3" t="n">
        <v>26</v>
      </c>
      <c r="BF237" s="2" t="inlineStr">
        <is>
          <t>A.无此需求</t>
        </is>
      </c>
      <c r="BG237" s="2" t="inlineStr">
        <is>
          <t>已生效</t>
        </is>
      </c>
      <c r="BH237" s="2" t="inlineStr">
        <is>
          <t>5cdcebf9-a3f3-49a8-b018-142288a407e5</t>
        </is>
      </c>
      <c r="BI237" s="3" t="n">
        <v>1</v>
      </c>
      <c r="BJ237" s="2"/>
      <c r="BK237" s="2"/>
      <c r="BL237" s="2"/>
      <c r="BM237" s="2"/>
      <c r="BN237" s="2"/>
      <c r="BO237" s="2"/>
      <c r="BP237" s="2"/>
      <c r="BQ237" s="2"/>
      <c r="BR237" s="2"/>
      <c r="BS237" s="2" t="inlineStr">
        <is>
          <t>3b774181-efe1-4cde-8e3c-5c81358a025d</t>
        </is>
      </c>
      <c r="BT237" s="3" t="n">
        <v>1</v>
      </c>
      <c r="BU237" s="2" t="inlineStr">
        <is>
          <t>数据报表类</t>
        </is>
      </c>
      <c r="BV237" s="2" t="inlineStr">
        <is>
          <t>材料代码处理</t>
        </is>
      </c>
      <c r="BW237" s="2" t="inlineStr">
        <is>
          <t>1次</t>
        </is>
      </c>
      <c r="BX237" s="3" t="n">
        <v>1</v>
      </c>
      <c r="BY237" s="3" t="n">
        <v>1</v>
      </c>
      <c r="BZ237" s="2" t="inlineStr">
        <is>
          <t>D.4-8小时</t>
        </is>
      </c>
      <c r="CA237" s="7" t="n">
        <v>4</v>
      </c>
      <c r="CB237" s="7" t="n">
        <v>8</v>
      </c>
      <c r="CC237" s="7" t="n">
        <v>4</v>
      </c>
      <c r="CD237" s="7" t="n">
        <v>8</v>
      </c>
      <c r="CE237" s="2" t="inlineStr">
        <is>
          <t>数据报表类</t>
        </is>
      </c>
      <c r="CF237" s="2"/>
      <c r="CG237" s="2" t="inlineStr">
        <is>
          <t>专项统计</t>
        </is>
      </c>
      <c r="CH237" s="2" t="inlineStr">
        <is>
          <t>上级指令</t>
        </is>
      </c>
      <c r="CI237" s="2" t="inlineStr">
        <is>
          <t>紧急不重要</t>
        </is>
      </c>
      <c r="CJ237" s="2" t="inlineStr">
        <is>
          <t>高度标准化-有成熟SOP，照做即可</t>
        </is>
      </c>
      <c r="CK237" s="2" t="inlineStr">
        <is>
          <t>极少（&lt;5%）</t>
        </is>
      </c>
      <c r="CL237" s="2" t="inlineStr">
        <is>
          <t>时效/强度负荷</t>
        </is>
      </c>
      <c r="CM237" s="2"/>
      <c r="CN237" s="2" t="inlineStr">
        <is>
          <t>ff03a64f-9311-4c8a-9595-f57616c90ebb</t>
        </is>
      </c>
      <c r="CO237" s="3" t="n">
        <v>1</v>
      </c>
      <c r="CP237" s="2"/>
      <c r="CQ237" s="2"/>
      <c r="CR237" s="2"/>
      <c r="CS237" s="3"/>
      <c r="CT237" s="3"/>
      <c r="CU237" s="2"/>
      <c r="CV237" s="3"/>
      <c r="CW237" s="3"/>
      <c r="CX237" s="3"/>
      <c r="CY237" s="3"/>
      <c r="CZ237" s="2"/>
      <c r="DA237" s="2"/>
      <c r="DB237" s="2"/>
      <c r="DC237" s="2"/>
      <c r="DD237" s="2"/>
      <c r="DE237" s="2"/>
      <c r="DF237" s="2"/>
      <c r="DG237" s="2"/>
      <c r="DH237" s="2"/>
      <c r="DI237" s="2" t="inlineStr">
        <is>
          <t>47b46af4-93bc-4650-91ef-783df156e05d</t>
        </is>
      </c>
      <c r="DJ237" s="3" t="n">
        <v>1</v>
      </c>
      <c r="DK237" s="2"/>
      <c r="DL237" s="2"/>
      <c r="DM237" s="2"/>
      <c r="DN237" s="3"/>
      <c r="DO237" s="3"/>
      <c r="DP237" s="2"/>
      <c r="DQ237" s="3"/>
      <c r="DR237" s="3"/>
      <c r="DS237" s="3"/>
      <c r="DT237" s="3"/>
      <c r="DU237" s="2"/>
      <c r="DV237" s="2"/>
      <c r="DW237" s="2"/>
      <c r="DX237" s="2"/>
      <c r="DY237" s="2"/>
      <c r="DZ237" s="2"/>
      <c r="EA237" s="2"/>
      <c r="EB237" s="2"/>
      <c r="EC237" s="2"/>
      <c r="ED237" s="2" t="inlineStr">
        <is>
          <t>98b57e12-fe4c-40df-8de2-bb9d4db886b2</t>
        </is>
      </c>
      <c r="EE237" s="3" t="n">
        <v>1</v>
      </c>
      <c r="EF237" s="2"/>
      <c r="EG237" s="2"/>
      <c r="EH237" s="2"/>
      <c r="EI237" s="3"/>
      <c r="EJ237" s="2"/>
      <c r="EK237" s="3"/>
      <c r="EL237" s="3"/>
      <c r="EM237" s="3"/>
      <c r="EN237" s="3"/>
      <c r="EO237" s="2"/>
      <c r="EP237" s="2"/>
      <c r="EQ237" s="2"/>
      <c r="ER237" s="2"/>
      <c r="ES237" s="2"/>
      <c r="ET237" s="2"/>
      <c r="EU237" s="2"/>
      <c r="EV237" s="2"/>
      <c r="EW237" s="2"/>
      <c r="EX237" s="2" t="inlineStr">
        <is>
          <t>ddde0a59-d90b-4713-af15-76a10087b1e9</t>
        </is>
      </c>
      <c r="EY237" s="3" t="n">
        <v>1</v>
      </c>
      <c r="EZ237" s="2"/>
      <c r="FA237" s="2"/>
      <c r="FB237" s="2"/>
      <c r="FC237" s="2"/>
      <c r="FD237" s="3"/>
      <c r="FE237" s="3"/>
      <c r="FF237" s="2"/>
      <c r="FG237" s="3"/>
      <c r="FH237" s="3"/>
      <c r="FI237" s="7" t="n">
        <v>0</v>
      </c>
      <c r="FJ237" s="7" t="n">
        <v>0</v>
      </c>
      <c r="FK237" s="7" t="n">
        <v>0</v>
      </c>
      <c r="FL237" s="7" t="n">
        <v>0</v>
      </c>
      <c r="FM237" s="7" t="n">
        <v>0</v>
      </c>
      <c r="FN237" s="7" t="n">
        <v>0</v>
      </c>
      <c r="FO237" s="2"/>
      <c r="FP237" s="2"/>
      <c r="FQ237" s="2"/>
      <c r="FR237" s="2"/>
      <c r="FS237" s="2"/>
      <c r="FT237" s="2"/>
      <c r="FU237" s="2"/>
      <c r="FV237" s="2"/>
      <c r="FW237" s="2"/>
    </row>
    <row r="238">
      <c r="A238" s="2" t="inlineStr">
        <is>
          <t>2026-05-07 16:18:07</t>
        </is>
      </c>
      <c r="B238" s="2" t="inlineStr">
        <is>
          <t>邢冬梅</t>
        </is>
      </c>
      <c r="C238" s="2" t="inlineStr">
        <is>
          <t>物资部</t>
        </is>
      </c>
      <c r="D238" s="2" t="inlineStr">
        <is>
          <t>女</t>
        </is>
      </c>
      <c r="E238" s="2" t="inlineStr">
        <is>
          <t>342622198110026840</t>
        </is>
      </c>
      <c r="F238" s="2" t="inlineStr">
        <is>
          <t>主管工程师</t>
        </is>
      </c>
      <c r="G238" s="2" t="inlineStr">
        <is>
          <t>2004-08</t>
        </is>
      </c>
      <c r="H238" s="2" t="inlineStr">
        <is>
          <t>华东理工大学</t>
        </is>
      </c>
      <c r="I238" s="2" t="inlineStr">
        <is>
          <t>机电一体化</t>
        </is>
      </c>
      <c r="J238" s="2" t="inlineStr">
        <is>
          <t>大专</t>
        </is>
      </c>
      <c r="K238" s="2"/>
      <c r="L238" s="6">
        <f>HYPERLINK("https://www.h3yun.com/Form/Attachments/?schemacode=D1483577de63ede327d4760b10664bd57671d7e&amp;bizObjectId=af5313aa-1f91-411d-87d0-25c3b9a5cf3a&amp;name=F0000046","点击查看")</f>
        <v>0</v>
      </c>
      <c r="M238" s="2" t="inlineStr">
        <is>
          <t>无</t>
        </is>
      </c>
      <c r="N238" s="2" t="inlineStr">
        <is>
          <t>每日工作;每周工作;每月工作;每季度/阶段性工作;临时/突发工作</t>
        </is>
      </c>
      <c r="O238" s="2" t="inlineStr">
        <is>
          <t>41-45岁</t>
        </is>
      </c>
      <c r="P238" s="2" t="inlineStr">
        <is>
          <t>C.已婚已育</t>
        </is>
      </c>
      <c r="Q238" s="2" t="inlineStr">
        <is>
          <t>A.否</t>
        </is>
      </c>
      <c r="R238" s="2" t="inlineStr">
        <is>
          <t>A.否</t>
        </is>
      </c>
      <c r="S238" s="2" t="inlineStr">
        <is>
          <t>D.希望承担更有挑战性的工作，并争取更大发展空间</t>
        </is>
      </c>
      <c r="T238" s="2" t="inlineStr">
        <is>
          <t>E.希望承担更重要、更有挑战的职责</t>
        </is>
      </c>
      <c r="U238" s="2" t="inlineStr">
        <is>
          <t>B.减少无效流转和返工</t>
        </is>
      </c>
      <c r="V238" s="2" t="inlineStr">
        <is>
          <t>A.没有</t>
        </is>
      </c>
      <c r="W238" s="2"/>
      <c r="X238" s="2" t="inlineStr">
        <is>
          <t>B.满负荷 (100%-120%)</t>
        </is>
      </c>
      <c r="Y238" s="2" t="inlineStr">
        <is>
          <t>G.接收到任务分配单完成周期内要求的加班</t>
        </is>
      </c>
      <c r="Z238" s="2" t="inlineStr">
        <is>
          <t>跨部门对接</t>
        </is>
      </c>
      <c r="AA238" s="2" t="inlineStr">
        <is>
          <t>催办</t>
        </is>
      </c>
      <c r="AB238" s="2" t="inlineStr">
        <is>
          <t>外部联络</t>
        </is>
      </c>
      <c r="AC238" s="2" t="inlineStr">
        <is>
          <t>A.高度匹配（得心应手）</t>
        </is>
      </c>
      <c r="AD238" s="2" t="inlineStr">
        <is>
          <t>无</t>
        </is>
      </c>
      <c r="AE238" s="2"/>
      <c r="AF238" s="2"/>
      <c r="AG238" s="2" t="inlineStr">
        <is>
          <t>B.配偶为公司家属，常驻项目，个人承担更多</t>
        </is>
      </c>
      <c r="AH238" s="2" t="inlineStr">
        <is>
          <t>C.无意向</t>
        </is>
      </c>
      <c r="AI238" s="7" t="n">
        <v>87.3</v>
      </c>
      <c r="AJ238" s="7" t="n">
        <v>283.3</v>
      </c>
      <c r="AK238" s="7" t="n">
        <v>0.8</v>
      </c>
      <c r="AL238" s="7" t="n">
        <v>1.6</v>
      </c>
      <c r="AM238" s="7" t="n">
        <v>1.55</v>
      </c>
      <c r="AN238" s="7" t="n">
        <v>2.18</v>
      </c>
      <c r="AO238" s="7" t="n">
        <v>0.19</v>
      </c>
      <c r="AP238" s="7" t="n">
        <v>0.32</v>
      </c>
      <c r="AQ238" s="7" t="n">
        <v>0.62</v>
      </c>
      <c r="AR238" s="7" t="n">
        <v>0.74</v>
      </c>
      <c r="AS238" s="7" t="n">
        <v>90.46</v>
      </c>
      <c r="AT238" s="7" t="n">
        <v>288.14</v>
      </c>
      <c r="AU238" s="7" t="n">
        <v>189.3</v>
      </c>
      <c r="AV238" s="2" t="inlineStr">
        <is>
          <t>超负荷</t>
        </is>
      </c>
      <c r="AW238" s="2" t="inlineStr">
        <is>
          <t>不一致</t>
        </is>
      </c>
      <c r="AX238" s="2" t="inlineStr">
        <is>
          <t>af5313aa-1f91-411d-87d0-25c3b9a5cf3a</t>
        </is>
      </c>
      <c r="AY238" s="2" t="inlineStr">
        <is>
          <t>物资部    邢冬梅</t>
        </is>
      </c>
      <c r="AZ238" s="2" t="inlineStr">
        <is>
          <t>Anonymous</t>
        </is>
      </c>
      <c r="BA238" s="2" t="inlineStr">
        <is>
          <t>Anonymous</t>
        </is>
      </c>
      <c r="BB238" s="2"/>
      <c r="BC238" s="2" t="inlineStr">
        <is>
          <t>2026-05-21 08:43:22</t>
        </is>
      </c>
      <c r="BD238" s="3" t="n">
        <v>1981</v>
      </c>
      <c r="BE238" s="3" t="n">
        <v>45</v>
      </c>
      <c r="BF238" s="2" t="inlineStr">
        <is>
          <t>A.无此需求</t>
        </is>
      </c>
      <c r="BG238" s="2" t="inlineStr">
        <is>
          <t>已生效</t>
        </is>
      </c>
      <c r="BH238" s="2" t="inlineStr">
        <is>
          <t>0aef1127-eb46-4a00-b004-013c6a4682f6</t>
        </is>
      </c>
      <c r="BI238" s="3" t="n">
        <v>1</v>
      </c>
      <c r="BJ238" s="2"/>
      <c r="BK238" s="2"/>
      <c r="BL238" s="2"/>
      <c r="BM238" s="2"/>
      <c r="BN238" s="2"/>
      <c r="BO238" s="2"/>
      <c r="BP238" s="2"/>
      <c r="BQ238" s="2"/>
      <c r="BR238" s="2"/>
      <c r="BS238" s="2" t="inlineStr">
        <is>
          <t>bba76506-75ef-4c61-b992-7a3b04a149ec</t>
        </is>
      </c>
      <c r="BT238" s="3" t="n">
        <v>1</v>
      </c>
      <c r="BU238" s="2" t="inlineStr">
        <is>
          <t>专业技术类</t>
        </is>
      </c>
      <c r="BV238" s="2" t="inlineStr">
        <is>
          <t>固定资产采购预算</t>
        </is>
      </c>
      <c r="BW238" s="2" t="inlineStr">
        <is>
          <t>2-5次</t>
        </is>
      </c>
      <c r="BX238" s="3" t="n">
        <v>2</v>
      </c>
      <c r="BY238" s="3" t="n">
        <v>5</v>
      </c>
      <c r="BZ238" s="2" t="inlineStr">
        <is>
          <t>C.2-4小时</t>
        </is>
      </c>
      <c r="CA238" s="7" t="n">
        <v>2</v>
      </c>
      <c r="CB238" s="7" t="n">
        <v>4</v>
      </c>
      <c r="CC238" s="7" t="n">
        <v>4</v>
      </c>
      <c r="CD238" s="7" t="n">
        <v>20</v>
      </c>
      <c r="CE238" s="2" t="inlineStr">
        <is>
          <t>专业技术类</t>
        </is>
      </c>
      <c r="CF238" s="2"/>
      <c r="CG238" s="2" t="inlineStr">
        <is>
          <t>专业问题协调</t>
        </is>
      </c>
      <c r="CH238" s="2" t="inlineStr">
        <is>
          <t>岗位职责</t>
        </is>
      </c>
      <c r="CI238" s="2" t="inlineStr">
        <is>
          <t>重要且紧急</t>
        </is>
      </c>
      <c r="CJ238" s="2" t="inlineStr">
        <is>
          <t>半标准化-有流程框架，需专业经验</t>
        </is>
      </c>
      <c r="CK238" s="2" t="inlineStr">
        <is>
          <t>极少（&lt;5%）</t>
        </is>
      </c>
      <c r="CL238" s="2" t="inlineStr">
        <is>
          <t>时效/强度负荷</t>
        </is>
      </c>
      <c r="CM238" s="2"/>
      <c r="CN238" s="2" t="inlineStr">
        <is>
          <t>bf2f3e38-6390-4020-b61a-281e63015869</t>
        </is>
      </c>
      <c r="CO238" s="3" t="n">
        <v>1</v>
      </c>
      <c r="CP238" s="2"/>
      <c r="CQ238" s="2" t="inlineStr">
        <is>
          <t>计量器具送检</t>
        </is>
      </c>
      <c r="CR238" s="2" t="inlineStr">
        <is>
          <t>1次</t>
        </is>
      </c>
      <c r="CS238" s="3" t="n">
        <v>1</v>
      </c>
      <c r="CT238" s="3" t="n">
        <v>1</v>
      </c>
      <c r="CU238" s="2" t="inlineStr">
        <is>
          <t>D.4-8小时</t>
        </is>
      </c>
      <c r="CV238" s="7" t="n">
        <v>4</v>
      </c>
      <c r="CW238" s="7" t="n">
        <v>8</v>
      </c>
      <c r="CX238" s="7" t="n">
        <v>4</v>
      </c>
      <c r="CY238" s="7" t="n">
        <v>8</v>
      </c>
      <c r="CZ238" s="2" t="inlineStr">
        <is>
          <t>综合管理类</t>
        </is>
      </c>
      <c r="DA238" s="2"/>
      <c r="DB238" s="2" t="inlineStr">
        <is>
          <t>外部联络</t>
        </is>
      </c>
      <c r="DC238" s="2" t="inlineStr">
        <is>
          <t>跨部门协同</t>
        </is>
      </c>
      <c r="DD238" s="2" t="inlineStr">
        <is>
          <t>重要且紧急</t>
        </is>
      </c>
      <c r="DE238" s="2" t="inlineStr">
        <is>
          <t>非标准化-无先例参考，需创新协调</t>
        </is>
      </c>
      <c r="DF238" s="2" t="inlineStr">
        <is>
          <t>极少（&lt;5%）</t>
        </is>
      </c>
      <c r="DG238" s="2" t="inlineStr">
        <is>
          <t>沟通/协调负荷</t>
        </is>
      </c>
      <c r="DH238" s="2"/>
      <c r="DI238" s="2" t="inlineStr">
        <is>
          <t>dec03cb3-0b4f-47b7-a1f5-51fa84e9c34e</t>
        </is>
      </c>
      <c r="DJ238" s="3" t="n">
        <v>1</v>
      </c>
      <c r="DK238" s="2"/>
      <c r="DL238" s="2" t="inlineStr">
        <is>
          <t>固定资产报表</t>
        </is>
      </c>
      <c r="DM238" s="2" t="inlineStr">
        <is>
          <t>1次</t>
        </is>
      </c>
      <c r="DN238" s="3" t="n">
        <v>1</v>
      </c>
      <c r="DO238" s="3" t="n">
        <v>1</v>
      </c>
      <c r="DP238" s="2" t="inlineStr">
        <is>
          <t>E.8小时以上</t>
        </is>
      </c>
      <c r="DQ238" s="7" t="n">
        <v>8</v>
      </c>
      <c r="DR238" s="7" t="n">
        <v>8</v>
      </c>
      <c r="DS238" s="7" t="n">
        <v>8</v>
      </c>
      <c r="DT238" s="7" t="n">
        <v>8</v>
      </c>
      <c r="DU238" s="2" t="inlineStr">
        <is>
          <t>数据报表类</t>
        </is>
      </c>
      <c r="DV238" s="2"/>
      <c r="DW238" s="2" t="inlineStr">
        <is>
          <t>月报</t>
        </is>
      </c>
      <c r="DX238" s="2" t="inlineStr">
        <is>
          <t>岗位职责</t>
        </is>
      </c>
      <c r="DY238" s="2" t="inlineStr">
        <is>
          <t>重要且紧急</t>
        </is>
      </c>
      <c r="DZ238" s="2" t="inlineStr">
        <is>
          <t>半标准化-有流程框架，需专业经验</t>
        </is>
      </c>
      <c r="EA238" s="2" t="inlineStr">
        <is>
          <t>极少（&lt;5%）</t>
        </is>
      </c>
      <c r="EB238" s="2" t="inlineStr">
        <is>
          <t>脑力/复杂度负荷</t>
        </is>
      </c>
      <c r="EC238" s="2"/>
      <c r="ED238" s="2" t="inlineStr">
        <is>
          <t>fa6702fe-6b97-4faf-a807-7dc1e2be8db1</t>
        </is>
      </c>
      <c r="EE238" s="3" t="n">
        <v>1</v>
      </c>
      <c r="EF238" s="2"/>
      <c r="EG238" s="2" t="inlineStr">
        <is>
          <t>固定资产汇总</t>
        </is>
      </c>
      <c r="EH238" s="2" t="inlineStr">
        <is>
          <t>1次</t>
        </is>
      </c>
      <c r="EI238" s="3" t="n">
        <v>1</v>
      </c>
      <c r="EJ238" s="2" t="inlineStr">
        <is>
          <t>E.8小时以上</t>
        </is>
      </c>
      <c r="EK238" s="7" t="n">
        <v>8</v>
      </c>
      <c r="EL238" s="7" t="n">
        <v>8</v>
      </c>
      <c r="EM238" s="7" t="n">
        <v>8</v>
      </c>
      <c r="EN238" s="7" t="n">
        <v>8</v>
      </c>
      <c r="EO238" s="2" t="inlineStr">
        <is>
          <t>数据报表类</t>
        </is>
      </c>
      <c r="EP238" s="2"/>
      <c r="EQ238" s="2" t="inlineStr">
        <is>
          <t>专项统计</t>
        </is>
      </c>
      <c r="ER238" s="2" t="inlineStr">
        <is>
          <t>岗位职责</t>
        </is>
      </c>
      <c r="ES238" s="2" t="inlineStr">
        <is>
          <t>重要且紧急</t>
        </is>
      </c>
      <c r="ET238" s="2" t="inlineStr">
        <is>
          <t>半标准化-有流程框架，需专业经验</t>
        </is>
      </c>
      <c r="EU238" s="2" t="inlineStr">
        <is>
          <t>极少（&lt;5%）</t>
        </is>
      </c>
      <c r="EV238" s="2" t="inlineStr">
        <is>
          <t>脑力/复杂度负荷</t>
        </is>
      </c>
      <c r="EW238" s="2"/>
      <c r="EX238" s="2" t="inlineStr">
        <is>
          <t>11d58054-13a1-4d2e-a54b-72cd478e2594</t>
        </is>
      </c>
      <c r="EY238" s="3" t="n">
        <v>1</v>
      </c>
      <c r="EZ238" s="2"/>
      <c r="FA238" s="2" t="inlineStr">
        <is>
          <t>资质换证</t>
        </is>
      </c>
      <c r="FB238" s="2" t="inlineStr">
        <is>
          <t>每年1-2次</t>
        </is>
      </c>
      <c r="FC238" s="2" t="inlineStr">
        <is>
          <t>年</t>
        </is>
      </c>
      <c r="FD238" s="3" t="n">
        <v>1</v>
      </c>
      <c r="FE238" s="3" t="n">
        <v>2</v>
      </c>
      <c r="FF238" s="2" t="inlineStr">
        <is>
          <t>D.4-8小时</t>
        </is>
      </c>
      <c r="FG238" s="7" t="n">
        <v>4</v>
      </c>
      <c r="FH238" s="7" t="n">
        <v>8</v>
      </c>
      <c r="FI238" s="7" t="n">
        <v>0</v>
      </c>
      <c r="FJ238" s="7" t="n">
        <v>0</v>
      </c>
      <c r="FK238" s="7" t="n">
        <v>0</v>
      </c>
      <c r="FL238" s="7" t="n">
        <v>0</v>
      </c>
      <c r="FM238" s="7" t="n">
        <v>4</v>
      </c>
      <c r="FN238" s="7" t="n">
        <v>16</v>
      </c>
      <c r="FO238" s="2" t="inlineStr">
        <is>
          <t>监督检查类</t>
        </is>
      </c>
      <c r="FP238" s="2"/>
      <c r="FQ238" s="2" t="inlineStr">
        <is>
          <t>专项检查</t>
        </is>
      </c>
      <c r="FR238" s="2" t="inlineStr">
        <is>
          <t>跨部门协同</t>
        </is>
      </c>
      <c r="FS238" s="2" t="inlineStr">
        <is>
          <t>重要且紧急</t>
        </is>
      </c>
      <c r="FT238" s="2" t="inlineStr">
        <is>
          <t>高度标准化-有成熟SOP，照做即可</t>
        </is>
      </c>
      <c r="FU238" s="2" t="inlineStr">
        <is>
          <t>极少（&lt;5%）</t>
        </is>
      </c>
      <c r="FV238" s="2" t="inlineStr">
        <is>
          <t>沟通/协调负荷</t>
        </is>
      </c>
      <c r="FW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t="inlineStr">
        <is>
          <t>981e57b3-ac8b-41d4-aa9d-0863e8a7597b</t>
        </is>
      </c>
      <c r="BT239" s="3" t="n">
        <v>2</v>
      </c>
      <c r="BU239" s="2" t="inlineStr">
        <is>
          <t>专业技术类</t>
        </is>
      </c>
      <c r="BV239" s="2" t="inlineStr">
        <is>
          <t>固定资产采购计划</t>
        </is>
      </c>
      <c r="BW239" s="2" t="inlineStr">
        <is>
          <t>2-5次</t>
        </is>
      </c>
      <c r="BX239" s="3" t="n">
        <v>2</v>
      </c>
      <c r="BY239" s="3" t="n">
        <v>5</v>
      </c>
      <c r="BZ239" s="2" t="inlineStr">
        <is>
          <t>C.2-4小时</t>
        </is>
      </c>
      <c r="CA239" s="7" t="n">
        <v>2</v>
      </c>
      <c r="CB239" s="7" t="n">
        <v>4</v>
      </c>
      <c r="CC239" s="7" t="n">
        <v>4</v>
      </c>
      <c r="CD239" s="7" t="n">
        <v>20</v>
      </c>
      <c r="CE239" s="2" t="inlineStr">
        <is>
          <t>专业技术类</t>
        </is>
      </c>
      <c r="CF239" s="2"/>
      <c r="CG239" s="2" t="inlineStr">
        <is>
          <t>专业问题协调</t>
        </is>
      </c>
      <c r="CH239" s="2" t="inlineStr">
        <is>
          <t>岗位职责</t>
        </is>
      </c>
      <c r="CI239" s="2" t="inlineStr">
        <is>
          <t>重要且紧急</t>
        </is>
      </c>
      <c r="CJ239" s="2" t="inlineStr">
        <is>
          <t>半标准化-有流程框架，需专业经验</t>
        </is>
      </c>
      <c r="CK239" s="2" t="inlineStr">
        <is>
          <t>极少（&lt;5%）</t>
        </is>
      </c>
      <c r="CL239" s="2" t="inlineStr">
        <is>
          <t>时效/强度负荷</t>
        </is>
      </c>
      <c r="CM239" s="2"/>
      <c r="CN239" s="2"/>
      <c r="CO239" s="2"/>
      <c r="CP239" s="2"/>
      <c r="CQ239" s="2"/>
      <c r="CR239" s="2"/>
      <c r="CS239" s="2"/>
      <c r="CT239" s="2"/>
      <c r="CU239" s="2"/>
      <c r="CV239" s="2"/>
      <c r="CW239" s="2"/>
      <c r="CX239" s="2"/>
      <c r="CY239" s="2"/>
      <c r="CZ239" s="2"/>
      <c r="DA239" s="2"/>
      <c r="DB239" s="2"/>
      <c r="DC239" s="2"/>
      <c r="DD239" s="2"/>
      <c r="DE239" s="2"/>
      <c r="DF239" s="2"/>
      <c r="DG239" s="2"/>
      <c r="DH239" s="2"/>
      <c r="DI239" s="2" t="inlineStr">
        <is>
          <t>6d8dd6ea-4653-4f02-b11b-968f5aa7f645</t>
        </is>
      </c>
      <c r="DJ239" s="3" t="n">
        <v>2</v>
      </c>
      <c r="DK239" s="2"/>
      <c r="DL239" s="2" t="inlineStr">
        <is>
          <t>设备、计量分公司月度报表</t>
        </is>
      </c>
      <c r="DM239" s="2" t="inlineStr">
        <is>
          <t>1次</t>
        </is>
      </c>
      <c r="DN239" s="3" t="n">
        <v>1</v>
      </c>
      <c r="DO239" s="3" t="n">
        <v>1</v>
      </c>
      <c r="DP239" s="2" t="inlineStr">
        <is>
          <t>D.4-8小时</t>
        </is>
      </c>
      <c r="DQ239" s="7" t="n">
        <v>4</v>
      </c>
      <c r="DR239" s="7" t="n">
        <v>8</v>
      </c>
      <c r="DS239" s="7" t="n">
        <v>4</v>
      </c>
      <c r="DT239" s="7" t="n">
        <v>8</v>
      </c>
      <c r="DU239" s="2" t="inlineStr">
        <is>
          <t>数据报表类</t>
        </is>
      </c>
      <c r="DV239" s="2"/>
      <c r="DW239" s="2" t="inlineStr">
        <is>
          <t>监管报送</t>
        </is>
      </c>
      <c r="DX239" s="2" t="inlineStr">
        <is>
          <t>跨部门协同</t>
        </is>
      </c>
      <c r="DY239" s="2" t="inlineStr">
        <is>
          <t>重要且紧急</t>
        </is>
      </c>
      <c r="DZ239" s="2" t="inlineStr">
        <is>
          <t>半标准化-有流程框架，需专业经验</t>
        </is>
      </c>
      <c r="EA239" s="2" t="inlineStr">
        <is>
          <t>极少（&lt;5%）</t>
        </is>
      </c>
      <c r="EB239" s="2" t="inlineStr">
        <is>
          <t>沟通/协调负荷</t>
        </is>
      </c>
      <c r="EC239" s="2"/>
      <c r="ED239" s="2" t="inlineStr">
        <is>
          <t>502f4dc0-d4f0-49ec-a80f-e7fd3cc41a79</t>
        </is>
      </c>
      <c r="EE239" s="3" t="n">
        <v>2</v>
      </c>
      <c r="EF239" s="2"/>
      <c r="EG239" s="2" t="inlineStr">
        <is>
          <t>分公司报表汇总</t>
        </is>
      </c>
      <c r="EH239" s="2" t="inlineStr">
        <is>
          <t>1次</t>
        </is>
      </c>
      <c r="EI239" s="3" t="n">
        <v>1</v>
      </c>
      <c r="EJ239" s="2" t="inlineStr">
        <is>
          <t>D.4-8小时</t>
        </is>
      </c>
      <c r="EK239" s="7" t="n">
        <v>4</v>
      </c>
      <c r="EL239" s="7" t="n">
        <v>8</v>
      </c>
      <c r="EM239" s="7" t="n">
        <v>4</v>
      </c>
      <c r="EN239" s="7" t="n">
        <v>8</v>
      </c>
      <c r="EO239" s="2" t="inlineStr">
        <is>
          <t>数据报表类</t>
        </is>
      </c>
      <c r="EP239" s="2"/>
      <c r="EQ239" s="2" t="inlineStr">
        <is>
          <t>专项统计</t>
        </is>
      </c>
      <c r="ER239" s="2" t="inlineStr">
        <is>
          <t>跨部门协同</t>
        </is>
      </c>
      <c r="ES239" s="2" t="inlineStr">
        <is>
          <t>重要且紧急</t>
        </is>
      </c>
      <c r="ET239" s="2" t="inlineStr">
        <is>
          <t>半标准化-有流程框架，需专业经验</t>
        </is>
      </c>
      <c r="EU239" s="2" t="inlineStr">
        <is>
          <t>极少（&lt;5%）</t>
        </is>
      </c>
      <c r="EV239" s="2" t="inlineStr">
        <is>
          <t>沟通/协调负荷</t>
        </is>
      </c>
      <c r="EW239" s="2"/>
      <c r="EX239" s="2" t="inlineStr">
        <is>
          <t>b93ec300-a9ed-4cc3-a14d-424248e1a688</t>
        </is>
      </c>
      <c r="EY239" s="3" t="n">
        <v>2</v>
      </c>
      <c r="EZ239" s="2"/>
      <c r="FA239" s="2" t="inlineStr">
        <is>
          <t>内审</t>
        </is>
      </c>
      <c r="FB239" s="2" t="inlineStr">
        <is>
          <t>每年1-2次</t>
        </is>
      </c>
      <c r="FC239" s="2" t="inlineStr">
        <is>
          <t>年</t>
        </is>
      </c>
      <c r="FD239" s="3" t="n">
        <v>1</v>
      </c>
      <c r="FE239" s="3" t="n">
        <v>2</v>
      </c>
      <c r="FF239" s="2" t="inlineStr">
        <is>
          <t>C.2-4小时</t>
        </is>
      </c>
      <c r="FG239" s="7" t="n">
        <v>2</v>
      </c>
      <c r="FH239" s="7" t="n">
        <v>4</v>
      </c>
      <c r="FI239" s="7" t="n">
        <v>0</v>
      </c>
      <c r="FJ239" s="7" t="n">
        <v>0</v>
      </c>
      <c r="FK239" s="7" t="n">
        <v>0</v>
      </c>
      <c r="FL239" s="7" t="n">
        <v>0</v>
      </c>
      <c r="FM239" s="7" t="n">
        <v>2</v>
      </c>
      <c r="FN239" s="7" t="n">
        <v>8</v>
      </c>
      <c r="FO239" s="2" t="inlineStr">
        <is>
          <t>综合管理类</t>
        </is>
      </c>
      <c r="FP239" s="2"/>
      <c r="FQ239" s="2" t="inlineStr">
        <is>
          <t>专题工作推进</t>
        </is>
      </c>
      <c r="FR239" s="2" t="inlineStr">
        <is>
          <t>跨部门协同</t>
        </is>
      </c>
      <c r="FS239" s="2" t="inlineStr">
        <is>
          <t>重要不紧急</t>
        </is>
      </c>
      <c r="FT239" s="2" t="inlineStr">
        <is>
          <t>高度标准化-有成熟SOP，照做即可</t>
        </is>
      </c>
      <c r="FU239" s="2" t="inlineStr">
        <is>
          <t>极少（&lt;5%）</t>
        </is>
      </c>
      <c r="FV239" s="2" t="inlineStr">
        <is>
          <t>沟通/协调负荷</t>
        </is>
      </c>
      <c r="FW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t="inlineStr">
        <is>
          <t>aee4f00e-f054-48ce-b0a0-fc810ef10d8e</t>
        </is>
      </c>
      <c r="BT240" s="3" t="n">
        <v>3</v>
      </c>
      <c r="BU240" s="2" t="inlineStr">
        <is>
          <t>专业技术类</t>
        </is>
      </c>
      <c r="BV240" s="2" t="inlineStr">
        <is>
          <t>固定资产招标立项</t>
        </is>
      </c>
      <c r="BW240" s="2" t="inlineStr">
        <is>
          <t>2-5次</t>
        </is>
      </c>
      <c r="BX240" s="3" t="n">
        <v>2</v>
      </c>
      <c r="BY240" s="3" t="n">
        <v>5</v>
      </c>
      <c r="BZ240" s="2" t="inlineStr">
        <is>
          <t>C.2-4小时</t>
        </is>
      </c>
      <c r="CA240" s="7" t="n">
        <v>2</v>
      </c>
      <c r="CB240" s="7" t="n">
        <v>4</v>
      </c>
      <c r="CC240" s="7" t="n">
        <v>4</v>
      </c>
      <c r="CD240" s="7" t="n">
        <v>20</v>
      </c>
      <c r="CE240" s="2" t="inlineStr">
        <is>
          <t>专业技术类</t>
        </is>
      </c>
      <c r="CF240" s="2"/>
      <c r="CG240" s="2" t="inlineStr">
        <is>
          <t>专业问题协调</t>
        </is>
      </c>
      <c r="CH240" s="2" t="inlineStr">
        <is>
          <t>岗位职责</t>
        </is>
      </c>
      <c r="CI240" s="2" t="inlineStr">
        <is>
          <t>重要且紧急</t>
        </is>
      </c>
      <c r="CJ240" s="2" t="inlineStr">
        <is>
          <t>半标准化-有流程框架，需专业经验</t>
        </is>
      </c>
      <c r="CK240" s="2" t="inlineStr">
        <is>
          <t>极少（&lt;5%）</t>
        </is>
      </c>
      <c r="CL240" s="2" t="inlineStr">
        <is>
          <t>时效/强度负荷</t>
        </is>
      </c>
      <c r="CM240" s="2"/>
      <c r="CN240" s="2"/>
      <c r="CO240" s="2"/>
      <c r="CP240" s="2"/>
      <c r="CQ240" s="2"/>
      <c r="CR240" s="2"/>
      <c r="CS240" s="2"/>
      <c r="CT240" s="2"/>
      <c r="CU240" s="2"/>
      <c r="CV240" s="2"/>
      <c r="CW240" s="2"/>
      <c r="CX240" s="2"/>
      <c r="CY240" s="2"/>
      <c r="CZ240" s="2"/>
      <c r="DA240" s="2"/>
      <c r="DB240" s="2"/>
      <c r="DC240" s="2"/>
      <c r="DD240" s="2"/>
      <c r="DE240" s="2"/>
      <c r="DF240" s="2"/>
      <c r="DG240" s="2"/>
      <c r="DH240" s="2"/>
      <c r="DI240" s="2" t="inlineStr">
        <is>
          <t>c423680d-f92e-4ce7-b68d-41bceda2949a</t>
        </is>
      </c>
      <c r="DJ240" s="3" t="n">
        <v>3</v>
      </c>
      <c r="DK240" s="2"/>
      <c r="DL240" s="2" t="inlineStr">
        <is>
          <t>计量器具统计</t>
        </is>
      </c>
      <c r="DM240" s="2" t="inlineStr">
        <is>
          <t>1次</t>
        </is>
      </c>
      <c r="DN240" s="3" t="n">
        <v>1</v>
      </c>
      <c r="DO240" s="3" t="n">
        <v>1</v>
      </c>
      <c r="DP240" s="2" t="inlineStr">
        <is>
          <t>D.4-8小时</t>
        </is>
      </c>
      <c r="DQ240" s="7" t="n">
        <v>4</v>
      </c>
      <c r="DR240" s="7" t="n">
        <v>8</v>
      </c>
      <c r="DS240" s="7" t="n">
        <v>4</v>
      </c>
      <c r="DT240" s="7" t="n">
        <v>8</v>
      </c>
      <c r="DU240" s="2" t="inlineStr">
        <is>
          <t>数据报表类</t>
        </is>
      </c>
      <c r="DV240" s="2"/>
      <c r="DW240" s="2" t="inlineStr">
        <is>
          <t>月报</t>
        </is>
      </c>
      <c r="DX240" s="2" t="inlineStr">
        <is>
          <t>跨部门协同</t>
        </is>
      </c>
      <c r="DY240" s="2" t="inlineStr">
        <is>
          <t>重要且紧急</t>
        </is>
      </c>
      <c r="DZ240" s="2" t="inlineStr">
        <is>
          <t>半标准化-有流程框架，需专业经验</t>
        </is>
      </c>
      <c r="EA240" s="2" t="inlineStr">
        <is>
          <t>极少（&lt;5%）</t>
        </is>
      </c>
      <c r="EB240" s="2" t="inlineStr">
        <is>
          <t>沟通/协调负荷</t>
        </is>
      </c>
      <c r="EC240" s="2"/>
      <c r="ED240" s="2" t="inlineStr">
        <is>
          <t>49717abf-4280-4c6c-a493-19b8ee23c8db</t>
        </is>
      </c>
      <c r="EE240" s="3" t="n">
        <v>3</v>
      </c>
      <c r="EF240" s="2"/>
      <c r="EG240" s="2" t="inlineStr">
        <is>
          <t>计量器具汇总</t>
        </is>
      </c>
      <c r="EH240" s="2" t="inlineStr">
        <is>
          <t>1次</t>
        </is>
      </c>
      <c r="EI240" s="3" t="n">
        <v>1</v>
      </c>
      <c r="EJ240" s="2" t="inlineStr">
        <is>
          <t>D.4-8小时</t>
        </is>
      </c>
      <c r="EK240" s="7" t="n">
        <v>4</v>
      </c>
      <c r="EL240" s="7" t="n">
        <v>8</v>
      </c>
      <c r="EM240" s="7" t="n">
        <v>4</v>
      </c>
      <c r="EN240" s="7" t="n">
        <v>8</v>
      </c>
      <c r="EO240" s="2" t="inlineStr">
        <is>
          <t>数据报表类</t>
        </is>
      </c>
      <c r="EP240" s="2"/>
      <c r="EQ240" s="2" t="inlineStr">
        <is>
          <t>专项统计</t>
        </is>
      </c>
      <c r="ER240" s="2" t="inlineStr">
        <is>
          <t>跨部门协同</t>
        </is>
      </c>
      <c r="ES240" s="2" t="inlineStr">
        <is>
          <t>重要且紧急</t>
        </is>
      </c>
      <c r="ET240" s="2" t="inlineStr">
        <is>
          <t>半标准化-有流程框架，需专业经验</t>
        </is>
      </c>
      <c r="EU240" s="2" t="inlineStr">
        <is>
          <t>极少（&lt;5%）</t>
        </is>
      </c>
      <c r="EV240" s="2" t="inlineStr">
        <is>
          <t>沟通/协调负荷</t>
        </is>
      </c>
      <c r="EW240" s="2"/>
      <c r="EX240" s="2" t="inlineStr">
        <is>
          <t>125ca98a-0b2d-4563-8782-d22ffd9643ea</t>
        </is>
      </c>
      <c r="EY240" s="3" t="n">
        <v>3</v>
      </c>
      <c r="EZ240" s="2"/>
      <c r="FA240" s="2" t="inlineStr">
        <is>
          <t>外审检查</t>
        </is>
      </c>
      <c r="FB240" s="2" t="inlineStr">
        <is>
          <t>每年3次以上</t>
        </is>
      </c>
      <c r="FC240" s="2" t="inlineStr">
        <is>
          <t>年</t>
        </is>
      </c>
      <c r="FD240" s="3" t="n">
        <v>3</v>
      </c>
      <c r="FE240" s="3" t="n">
        <v>3</v>
      </c>
      <c r="FF240" s="2" t="inlineStr">
        <is>
          <t>D.4-8小时</t>
        </is>
      </c>
      <c r="FG240" s="7" t="n">
        <v>4</v>
      </c>
      <c r="FH240" s="7" t="n">
        <v>8</v>
      </c>
      <c r="FI240" s="7" t="n">
        <v>0</v>
      </c>
      <c r="FJ240" s="7" t="n">
        <v>0</v>
      </c>
      <c r="FK240" s="7" t="n">
        <v>0</v>
      </c>
      <c r="FL240" s="7" t="n">
        <v>0</v>
      </c>
      <c r="FM240" s="7" t="n">
        <v>12</v>
      </c>
      <c r="FN240" s="7" t="n">
        <v>24</v>
      </c>
      <c r="FO240" s="2" t="inlineStr">
        <is>
          <t>监督检查类</t>
        </is>
      </c>
      <c r="FP240" s="2"/>
      <c r="FQ240" s="2" t="inlineStr">
        <is>
          <t>专项检查</t>
        </is>
      </c>
      <c r="FR240" s="2" t="inlineStr">
        <is>
          <t>跨部门协同</t>
        </is>
      </c>
      <c r="FS240" s="2" t="inlineStr">
        <is>
          <t>重要且紧急</t>
        </is>
      </c>
      <c r="FT240" s="2" t="inlineStr">
        <is>
          <t>高度标准化-有成熟SOP，照做即可</t>
        </is>
      </c>
      <c r="FU240" s="2" t="inlineStr">
        <is>
          <t>极少（&lt;5%）</t>
        </is>
      </c>
      <c r="FV240" s="2" t="inlineStr">
        <is>
          <t>沟通/协调负荷</t>
        </is>
      </c>
      <c r="FW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t="inlineStr">
        <is>
          <t>c96e96f3-b1f1-410f-b997-415faab52b2a</t>
        </is>
      </c>
      <c r="BT241" s="3" t="n">
        <v>4</v>
      </c>
      <c r="BU241" s="2" t="inlineStr">
        <is>
          <t>专业技术类</t>
        </is>
      </c>
      <c r="BV241" s="2" t="inlineStr">
        <is>
          <t>固定资产采购招标审核审批表</t>
        </is>
      </c>
      <c r="BW241" s="2" t="inlineStr">
        <is>
          <t>2-5次</t>
        </is>
      </c>
      <c r="BX241" s="3" t="n">
        <v>2</v>
      </c>
      <c r="BY241" s="3" t="n">
        <v>5</v>
      </c>
      <c r="BZ241" s="2" t="inlineStr">
        <is>
          <t>C.2-4小时</t>
        </is>
      </c>
      <c r="CA241" s="7" t="n">
        <v>2</v>
      </c>
      <c r="CB241" s="7" t="n">
        <v>4</v>
      </c>
      <c r="CC241" s="7" t="n">
        <v>4</v>
      </c>
      <c r="CD241" s="7" t="n">
        <v>20</v>
      </c>
      <c r="CE241" s="2" t="inlineStr">
        <is>
          <t>专业技术类</t>
        </is>
      </c>
      <c r="CF241" s="2"/>
      <c r="CG241" s="2" t="inlineStr">
        <is>
          <t>专业问题协调</t>
        </is>
      </c>
      <c r="CH241" s="2" t="inlineStr">
        <is>
          <t>岗位职责</t>
        </is>
      </c>
      <c r="CI241" s="2" t="inlineStr">
        <is>
          <t>重要且紧急</t>
        </is>
      </c>
      <c r="CJ241" s="2" t="inlineStr">
        <is>
          <t>半标准化-有流程框架，需专业经验</t>
        </is>
      </c>
      <c r="CK241" s="2" t="inlineStr">
        <is>
          <t>极少（&lt;5%）</t>
        </is>
      </c>
      <c r="CL241" s="2" t="inlineStr">
        <is>
          <t>时效/强度负荷</t>
        </is>
      </c>
      <c r="CM241" s="2"/>
      <c r="CN241" s="2"/>
      <c r="CO241" s="2"/>
      <c r="CP241" s="2"/>
      <c r="CQ241" s="2"/>
      <c r="CR241" s="2"/>
      <c r="CS241" s="2"/>
      <c r="CT241" s="2"/>
      <c r="CU241" s="2"/>
      <c r="CV241" s="2"/>
      <c r="CW241" s="2"/>
      <c r="CX241" s="2"/>
      <c r="CY241" s="2"/>
      <c r="CZ241" s="2"/>
      <c r="DA241" s="2"/>
      <c r="DB241" s="2"/>
      <c r="DC241" s="2"/>
      <c r="DD241" s="2"/>
      <c r="DE241" s="2"/>
      <c r="DF241" s="2"/>
      <c r="DG241" s="2"/>
      <c r="DH241" s="2"/>
      <c r="DI241" s="2" t="inlineStr">
        <is>
          <t>3d1dabe8-6087-4c57-bc04-589819ae1be4</t>
        </is>
      </c>
      <c r="DJ241" s="3" t="n">
        <v>4</v>
      </c>
      <c r="DK241" s="2"/>
      <c r="DL241" s="2" t="inlineStr">
        <is>
          <t>固定资产报废数据汇总</t>
        </is>
      </c>
      <c r="DM241" s="2" t="inlineStr">
        <is>
          <t>1次</t>
        </is>
      </c>
      <c r="DN241" s="3" t="n">
        <v>1</v>
      </c>
      <c r="DO241" s="3" t="n">
        <v>1</v>
      </c>
      <c r="DP241" s="2" t="inlineStr">
        <is>
          <t>C.2-4小时</t>
        </is>
      </c>
      <c r="DQ241" s="7" t="n">
        <v>2</v>
      </c>
      <c r="DR241" s="7" t="n">
        <v>4</v>
      </c>
      <c r="DS241" s="7" t="n">
        <v>2</v>
      </c>
      <c r="DT241" s="7" t="n">
        <v>4</v>
      </c>
      <c r="DU241" s="2" t="inlineStr">
        <is>
          <t>数据报表类</t>
        </is>
      </c>
      <c r="DV241" s="2"/>
      <c r="DW241" s="2" t="inlineStr">
        <is>
          <t>月报</t>
        </is>
      </c>
      <c r="DX241" s="2" t="inlineStr">
        <is>
          <t>岗位职责</t>
        </is>
      </c>
      <c r="DY241" s="2" t="inlineStr">
        <is>
          <t>重要且紧急</t>
        </is>
      </c>
      <c r="DZ241" s="2" t="inlineStr">
        <is>
          <t>半标准化-有流程框架，需专业经验</t>
        </is>
      </c>
      <c r="EA241" s="2" t="inlineStr">
        <is>
          <t>极少（&lt;5%）</t>
        </is>
      </c>
      <c r="EB241" s="2" t="inlineStr">
        <is>
          <t>时效/强度负荷</t>
        </is>
      </c>
      <c r="EC241" s="2"/>
      <c r="ED241" s="2" t="inlineStr">
        <is>
          <t>1c9e4a83-8a8e-44cc-ab05-d66baf283fdd</t>
        </is>
      </c>
      <c r="EE241" s="3" t="n">
        <v>4</v>
      </c>
      <c r="EF241" s="2"/>
      <c r="EG241" s="2" t="inlineStr">
        <is>
          <t>年度固定资产盘点清查汇总</t>
        </is>
      </c>
      <c r="EH241" s="2" t="inlineStr">
        <is>
          <t>1次</t>
        </is>
      </c>
      <c r="EI241" s="3" t="n">
        <v>1</v>
      </c>
      <c r="EJ241" s="2" t="inlineStr">
        <is>
          <t>E.8小时以上</t>
        </is>
      </c>
      <c r="EK241" s="7" t="n">
        <v>8</v>
      </c>
      <c r="EL241" s="7" t="n">
        <v>8</v>
      </c>
      <c r="EM241" s="7" t="n">
        <v>8</v>
      </c>
      <c r="EN241" s="7" t="n">
        <v>8</v>
      </c>
      <c r="EO241" s="2" t="inlineStr">
        <is>
          <t>专业技术类</t>
        </is>
      </c>
      <c r="EP241" s="2"/>
      <c r="EQ241" s="2" t="inlineStr">
        <is>
          <t>专业问题协调</t>
        </is>
      </c>
      <c r="ER241" s="2" t="inlineStr">
        <is>
          <t>跨部门协同</t>
        </is>
      </c>
      <c r="ES241" s="2" t="inlineStr">
        <is>
          <t>重要且紧急</t>
        </is>
      </c>
      <c r="ET241" s="2" t="inlineStr">
        <is>
          <t>半标准化-有流程框架，需专业经验</t>
        </is>
      </c>
      <c r="EU241" s="2" t="inlineStr">
        <is>
          <t>极少（&lt;5%）</t>
        </is>
      </c>
      <c r="EV241" s="2" t="inlineStr">
        <is>
          <t>时效/强度负荷</t>
        </is>
      </c>
      <c r="EW241" s="2"/>
      <c r="EX241" s="2" t="inlineStr">
        <is>
          <t>612e7faa-47c9-4a76-88a4-b572d9dc0bb8</t>
        </is>
      </c>
      <c r="EY241" s="3" t="n">
        <v>4</v>
      </c>
      <c r="EZ241" s="2"/>
      <c r="FA241" s="2" t="inlineStr">
        <is>
          <t>部门事项</t>
        </is>
      </c>
      <c r="FB241" s="2" t="inlineStr">
        <is>
          <t>每月3次以上</t>
        </is>
      </c>
      <c r="FC241" s="2" t="inlineStr">
        <is>
          <t>月</t>
        </is>
      </c>
      <c r="FD241" s="3" t="n">
        <v>3</v>
      </c>
      <c r="FE241" s="3" t="n">
        <v>3</v>
      </c>
      <c r="FF241" s="2" t="inlineStr">
        <is>
          <t>B.2小时以内</t>
        </is>
      </c>
      <c r="FG241" s="7" t="n">
        <v>2</v>
      </c>
      <c r="FH241" s="7" t="n">
        <v>2</v>
      </c>
      <c r="FI241" s="7" t="n">
        <v>6</v>
      </c>
      <c r="FJ241" s="7" t="n">
        <v>6</v>
      </c>
      <c r="FK241" s="7" t="n">
        <v>0</v>
      </c>
      <c r="FL241" s="7" t="n">
        <v>0</v>
      </c>
      <c r="FM241" s="7" t="n">
        <v>0</v>
      </c>
      <c r="FN241" s="7" t="n">
        <v>0</v>
      </c>
      <c r="FO241" s="2" t="inlineStr">
        <is>
          <t>综合管理类</t>
        </is>
      </c>
      <c r="FP241" s="2"/>
      <c r="FQ241" s="2" t="inlineStr">
        <is>
          <t>重点任务督办</t>
        </is>
      </c>
      <c r="FR241" s="2" t="inlineStr">
        <is>
          <t>上级指令</t>
        </is>
      </c>
      <c r="FS241" s="2" t="inlineStr">
        <is>
          <t>重要且紧急</t>
        </is>
      </c>
      <c r="FT241" s="2" t="inlineStr">
        <is>
          <t>非标准化-无先例参考，需创新协调</t>
        </is>
      </c>
      <c r="FU241" s="2" t="inlineStr">
        <is>
          <t>极少（&lt;5%）</t>
        </is>
      </c>
      <c r="FV241" s="2" t="inlineStr">
        <is>
          <t>沟通/协调负荷</t>
        </is>
      </c>
      <c r="FW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t="inlineStr">
        <is>
          <t>1eef1168-24ab-4cf3-89f1-33dc5ed9abaf</t>
        </is>
      </c>
      <c r="BT242" s="3" t="n">
        <v>5</v>
      </c>
      <c r="BU242" s="2" t="inlineStr">
        <is>
          <t>流程审批类</t>
        </is>
      </c>
      <c r="BV242" s="2" t="inlineStr">
        <is>
          <t>固定资产采购合同评审</t>
        </is>
      </c>
      <c r="BW242" s="2" t="inlineStr">
        <is>
          <t>2-5次</t>
        </is>
      </c>
      <c r="BX242" s="3" t="n">
        <v>2</v>
      </c>
      <c r="BY242" s="3" t="n">
        <v>5</v>
      </c>
      <c r="BZ242" s="2" t="inlineStr">
        <is>
          <t>C.2-4小时</t>
        </is>
      </c>
      <c r="CA242" s="7" t="n">
        <v>2</v>
      </c>
      <c r="CB242" s="7" t="n">
        <v>4</v>
      </c>
      <c r="CC242" s="7" t="n">
        <v>4</v>
      </c>
      <c r="CD242" s="7" t="n">
        <v>20</v>
      </c>
      <c r="CE242" s="2" t="inlineStr">
        <is>
          <t>流程审批类</t>
        </is>
      </c>
      <c r="CF242" s="2"/>
      <c r="CG242" s="2" t="inlineStr">
        <is>
          <t>采购流程</t>
        </is>
      </c>
      <c r="CH242" s="2" t="inlineStr">
        <is>
          <t>跨部门协同</t>
        </is>
      </c>
      <c r="CI242" s="2" t="inlineStr">
        <is>
          <t>重要且紧急</t>
        </is>
      </c>
      <c r="CJ242" s="2" t="inlineStr">
        <is>
          <t>高度标准化-有成熟SOP，照做即可</t>
        </is>
      </c>
      <c r="CK242" s="2" t="inlineStr">
        <is>
          <t>极少（&lt;5%）</t>
        </is>
      </c>
      <c r="CL242" s="2" t="inlineStr">
        <is>
          <t>沟通/协调负荷</t>
        </is>
      </c>
      <c r="CM242" s="2"/>
      <c r="CN242" s="2"/>
      <c r="CO242" s="2"/>
      <c r="CP242" s="2"/>
      <c r="CQ242" s="2"/>
      <c r="CR242" s="2"/>
      <c r="CS242" s="2"/>
      <c r="CT242" s="2"/>
      <c r="CU242" s="2"/>
      <c r="CV242" s="2"/>
      <c r="CW242" s="2"/>
      <c r="CX242" s="2"/>
      <c r="CY242" s="2"/>
      <c r="CZ242" s="2"/>
      <c r="DA242" s="2"/>
      <c r="DB242" s="2"/>
      <c r="DC242" s="2"/>
      <c r="DD242" s="2"/>
      <c r="DE242" s="2"/>
      <c r="DF242" s="2"/>
      <c r="DG242" s="2"/>
      <c r="DH242" s="2"/>
      <c r="DI242" s="2" t="inlineStr">
        <is>
          <t>672325d5-240f-4df5-9030-9d05377e8b41</t>
        </is>
      </c>
      <c r="DJ242" s="3" t="n">
        <v>5</v>
      </c>
      <c r="DK242" s="2"/>
      <c r="DL242" s="2" t="inlineStr">
        <is>
          <t>固定资产报废申请</t>
        </is>
      </c>
      <c r="DM242" s="2" t="inlineStr">
        <is>
          <t>2-3次</t>
        </is>
      </c>
      <c r="DN242" s="3" t="n">
        <v>2</v>
      </c>
      <c r="DO242" s="3" t="n">
        <v>3</v>
      </c>
      <c r="DP242" s="2" t="inlineStr">
        <is>
          <t>B.2小时以内</t>
        </is>
      </c>
      <c r="DQ242" s="7" t="n">
        <v>2</v>
      </c>
      <c r="DR242" s="7" t="n">
        <v>2</v>
      </c>
      <c r="DS242" s="7" t="n">
        <v>4</v>
      </c>
      <c r="DT242" s="7" t="n">
        <v>6</v>
      </c>
      <c r="DU242" s="2" t="inlineStr">
        <is>
          <t>其他</t>
        </is>
      </c>
      <c r="DV242" s="2" t="inlineStr">
        <is>
          <t>起草、请示</t>
        </is>
      </c>
      <c r="DW242" s="2"/>
      <c r="DX242" s="2" t="inlineStr">
        <is>
          <t>岗位职责</t>
        </is>
      </c>
      <c r="DY242" s="2" t="inlineStr">
        <is>
          <t>重要且紧急</t>
        </is>
      </c>
      <c r="DZ242" s="2" t="inlineStr">
        <is>
          <t>半标准化-有流程框架，需专业经验</t>
        </is>
      </c>
      <c r="EA242" s="2" t="inlineStr">
        <is>
          <t>极少（&lt;5%）</t>
        </is>
      </c>
      <c r="EB242" s="2" t="inlineStr">
        <is>
          <t>沟通/协调负荷</t>
        </is>
      </c>
      <c r="EC242" s="2"/>
      <c r="ED242" s="2" t="inlineStr">
        <is>
          <t>ecbdea3c-673d-4622-a79a-2ef53b4aa8b8</t>
        </is>
      </c>
      <c r="EE242" s="3" t="n">
        <v>5</v>
      </c>
      <c r="EF242" s="2"/>
      <c r="EG242" s="2" t="inlineStr">
        <is>
          <t>计量器具审核及付款</t>
        </is>
      </c>
      <c r="EH242" s="2" t="inlineStr">
        <is>
          <t>2次</t>
        </is>
      </c>
      <c r="EI242" s="3" t="n">
        <v>2</v>
      </c>
      <c r="EJ242" s="2" t="inlineStr">
        <is>
          <t>C.2-4小时</t>
        </is>
      </c>
      <c r="EK242" s="7" t="n">
        <v>2</v>
      </c>
      <c r="EL242" s="7" t="n">
        <v>4</v>
      </c>
      <c r="EM242" s="7" t="n">
        <v>4</v>
      </c>
      <c r="EN242" s="7" t="n">
        <v>8</v>
      </c>
      <c r="EO242" s="2" t="inlineStr">
        <is>
          <t>流程审批类</t>
        </is>
      </c>
      <c r="EP242" s="2"/>
      <c r="EQ242" s="2" t="inlineStr">
        <is>
          <t>付款审批</t>
        </is>
      </c>
      <c r="ER242" s="2" t="inlineStr">
        <is>
          <t>跨部门协同</t>
        </is>
      </c>
      <c r="ES242" s="2" t="inlineStr">
        <is>
          <t>重要不紧急</t>
        </is>
      </c>
      <c r="ET242" s="2" t="inlineStr">
        <is>
          <t>高度标准化-有成熟SOP，照做即可</t>
        </is>
      </c>
      <c r="EU242" s="2" t="inlineStr">
        <is>
          <t>极少（&lt;5%）</t>
        </is>
      </c>
      <c r="EV242" s="2" t="inlineStr">
        <is>
          <t>沟通/协调负荷</t>
        </is>
      </c>
      <c r="EW242" s="2"/>
      <c r="EX242" s="2" t="inlineStr">
        <is>
          <t>e0686603-a94a-4c0b-b745-18633514b3dc</t>
        </is>
      </c>
      <c r="EY242" s="3" t="n">
        <v>5</v>
      </c>
      <c r="EZ242" s="2"/>
      <c r="FA242" s="2" t="inlineStr">
        <is>
          <t>其它</t>
        </is>
      </c>
      <c r="FB242" s="2" t="inlineStr">
        <is>
          <t>每月3次以上</t>
        </is>
      </c>
      <c r="FC242" s="2" t="inlineStr">
        <is>
          <t>月</t>
        </is>
      </c>
      <c r="FD242" s="3" t="n">
        <v>3</v>
      </c>
      <c r="FE242" s="3" t="n">
        <v>3</v>
      </c>
      <c r="FF242" s="2" t="inlineStr">
        <is>
          <t>B.2小时以内</t>
        </is>
      </c>
      <c r="FG242" s="7" t="n">
        <v>2</v>
      </c>
      <c r="FH242" s="7" t="n">
        <v>2</v>
      </c>
      <c r="FI242" s="7" t="n">
        <v>6</v>
      </c>
      <c r="FJ242" s="7" t="n">
        <v>6</v>
      </c>
      <c r="FK242" s="7" t="n">
        <v>0</v>
      </c>
      <c r="FL242" s="7" t="n">
        <v>0</v>
      </c>
      <c r="FM242" s="7" t="n">
        <v>0</v>
      </c>
      <c r="FN242" s="7" t="n">
        <v>0</v>
      </c>
      <c r="FO242" s="2" t="inlineStr">
        <is>
          <t>行政事务类</t>
        </is>
      </c>
      <c r="FP242" s="2"/>
      <c r="FQ242" s="2" t="inlineStr">
        <is>
          <t>用章流转</t>
        </is>
      </c>
      <c r="FR242" s="2" t="inlineStr">
        <is>
          <t>跨部门协同</t>
        </is>
      </c>
      <c r="FS242" s="2" t="inlineStr">
        <is>
          <t>重要且紧急</t>
        </is>
      </c>
      <c r="FT242" s="2" t="inlineStr">
        <is>
          <t>非标准化-无先例参考，需创新协调</t>
        </is>
      </c>
      <c r="FU242" s="2" t="inlineStr">
        <is>
          <t>极少（&lt;5%）</t>
        </is>
      </c>
      <c r="FV242" s="2" t="inlineStr">
        <is>
          <t>沟通/协调负荷</t>
        </is>
      </c>
      <c r="FW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t="inlineStr">
        <is>
          <t>5cd47eab-1355-461e-856f-eedf83fd744c</t>
        </is>
      </c>
      <c r="BT243" s="3" t="n">
        <v>6</v>
      </c>
      <c r="BU243" s="2" t="inlineStr">
        <is>
          <t>流程审批类</t>
        </is>
      </c>
      <c r="BV243" s="2" t="inlineStr">
        <is>
          <t>固定资产采购合同台账</t>
        </is>
      </c>
      <c r="BW243" s="2" t="inlineStr">
        <is>
          <t>2-5次</t>
        </is>
      </c>
      <c r="BX243" s="3" t="n">
        <v>2</v>
      </c>
      <c r="BY243" s="3" t="n">
        <v>5</v>
      </c>
      <c r="BZ243" s="2" t="inlineStr">
        <is>
          <t>C.2-4小时</t>
        </is>
      </c>
      <c r="CA243" s="7" t="n">
        <v>2</v>
      </c>
      <c r="CB243" s="7" t="n">
        <v>4</v>
      </c>
      <c r="CC243" s="7" t="n">
        <v>4</v>
      </c>
      <c r="CD243" s="7" t="n">
        <v>20</v>
      </c>
      <c r="CE243" s="2" t="inlineStr">
        <is>
          <t>流程审批类</t>
        </is>
      </c>
      <c r="CF243" s="2"/>
      <c r="CG243" s="2" t="inlineStr">
        <is>
          <t>合同流程</t>
        </is>
      </c>
      <c r="CH243" s="2" t="inlineStr">
        <is>
          <t>岗位职责</t>
        </is>
      </c>
      <c r="CI243" s="2" t="inlineStr">
        <is>
          <t>重要且紧急</t>
        </is>
      </c>
      <c r="CJ243" s="2" t="inlineStr">
        <is>
          <t>高度标准化-有成熟SOP，照做即可</t>
        </is>
      </c>
      <c r="CK243" s="2" t="inlineStr">
        <is>
          <t>极少（&lt;5%）</t>
        </is>
      </c>
      <c r="CL243" s="2" t="inlineStr">
        <is>
          <t>沟通/协调负荷</t>
        </is>
      </c>
      <c r="CM243" s="2"/>
      <c r="CN243" s="2"/>
      <c r="CO243" s="2"/>
      <c r="CP243" s="2"/>
      <c r="CQ243" s="2"/>
      <c r="CR243" s="2"/>
      <c r="CS243" s="2"/>
      <c r="CT243" s="2"/>
      <c r="CU243" s="2"/>
      <c r="CV243" s="2"/>
      <c r="CW243" s="2"/>
      <c r="CX243" s="2"/>
      <c r="CY243" s="2"/>
      <c r="CZ243" s="2"/>
      <c r="DA243" s="2"/>
      <c r="DB243" s="2"/>
      <c r="DC243" s="2"/>
      <c r="DD243" s="2"/>
      <c r="DE243" s="2"/>
      <c r="DF243" s="2"/>
      <c r="DG243" s="2"/>
      <c r="DH243" s="2"/>
      <c r="DI243" s="2" t="inlineStr">
        <is>
          <t>01d8c9e7-b5cc-484b-bcf7-f86d07e288fd</t>
        </is>
      </c>
      <c r="DJ243" s="3" t="n">
        <v>6</v>
      </c>
      <c r="DK243" s="2"/>
      <c r="DL243" s="2" t="inlineStr">
        <is>
          <t>固定资产报废批复</t>
        </is>
      </c>
      <c r="DM243" s="2" t="inlineStr">
        <is>
          <t>2-3次</t>
        </is>
      </c>
      <c r="DN243" s="3" t="n">
        <v>2</v>
      </c>
      <c r="DO243" s="3" t="n">
        <v>3</v>
      </c>
      <c r="DP243" s="2" t="inlineStr">
        <is>
          <t>B.2小时以内</t>
        </is>
      </c>
      <c r="DQ243" s="7" t="n">
        <v>2</v>
      </c>
      <c r="DR243" s="7" t="n">
        <v>2</v>
      </c>
      <c r="DS243" s="7" t="n">
        <v>4</v>
      </c>
      <c r="DT243" s="7" t="n">
        <v>6</v>
      </c>
      <c r="DU243" s="2" t="inlineStr">
        <is>
          <t>其他</t>
        </is>
      </c>
      <c r="DV243" s="2" t="inlineStr">
        <is>
          <t>起草 发文审批</t>
        </is>
      </c>
      <c r="DW243" s="2"/>
      <c r="DX243" s="2" t="inlineStr">
        <is>
          <t>岗位职责</t>
        </is>
      </c>
      <c r="DY243" s="2" t="inlineStr">
        <is>
          <t>重要且紧急</t>
        </is>
      </c>
      <c r="DZ243" s="2" t="inlineStr">
        <is>
          <t>半标准化-有流程框架，需专业经验</t>
        </is>
      </c>
      <c r="EA243" s="2" t="inlineStr">
        <is>
          <t>极少（&lt;5%）</t>
        </is>
      </c>
      <c r="EB243" s="2" t="inlineStr">
        <is>
          <t>沟通/协调负荷</t>
        </is>
      </c>
      <c r="EC243" s="2"/>
      <c r="ED243" s="2" t="inlineStr">
        <is>
          <t>5efbdafc-b574-43bb-9fe0-db5a6f341f78</t>
        </is>
      </c>
      <c r="EE243" s="3" t="n">
        <v>6</v>
      </c>
      <c r="EF243" s="2"/>
      <c r="EG243" s="2" t="inlineStr">
        <is>
          <t>分公司业务答疑及各类资料提供</t>
        </is>
      </c>
      <c r="EH243" s="2" t="inlineStr">
        <is>
          <t>3次及以上</t>
        </is>
      </c>
      <c r="EI243" s="3" t="n">
        <v>3</v>
      </c>
      <c r="EJ243" s="2" t="inlineStr">
        <is>
          <t>D.4-8小时</t>
        </is>
      </c>
      <c r="EK243" s="7" t="n">
        <v>4</v>
      </c>
      <c r="EL243" s="7" t="n">
        <v>8</v>
      </c>
      <c r="EM243" s="7" t="n">
        <v>12</v>
      </c>
      <c r="EN243" s="7" t="n">
        <v>24</v>
      </c>
      <c r="EO243" s="2" t="inlineStr">
        <is>
          <t>协调沟通类</t>
        </is>
      </c>
      <c r="EP243" s="2"/>
      <c r="EQ243" s="2" t="inlineStr">
        <is>
          <t>跨部门对接</t>
        </is>
      </c>
      <c r="ER243" s="2" t="inlineStr">
        <is>
          <t>跨部门协同</t>
        </is>
      </c>
      <c r="ES243" s="2" t="inlineStr">
        <is>
          <t>重要且紧急</t>
        </is>
      </c>
      <c r="ET243" s="2" t="inlineStr">
        <is>
          <t>非标准化-无先例参考，需创新协调</t>
        </is>
      </c>
      <c r="EU243" s="2" t="inlineStr">
        <is>
          <t>极少（&lt;5%）</t>
        </is>
      </c>
      <c r="EV243" s="2" t="inlineStr">
        <is>
          <t>沟通/协调负荷</t>
        </is>
      </c>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t="inlineStr">
        <is>
          <t>95f33a68-5aa3-42cf-be5d-e95bcfe5a0f1</t>
        </is>
      </c>
      <c r="BT244" s="3" t="n">
        <v>7</v>
      </c>
      <c r="BU244" s="2" t="inlineStr">
        <is>
          <t>专业技术类</t>
        </is>
      </c>
      <c r="BV244" s="2" t="inlineStr">
        <is>
          <t>固定资产采购付款</t>
        </is>
      </c>
      <c r="BW244" s="2" t="inlineStr">
        <is>
          <t>2-5次</t>
        </is>
      </c>
      <c r="BX244" s="3" t="n">
        <v>2</v>
      </c>
      <c r="BY244" s="3" t="n">
        <v>5</v>
      </c>
      <c r="BZ244" s="2" t="inlineStr">
        <is>
          <t>C.2-4小时</t>
        </is>
      </c>
      <c r="CA244" s="7" t="n">
        <v>2</v>
      </c>
      <c r="CB244" s="7" t="n">
        <v>4</v>
      </c>
      <c r="CC244" s="7" t="n">
        <v>4</v>
      </c>
      <c r="CD244" s="7" t="n">
        <v>20</v>
      </c>
      <c r="CE244" s="2" t="inlineStr">
        <is>
          <t>专业技术类</t>
        </is>
      </c>
      <c r="CF244" s="2"/>
      <c r="CG244" s="2" t="inlineStr">
        <is>
          <t>专业问题协调</t>
        </is>
      </c>
      <c r="CH244" s="2" t="inlineStr">
        <is>
          <t>跨部门协同</t>
        </is>
      </c>
      <c r="CI244" s="2" t="inlineStr">
        <is>
          <t>重要且紧急</t>
        </is>
      </c>
      <c r="CJ244" s="2" t="inlineStr">
        <is>
          <t>高度标准化-有成熟SOP，照做即可</t>
        </is>
      </c>
      <c r="CK244" s="2" t="inlineStr">
        <is>
          <t>极少（&lt;5%）</t>
        </is>
      </c>
      <c r="CL244" s="2" t="inlineStr">
        <is>
          <t>沟通/协调负荷</t>
        </is>
      </c>
      <c r="CM244" s="2"/>
      <c r="CN244" s="2"/>
      <c r="CO244" s="2"/>
      <c r="CP244" s="2"/>
      <c r="CQ244" s="2"/>
      <c r="CR244" s="2"/>
      <c r="CS244" s="2"/>
      <c r="CT244" s="2"/>
      <c r="CU244" s="2"/>
      <c r="CV244" s="2"/>
      <c r="CW244" s="2"/>
      <c r="CX244" s="2"/>
      <c r="CY244" s="2"/>
      <c r="CZ244" s="2"/>
      <c r="DA244" s="2"/>
      <c r="DB244" s="2"/>
      <c r="DC244" s="2"/>
      <c r="DD244" s="2"/>
      <c r="DE244" s="2"/>
      <c r="DF244" s="2"/>
      <c r="DG244" s="2"/>
      <c r="DH244" s="2"/>
      <c r="DI244" s="2" t="inlineStr">
        <is>
          <t>8e2e681d-568b-4b39-8840-ec0911f1b324</t>
        </is>
      </c>
      <c r="DJ244" s="3" t="n">
        <v>7</v>
      </c>
      <c r="DK244" s="2"/>
      <c r="DL244" s="2" t="inlineStr">
        <is>
          <t>内部单位资金转账</t>
        </is>
      </c>
      <c r="DM244" s="2" t="inlineStr">
        <is>
          <t>1次</t>
        </is>
      </c>
      <c r="DN244" s="3" t="n">
        <v>1</v>
      </c>
      <c r="DO244" s="3" t="n">
        <v>1</v>
      </c>
      <c r="DP244" s="2" t="inlineStr">
        <is>
          <t>E.8小时以上</t>
        </is>
      </c>
      <c r="DQ244" s="7" t="n">
        <v>8</v>
      </c>
      <c r="DR244" s="7" t="n">
        <v>8</v>
      </c>
      <c r="DS244" s="7" t="n">
        <v>8</v>
      </c>
      <c r="DT244" s="7" t="n">
        <v>8</v>
      </c>
      <c r="DU244" s="2" t="inlineStr">
        <is>
          <t>流程审批类</t>
        </is>
      </c>
      <c r="DV244" s="2"/>
      <c r="DW244" s="2" t="inlineStr">
        <is>
          <t>付款审批</t>
        </is>
      </c>
      <c r="DX244" s="2" t="inlineStr">
        <is>
          <t>跨部门协同</t>
        </is>
      </c>
      <c r="DY244" s="2" t="inlineStr">
        <is>
          <t>重要不紧急</t>
        </is>
      </c>
      <c r="DZ244" s="2" t="inlineStr">
        <is>
          <t>半标准化-有流程框架，需专业经验</t>
        </is>
      </c>
      <c r="EA244" s="2" t="inlineStr">
        <is>
          <t>极少（&lt;5%）</t>
        </is>
      </c>
      <c r="EB244" s="2" t="inlineStr">
        <is>
          <t>沟通/协调负荷</t>
        </is>
      </c>
      <c r="EC244" s="2"/>
      <c r="ED244" s="2" t="inlineStr">
        <is>
          <t>20e87f97-3a3f-4b99-9b2c-d78e15f2e554</t>
        </is>
      </c>
      <c r="EE244" s="3" t="n">
        <v>7</v>
      </c>
      <c r="EF244" s="2"/>
      <c r="EG244" s="2" t="inlineStr">
        <is>
          <t>设备档案移交存档</t>
        </is>
      </c>
      <c r="EH244" s="2" t="inlineStr">
        <is>
          <t>2次</t>
        </is>
      </c>
      <c r="EI244" s="3" t="n">
        <v>2</v>
      </c>
      <c r="EJ244" s="2" t="inlineStr">
        <is>
          <t>D.4-8小时</t>
        </is>
      </c>
      <c r="EK244" s="7" t="n">
        <v>4</v>
      </c>
      <c r="EL244" s="7" t="n">
        <v>8</v>
      </c>
      <c r="EM244" s="7" t="n">
        <v>8</v>
      </c>
      <c r="EN244" s="7" t="n">
        <v>16</v>
      </c>
      <c r="EO244" s="2" t="inlineStr">
        <is>
          <t>协调沟通类</t>
        </is>
      </c>
      <c r="EP244" s="2"/>
      <c r="EQ244" s="2" t="inlineStr">
        <is>
          <t>跨部门对接</t>
        </is>
      </c>
      <c r="ER244" s="2" t="inlineStr">
        <is>
          <t>岗位职责</t>
        </is>
      </c>
      <c r="ES244" s="2" t="inlineStr">
        <is>
          <t>重要不紧急</t>
        </is>
      </c>
      <c r="ET244" s="2" t="inlineStr">
        <is>
          <t>半标准化-有流程框架，需专业经验</t>
        </is>
      </c>
      <c r="EU244" s="2" t="inlineStr">
        <is>
          <t>极少（&lt;5%）</t>
        </is>
      </c>
      <c r="EV244" s="2" t="inlineStr">
        <is>
          <t>沟通/协调负荷</t>
        </is>
      </c>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t="inlineStr">
        <is>
          <t>6498b3ee-50f4-41c6-91f2-46af3d8c3a24</t>
        </is>
      </c>
      <c r="BT245" s="3" t="n">
        <v>8</v>
      </c>
      <c r="BU245" s="2" t="inlineStr">
        <is>
          <t>专业技术类</t>
        </is>
      </c>
      <c r="BV245" s="2" t="inlineStr">
        <is>
          <t>固定资产验收</t>
        </is>
      </c>
      <c r="BW245" s="2" t="inlineStr">
        <is>
          <t>2-5次</t>
        </is>
      </c>
      <c r="BX245" s="3" t="n">
        <v>2</v>
      </c>
      <c r="BY245" s="3" t="n">
        <v>5</v>
      </c>
      <c r="BZ245" s="2" t="inlineStr">
        <is>
          <t>C.2-4小时</t>
        </is>
      </c>
      <c r="CA245" s="7" t="n">
        <v>2</v>
      </c>
      <c r="CB245" s="7" t="n">
        <v>4</v>
      </c>
      <c r="CC245" s="7" t="n">
        <v>4</v>
      </c>
      <c r="CD245" s="7" t="n">
        <v>20</v>
      </c>
      <c r="CE245" s="2" t="inlineStr">
        <is>
          <t>专业技术类</t>
        </is>
      </c>
      <c r="CF245" s="2"/>
      <c r="CG245" s="2" t="inlineStr">
        <is>
          <t>专业问题协调</t>
        </is>
      </c>
      <c r="CH245" s="2" t="inlineStr">
        <is>
          <t>岗位职责</t>
        </is>
      </c>
      <c r="CI245" s="2" t="inlineStr">
        <is>
          <t>重要且紧急</t>
        </is>
      </c>
      <c r="CJ245" s="2" t="inlineStr">
        <is>
          <t>高度标准化-有成熟SOP，照做即可</t>
        </is>
      </c>
      <c r="CK245" s="2" t="inlineStr">
        <is>
          <t>极少（&lt;5%）</t>
        </is>
      </c>
      <c r="CL245" s="2" t="inlineStr">
        <is>
          <t>时效/强度负荷</t>
        </is>
      </c>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t="inlineStr">
        <is>
          <t>ce52b423-6641-4491-a828-c9b382fe9419</t>
        </is>
      </c>
      <c r="BT246" s="3" t="n">
        <v>9</v>
      </c>
      <c r="BU246" s="2" t="inlineStr">
        <is>
          <t>专业技术类</t>
        </is>
      </c>
      <c r="BV246" s="2" t="inlineStr">
        <is>
          <t>固定资产台账</t>
        </is>
      </c>
      <c r="BW246" s="2" t="inlineStr">
        <is>
          <t>2-5次</t>
        </is>
      </c>
      <c r="BX246" s="3" t="n">
        <v>2</v>
      </c>
      <c r="BY246" s="3" t="n">
        <v>5</v>
      </c>
      <c r="BZ246" s="2" t="inlineStr">
        <is>
          <t>C.2-4小时</t>
        </is>
      </c>
      <c r="CA246" s="7" t="n">
        <v>2</v>
      </c>
      <c r="CB246" s="7" t="n">
        <v>4</v>
      </c>
      <c r="CC246" s="7" t="n">
        <v>4</v>
      </c>
      <c r="CD246" s="7" t="n">
        <v>20</v>
      </c>
      <c r="CE246" s="2" t="inlineStr">
        <is>
          <t>专业技术类</t>
        </is>
      </c>
      <c r="CF246" s="2"/>
      <c r="CG246" s="2" t="inlineStr">
        <is>
          <t>专业问题协调</t>
        </is>
      </c>
      <c r="CH246" s="2" t="inlineStr">
        <is>
          <t>岗位职责</t>
        </is>
      </c>
      <c r="CI246" s="2" t="inlineStr">
        <is>
          <t>重要不紧急</t>
        </is>
      </c>
      <c r="CJ246" s="2" t="inlineStr">
        <is>
          <t>高度标准化-有成熟SOP，照做即可</t>
        </is>
      </c>
      <c r="CK246" s="2" t="inlineStr">
        <is>
          <t>极少（&lt;5%）</t>
        </is>
      </c>
      <c r="CL246" s="2" t="inlineStr">
        <is>
          <t>时效/强度负荷</t>
        </is>
      </c>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t="inlineStr">
        <is>
          <t>01b2646a-3f7e-4a35-be70-16b586d5e8ed</t>
        </is>
      </c>
      <c r="BT247" s="3" t="n">
        <v>10</v>
      </c>
      <c r="BU247" s="2" t="inlineStr">
        <is>
          <t>协调沟通类</t>
        </is>
      </c>
      <c r="BV247" s="2" t="inlineStr">
        <is>
          <t>固定资产调拨</t>
        </is>
      </c>
      <c r="BW247" s="2" t="inlineStr">
        <is>
          <t>10次以上</t>
        </is>
      </c>
      <c r="BX247" s="3" t="n">
        <v>10</v>
      </c>
      <c r="BY247" s="3" t="n">
        <v>10</v>
      </c>
      <c r="BZ247" s="2" t="inlineStr">
        <is>
          <t>A.20分钟以内</t>
        </is>
      </c>
      <c r="CA247" s="7" t="n">
        <v>0.33</v>
      </c>
      <c r="CB247" s="7" t="n">
        <v>0.33</v>
      </c>
      <c r="CC247" s="7" t="n">
        <v>3.3</v>
      </c>
      <c r="CD247" s="7" t="n">
        <v>3.3</v>
      </c>
      <c r="CE247" s="2" t="inlineStr">
        <is>
          <t>协调沟通类</t>
        </is>
      </c>
      <c r="CF247" s="2"/>
      <c r="CG247" s="2" t="inlineStr">
        <is>
          <t>跨部门对接</t>
        </is>
      </c>
      <c r="CH247" s="2" t="inlineStr">
        <is>
          <t>岗位职责</t>
        </is>
      </c>
      <c r="CI247" s="2" t="inlineStr">
        <is>
          <t>重要且紧急</t>
        </is>
      </c>
      <c r="CJ247" s="2" t="inlineStr">
        <is>
          <t>高度标准化-有成熟SOP，照做即可</t>
        </is>
      </c>
      <c r="CK247" s="2" t="inlineStr">
        <is>
          <t>极少（&lt;5%）</t>
        </is>
      </c>
      <c r="CL247" s="2" t="inlineStr">
        <is>
          <t>沟通/协调负荷</t>
        </is>
      </c>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t="inlineStr">
        <is>
          <t>d172e50d-9319-4f88-ae88-bb68e3e9d414</t>
        </is>
      </c>
      <c r="BT248" s="3" t="n">
        <v>11</v>
      </c>
      <c r="BU248" s="2" t="inlineStr">
        <is>
          <t>专业技术类</t>
        </is>
      </c>
      <c r="BV248" s="2" t="inlineStr">
        <is>
          <t>固定资产新增设备入库，登记、验收</t>
        </is>
      </c>
      <c r="BW248" s="2" t="inlineStr">
        <is>
          <t>2-5次</t>
        </is>
      </c>
      <c r="BX248" s="3" t="n">
        <v>2</v>
      </c>
      <c r="BY248" s="3" t="n">
        <v>5</v>
      </c>
      <c r="BZ248" s="2" t="inlineStr">
        <is>
          <t>C.2-4小时</t>
        </is>
      </c>
      <c r="CA248" s="7" t="n">
        <v>2</v>
      </c>
      <c r="CB248" s="7" t="n">
        <v>4</v>
      </c>
      <c r="CC248" s="7" t="n">
        <v>4</v>
      </c>
      <c r="CD248" s="7" t="n">
        <v>20</v>
      </c>
      <c r="CE248" s="2" t="inlineStr">
        <is>
          <t>专业技术类</t>
        </is>
      </c>
      <c r="CF248" s="2"/>
      <c r="CG248" s="2" t="inlineStr">
        <is>
          <t>专业问题协调</t>
        </is>
      </c>
      <c r="CH248" s="2" t="inlineStr">
        <is>
          <t>岗位职责</t>
        </is>
      </c>
      <c r="CI248" s="2" t="inlineStr">
        <is>
          <t>重要且紧急</t>
        </is>
      </c>
      <c r="CJ248" s="2" t="inlineStr">
        <is>
          <t>高度标准化-有成熟SOP，照做即可</t>
        </is>
      </c>
      <c r="CK248" s="2" t="inlineStr">
        <is>
          <t>极少（&lt;5%）</t>
        </is>
      </c>
      <c r="CL248" s="2" t="inlineStr">
        <is>
          <t>脑力/复杂度负荷</t>
        </is>
      </c>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t="inlineStr">
        <is>
          <t>b2b7959f-9ecc-42a1-91b0-d9f18e4fa70d</t>
        </is>
      </c>
      <c r="BT249" s="3" t="n">
        <v>12</v>
      </c>
      <c r="BU249" s="2" t="inlineStr">
        <is>
          <t>专业技术类</t>
        </is>
      </c>
      <c r="BV249" s="2" t="inlineStr">
        <is>
          <t>固定资产卡片打印</t>
        </is>
      </c>
      <c r="BW249" s="2" t="inlineStr">
        <is>
          <t>2-5次</t>
        </is>
      </c>
      <c r="BX249" s="3" t="n">
        <v>2</v>
      </c>
      <c r="BY249" s="3" t="n">
        <v>5</v>
      </c>
      <c r="BZ249" s="2" t="inlineStr">
        <is>
          <t>B.2小时以内</t>
        </is>
      </c>
      <c r="CA249" s="7" t="n">
        <v>2</v>
      </c>
      <c r="CB249" s="7" t="n">
        <v>2</v>
      </c>
      <c r="CC249" s="7" t="n">
        <v>4</v>
      </c>
      <c r="CD249" s="7" t="n">
        <v>10</v>
      </c>
      <c r="CE249" s="2" t="inlineStr">
        <is>
          <t>专业技术类</t>
        </is>
      </c>
      <c r="CF249" s="2"/>
      <c r="CG249" s="2" t="inlineStr">
        <is>
          <t>专业问题协调</t>
        </is>
      </c>
      <c r="CH249" s="2" t="inlineStr">
        <is>
          <t>岗位职责</t>
        </is>
      </c>
      <c r="CI249" s="2" t="inlineStr">
        <is>
          <t>重要不紧急</t>
        </is>
      </c>
      <c r="CJ249" s="2" t="inlineStr">
        <is>
          <t>半标准化-有流程框架，需专业经验</t>
        </is>
      </c>
      <c r="CK249" s="2" t="inlineStr">
        <is>
          <t>极少（&lt;5%）</t>
        </is>
      </c>
      <c r="CL249" s="2" t="inlineStr">
        <is>
          <t>时效/强度负荷</t>
        </is>
      </c>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t="inlineStr">
        <is>
          <t>aa7d3932-abb1-4d6d-8dec-0b13534b9faa</t>
        </is>
      </c>
      <c r="BT250" s="3" t="n">
        <v>13</v>
      </c>
      <c r="BU250" s="2" t="inlineStr">
        <is>
          <t>专业技术类</t>
        </is>
      </c>
      <c r="BV250" s="2" t="inlineStr">
        <is>
          <t>计量器具日常维护保养</t>
        </is>
      </c>
      <c r="BW250" s="2" t="inlineStr">
        <is>
          <t>2-5次</t>
        </is>
      </c>
      <c r="BX250" s="3" t="n">
        <v>2</v>
      </c>
      <c r="BY250" s="3" t="n">
        <v>5</v>
      </c>
      <c r="BZ250" s="2" t="inlineStr">
        <is>
          <t>B.2小时以内</t>
        </is>
      </c>
      <c r="CA250" s="7" t="n">
        <v>2</v>
      </c>
      <c r="CB250" s="7" t="n">
        <v>2</v>
      </c>
      <c r="CC250" s="7" t="n">
        <v>4</v>
      </c>
      <c r="CD250" s="7" t="n">
        <v>10</v>
      </c>
      <c r="CE250" s="2" t="inlineStr">
        <is>
          <t>专业技术类</t>
        </is>
      </c>
      <c r="CF250" s="2"/>
      <c r="CG250" s="2" t="inlineStr">
        <is>
          <t>专业问题协调</t>
        </is>
      </c>
      <c r="CH250" s="2" t="inlineStr">
        <is>
          <t>岗位职责</t>
        </is>
      </c>
      <c r="CI250" s="2" t="inlineStr">
        <is>
          <t>重要且紧急</t>
        </is>
      </c>
      <c r="CJ250" s="2" t="inlineStr">
        <is>
          <t>半标准化-有流程框架，需专业经验</t>
        </is>
      </c>
      <c r="CK250" s="2" t="inlineStr">
        <is>
          <t>极少（&lt;5%）</t>
        </is>
      </c>
      <c r="CL250" s="2" t="inlineStr">
        <is>
          <t>时效/强度负荷</t>
        </is>
      </c>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t="inlineStr">
        <is>
          <t>61fffbb6-8f12-4435-8964-c2f1e7aae39d</t>
        </is>
      </c>
      <c r="BT251" s="3" t="n">
        <v>14</v>
      </c>
      <c r="BU251" s="2" t="inlineStr">
        <is>
          <t>协调沟通类</t>
        </is>
      </c>
      <c r="BV251" s="2" t="inlineStr">
        <is>
          <t>检测证书审核</t>
        </is>
      </c>
      <c r="BW251" s="2" t="inlineStr">
        <is>
          <t>10次以上</t>
        </is>
      </c>
      <c r="BX251" s="3" t="n">
        <v>10</v>
      </c>
      <c r="BY251" s="3" t="n">
        <v>10</v>
      </c>
      <c r="BZ251" s="2" t="inlineStr">
        <is>
          <t>B.2小时以内</t>
        </is>
      </c>
      <c r="CA251" s="7" t="n">
        <v>2</v>
      </c>
      <c r="CB251" s="7" t="n">
        <v>2</v>
      </c>
      <c r="CC251" s="7" t="n">
        <v>20</v>
      </c>
      <c r="CD251" s="7" t="n">
        <v>20</v>
      </c>
      <c r="CE251" s="2" t="inlineStr">
        <is>
          <t>协调沟通类</t>
        </is>
      </c>
      <c r="CF251" s="2"/>
      <c r="CG251" s="2" t="inlineStr">
        <is>
          <t>外部联络</t>
        </is>
      </c>
      <c r="CH251" s="2" t="inlineStr">
        <is>
          <t>跨部门协同</t>
        </is>
      </c>
      <c r="CI251" s="2" t="inlineStr">
        <is>
          <t>重要且紧急</t>
        </is>
      </c>
      <c r="CJ251" s="2" t="inlineStr">
        <is>
          <t>非标准化-无先例参考，需创新协调</t>
        </is>
      </c>
      <c r="CK251" s="2" t="inlineStr">
        <is>
          <t>极少（&lt;5%）</t>
        </is>
      </c>
      <c r="CL251" s="2" t="inlineStr">
        <is>
          <t>沟通/协调负荷</t>
        </is>
      </c>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t="inlineStr">
        <is>
          <t>f06d6ee1-c802-4af2-93f8-b25d2a4c70a4</t>
        </is>
      </c>
      <c r="BT252" s="3" t="n">
        <v>15</v>
      </c>
      <c r="BU252" s="2" t="inlineStr">
        <is>
          <t>流程审批类</t>
        </is>
      </c>
      <c r="BV252" s="2" t="inlineStr">
        <is>
          <t>零星采购材料预算</t>
        </is>
      </c>
      <c r="BW252" s="2" t="inlineStr">
        <is>
          <t>2-5次</t>
        </is>
      </c>
      <c r="BX252" s="3" t="n">
        <v>2</v>
      </c>
      <c r="BY252" s="3" t="n">
        <v>5</v>
      </c>
      <c r="BZ252" s="2" t="inlineStr">
        <is>
          <t>B.2小时以内</t>
        </is>
      </c>
      <c r="CA252" s="7" t="n">
        <v>2</v>
      </c>
      <c r="CB252" s="7" t="n">
        <v>2</v>
      </c>
      <c r="CC252" s="7" t="n">
        <v>4</v>
      </c>
      <c r="CD252" s="7" t="n">
        <v>10</v>
      </c>
      <c r="CE252" s="2" t="inlineStr">
        <is>
          <t>流程审批类</t>
        </is>
      </c>
      <c r="CF252" s="2"/>
      <c r="CG252" s="2" t="inlineStr">
        <is>
          <t>采购流程</t>
        </is>
      </c>
      <c r="CH252" s="2" t="inlineStr">
        <is>
          <t>岗位职责</t>
        </is>
      </c>
      <c r="CI252" s="2" t="inlineStr">
        <is>
          <t>重要且紧急</t>
        </is>
      </c>
      <c r="CJ252" s="2" t="inlineStr">
        <is>
          <t>半标准化-有流程框架，需专业经验</t>
        </is>
      </c>
      <c r="CK252" s="2" t="inlineStr">
        <is>
          <t>极少（&lt;5%）</t>
        </is>
      </c>
      <c r="CL252" s="2" t="inlineStr">
        <is>
          <t>时效/强度负荷</t>
        </is>
      </c>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t="inlineStr">
        <is>
          <t>b74e62e5-379c-43fa-976a-40f7afb262a7</t>
        </is>
      </c>
      <c r="BT253" s="3" t="n">
        <v>16</v>
      </c>
      <c r="BU253" s="2" t="inlineStr">
        <is>
          <t>流程审批类</t>
        </is>
      </c>
      <c r="BV253" s="2" t="inlineStr">
        <is>
          <t>零星采购材料计划</t>
        </is>
      </c>
      <c r="BW253" s="2" t="inlineStr">
        <is>
          <t>2-5次</t>
        </is>
      </c>
      <c r="BX253" s="3" t="n">
        <v>2</v>
      </c>
      <c r="BY253" s="3" t="n">
        <v>5</v>
      </c>
      <c r="BZ253" s="2" t="inlineStr">
        <is>
          <t>B.2小时以内</t>
        </is>
      </c>
      <c r="CA253" s="7" t="n">
        <v>2</v>
      </c>
      <c r="CB253" s="7" t="n">
        <v>2</v>
      </c>
      <c r="CC253" s="7" t="n">
        <v>4</v>
      </c>
      <c r="CD253" s="7" t="n">
        <v>10</v>
      </c>
      <c r="CE253" s="2" t="inlineStr">
        <is>
          <t>流程审批类</t>
        </is>
      </c>
      <c r="CF253" s="2"/>
      <c r="CG253" s="2" t="inlineStr">
        <is>
          <t>采购流程</t>
        </is>
      </c>
      <c r="CH253" s="2" t="inlineStr">
        <is>
          <t>岗位职责</t>
        </is>
      </c>
      <c r="CI253" s="2" t="inlineStr">
        <is>
          <t>重要且紧急</t>
        </is>
      </c>
      <c r="CJ253" s="2" t="inlineStr">
        <is>
          <t>半标准化-有流程框架，需专业经验</t>
        </is>
      </c>
      <c r="CK253" s="2" t="inlineStr">
        <is>
          <t>极少（&lt;5%）</t>
        </is>
      </c>
      <c r="CL253" s="2" t="inlineStr">
        <is>
          <t>时效/强度负荷</t>
        </is>
      </c>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t="inlineStr">
        <is>
          <t>72ea9723-106a-40e6-8cd9-dc52d6651c4a</t>
        </is>
      </c>
      <c r="BT254" s="3" t="n">
        <v>17</v>
      </c>
      <c r="BU254" s="2" t="inlineStr">
        <is>
          <t>流程审批类</t>
        </is>
      </c>
      <c r="BV254" s="2" t="inlineStr">
        <is>
          <t>零星采购材料入库、出库</t>
        </is>
      </c>
      <c r="BW254" s="2" t="inlineStr">
        <is>
          <t>2-5次</t>
        </is>
      </c>
      <c r="BX254" s="3" t="n">
        <v>2</v>
      </c>
      <c r="BY254" s="3" t="n">
        <v>5</v>
      </c>
      <c r="BZ254" s="2" t="inlineStr">
        <is>
          <t>B.2小时以内</t>
        </is>
      </c>
      <c r="CA254" s="7" t="n">
        <v>2</v>
      </c>
      <c r="CB254" s="7" t="n">
        <v>2</v>
      </c>
      <c r="CC254" s="7" t="n">
        <v>4</v>
      </c>
      <c r="CD254" s="7" t="n">
        <v>10</v>
      </c>
      <c r="CE254" s="2" t="inlineStr">
        <is>
          <t>流程审批类</t>
        </is>
      </c>
      <c r="CF254" s="2"/>
      <c r="CG254" s="2" t="inlineStr">
        <is>
          <t>采购流程</t>
        </is>
      </c>
      <c r="CH254" s="2" t="inlineStr">
        <is>
          <t>岗位职责</t>
        </is>
      </c>
      <c r="CI254" s="2" t="inlineStr">
        <is>
          <t>重要且紧急</t>
        </is>
      </c>
      <c r="CJ254" s="2" t="inlineStr">
        <is>
          <t>半标准化-有流程框架，需专业经验</t>
        </is>
      </c>
      <c r="CK254" s="2" t="inlineStr">
        <is>
          <t>极少（&lt;5%）</t>
        </is>
      </c>
      <c r="CL254" s="2" t="inlineStr">
        <is>
          <t>时效/强度负荷</t>
        </is>
      </c>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t="inlineStr">
        <is>
          <t>f24efeb1-6ced-4148-9b4c-2c90f659e03f</t>
        </is>
      </c>
      <c r="BT255" s="3" t="n">
        <v>18</v>
      </c>
      <c r="BU255" s="2" t="inlineStr">
        <is>
          <t>流程审批类</t>
        </is>
      </c>
      <c r="BV255" s="2" t="inlineStr">
        <is>
          <t>零星采购材料付款申请</t>
        </is>
      </c>
      <c r="BW255" s="2" t="inlineStr">
        <is>
          <t>2-5次</t>
        </is>
      </c>
      <c r="BX255" s="3" t="n">
        <v>2</v>
      </c>
      <c r="BY255" s="3" t="n">
        <v>5</v>
      </c>
      <c r="BZ255" s="2" t="inlineStr">
        <is>
          <t>B.2小时以内</t>
        </is>
      </c>
      <c r="CA255" s="7" t="n">
        <v>2</v>
      </c>
      <c r="CB255" s="7" t="n">
        <v>2</v>
      </c>
      <c r="CC255" s="7" t="n">
        <v>4</v>
      </c>
      <c r="CD255" s="7" t="n">
        <v>10</v>
      </c>
      <c r="CE255" s="2" t="inlineStr">
        <is>
          <t>流程审批类</t>
        </is>
      </c>
      <c r="CF255" s="2"/>
      <c r="CG255" s="2" t="inlineStr">
        <is>
          <t>采购流程</t>
        </is>
      </c>
      <c r="CH255" s="2" t="inlineStr">
        <is>
          <t>岗位职责</t>
        </is>
      </c>
      <c r="CI255" s="2" t="inlineStr">
        <is>
          <t>重要且紧急</t>
        </is>
      </c>
      <c r="CJ255" s="2" t="inlineStr">
        <is>
          <t>半标准化-有流程框架，需专业经验</t>
        </is>
      </c>
      <c r="CK255" s="2" t="inlineStr">
        <is>
          <t>极少（&lt;5%）</t>
        </is>
      </c>
      <c r="CL255" s="2" t="inlineStr">
        <is>
          <t>沟通/协调负荷</t>
        </is>
      </c>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row>
    <row r="256">
      <c r="A256" s="2" t="inlineStr">
        <is>
          <t>2026-05-07 16:17:45</t>
        </is>
      </c>
      <c r="B256" s="2" t="inlineStr">
        <is>
          <t>沈冲</t>
        </is>
      </c>
      <c r="C256" s="2" t="inlineStr">
        <is>
          <t>物资部</t>
        </is>
      </c>
      <c r="D256" s="2" t="inlineStr">
        <is>
          <t>男</t>
        </is>
      </c>
      <c r="E256" s="2" t="inlineStr">
        <is>
          <t>320111200206064815</t>
        </is>
      </c>
      <c r="F256" s="2" t="inlineStr">
        <is>
          <t>技术助理(三)</t>
        </is>
      </c>
      <c r="G256" s="2" t="inlineStr">
        <is>
          <t>2024-11</t>
        </is>
      </c>
      <c r="H256" s="2" t="inlineStr">
        <is>
          <t>常州大学怀德学院</t>
        </is>
      </c>
      <c r="I256" s="2" t="inlineStr">
        <is>
          <t>电气</t>
        </is>
      </c>
      <c r="J256" s="2" t="inlineStr">
        <is>
          <t>本科</t>
        </is>
      </c>
      <c r="K256" s="2"/>
      <c r="L256" s="6">
        <f>HYPERLINK("https://www.h3yun.com/Form/Attachments/?schemacode=D1483577de63ede327d4760b10664bd57671d7e&amp;bizObjectId=e29f198d-44d5-4e70-a4e9-af2ddff1c618&amp;name=F0000046","点击查看")</f>
        <v>0</v>
      </c>
      <c r="M256" s="2" t="inlineStr">
        <is>
          <t>无</t>
        </is>
      </c>
      <c r="N256" s="2" t="inlineStr">
        <is>
          <t>每日工作</t>
        </is>
      </c>
      <c r="O256" s="2" t="inlineStr">
        <is>
          <t>25岁及以下</t>
        </is>
      </c>
      <c r="P256" s="2" t="inlineStr">
        <is>
          <t>A.未婚</t>
        </is>
      </c>
      <c r="Q256" s="2" t="inlineStr">
        <is>
          <t>A.否</t>
        </is>
      </c>
      <c r="R256" s="2" t="inlineStr">
        <is>
          <t>A.否</t>
        </is>
      </c>
      <c r="S256" s="2" t="inlineStr">
        <is>
          <t>A.保持当前工作内容和节奏，收入相对稳定即可</t>
        </is>
      </c>
      <c r="T256" s="2" t="inlineStr">
        <is>
          <t>A.基本满意，希望保持</t>
        </is>
      </c>
      <c r="U256" s="2" t="inlineStr">
        <is>
          <t>A.减少重复性事务</t>
        </is>
      </c>
      <c r="V256" s="2" t="inlineStr">
        <is>
          <t>A.没有</t>
        </is>
      </c>
      <c r="W256" s="2"/>
      <c r="X256" s="2" t="inlineStr">
        <is>
          <t>C.均衡 (80%-100%)</t>
        </is>
      </c>
      <c r="Y256" s="2" t="inlineStr">
        <is>
          <t>I.无需加班</t>
        </is>
      </c>
      <c r="Z256" s="2" t="inlineStr">
        <is>
          <t>专项统计</t>
        </is>
      </c>
      <c r="AA256" s="2" t="inlineStr">
        <is>
          <t>无</t>
        </is>
      </c>
      <c r="AB256" s="2" t="inlineStr">
        <is>
          <t>无</t>
        </is>
      </c>
      <c r="AC256" s="2" t="inlineStr">
        <is>
          <t>A.高度匹配（得心应手）</t>
        </is>
      </c>
      <c r="AD256" s="2" t="inlineStr">
        <is>
          <t>无</t>
        </is>
      </c>
      <c r="AE256" s="2"/>
      <c r="AF256" s="2"/>
      <c r="AG256" s="2"/>
      <c r="AH256" s="2"/>
      <c r="AI256" s="7" t="n">
        <v>12</v>
      </c>
      <c r="AJ256" s="7" t="n">
        <v>16</v>
      </c>
      <c r="AK256" s="7" t="n">
        <v>0</v>
      </c>
      <c r="AL256" s="7" t="n">
        <v>0</v>
      </c>
      <c r="AM256" s="7" t="n">
        <v>0</v>
      </c>
      <c r="AN256" s="7" t="n">
        <v>0</v>
      </c>
      <c r="AO256" s="7" t="n">
        <v>0</v>
      </c>
      <c r="AP256" s="7" t="n">
        <v>0</v>
      </c>
      <c r="AQ256" s="7" t="n">
        <v>0</v>
      </c>
      <c r="AR256" s="7" t="n">
        <v>0</v>
      </c>
      <c r="AS256" s="7" t="n">
        <v>12</v>
      </c>
      <c r="AT256" s="7" t="n">
        <v>16</v>
      </c>
      <c r="AU256" s="7" t="n">
        <v>14</v>
      </c>
      <c r="AV256" s="2" t="inlineStr">
        <is>
          <t>超负荷</t>
        </is>
      </c>
      <c r="AW256" s="2" t="inlineStr">
        <is>
          <t>不一致</t>
        </is>
      </c>
      <c r="AX256" s="2" t="inlineStr">
        <is>
          <t>e29f198d-44d5-4e70-a4e9-af2ddff1c618</t>
        </is>
      </c>
      <c r="AY256" s="2" t="inlineStr">
        <is>
          <t>物资部    沈冲</t>
        </is>
      </c>
      <c r="AZ256" s="2" t="inlineStr">
        <is>
          <t>Anonymous</t>
        </is>
      </c>
      <c r="BA256" s="2" t="inlineStr">
        <is>
          <t>Anonymous</t>
        </is>
      </c>
      <c r="BB256" s="2"/>
      <c r="BC256" s="2" t="inlineStr">
        <is>
          <t>2026-05-21 08:43:22</t>
        </is>
      </c>
      <c r="BD256" s="3" t="n">
        <v>2002</v>
      </c>
      <c r="BE256" s="3" t="n">
        <v>24</v>
      </c>
      <c r="BF256" s="2" t="inlineStr">
        <is>
          <t>A.无此需求</t>
        </is>
      </c>
      <c r="BG256" s="2" t="inlineStr">
        <is>
          <t>已生效</t>
        </is>
      </c>
      <c r="BH256" s="2" t="inlineStr">
        <is>
          <t>1d42ae46-d9c5-4f81-ae76-ab6e26de763b</t>
        </is>
      </c>
      <c r="BI256" s="3" t="n">
        <v>1</v>
      </c>
      <c r="BJ256" s="2"/>
      <c r="BK256" s="2"/>
      <c r="BL256" s="2"/>
      <c r="BM256" s="2"/>
      <c r="BN256" s="2"/>
      <c r="BO256" s="2"/>
      <c r="BP256" s="2"/>
      <c r="BQ256" s="2"/>
      <c r="BR256" s="2"/>
      <c r="BS256" s="2" t="inlineStr">
        <is>
          <t>d7b64e85-12dd-45d5-85e0-5bd37062cf7c</t>
        </is>
      </c>
      <c r="BT256" s="3" t="n">
        <v>1</v>
      </c>
      <c r="BU256" s="2" t="inlineStr">
        <is>
          <t>数据报表类</t>
        </is>
      </c>
      <c r="BV256" s="2" t="inlineStr">
        <is>
          <t>编码核对与标注</t>
        </is>
      </c>
      <c r="BW256" s="2" t="inlineStr">
        <is>
          <t>1次</t>
        </is>
      </c>
      <c r="BX256" s="3" t="n">
        <v>1</v>
      </c>
      <c r="BY256" s="3" t="n">
        <v>1</v>
      </c>
      <c r="BZ256" s="2" t="inlineStr">
        <is>
          <t>D.4-8小时</t>
        </is>
      </c>
      <c r="CA256" s="7" t="n">
        <v>4</v>
      </c>
      <c r="CB256" s="7" t="n">
        <v>8</v>
      </c>
      <c r="CC256" s="7" t="n">
        <v>4</v>
      </c>
      <c r="CD256" s="7" t="n">
        <v>8</v>
      </c>
      <c r="CE256" s="2" t="inlineStr">
        <is>
          <t>数据报表类</t>
        </is>
      </c>
      <c r="CF256" s="2"/>
      <c r="CG256" s="2" t="inlineStr">
        <is>
          <t>经营数据汇总</t>
        </is>
      </c>
      <c r="CH256" s="2" t="inlineStr">
        <is>
          <t>跨部门协同</t>
        </is>
      </c>
      <c r="CI256" s="2" t="inlineStr">
        <is>
          <t>重要且紧急</t>
        </is>
      </c>
      <c r="CJ256" s="2" t="inlineStr">
        <is>
          <t>高度标准化-有成熟SOP，照做即可</t>
        </is>
      </c>
      <c r="CK256" s="2" t="inlineStr">
        <is>
          <t>极少（&lt;5%）</t>
        </is>
      </c>
      <c r="CL256" s="2" t="inlineStr">
        <is>
          <t>时效/强度负荷</t>
        </is>
      </c>
      <c r="CM256" s="2"/>
      <c r="CN256" s="2" t="inlineStr">
        <is>
          <t>67dbe25f-4a16-405c-99b5-d0c8012d2244</t>
        </is>
      </c>
      <c r="CO256" s="3" t="n">
        <v>1</v>
      </c>
      <c r="CP256" s="2"/>
      <c r="CQ256" s="2"/>
      <c r="CR256" s="2"/>
      <c r="CS256" s="3"/>
      <c r="CT256" s="3"/>
      <c r="CU256" s="2"/>
      <c r="CV256" s="3"/>
      <c r="CW256" s="3"/>
      <c r="CX256" s="3"/>
      <c r="CY256" s="3"/>
      <c r="CZ256" s="2"/>
      <c r="DA256" s="2"/>
      <c r="DB256" s="2"/>
      <c r="DC256" s="2"/>
      <c r="DD256" s="2"/>
      <c r="DE256" s="2"/>
      <c r="DF256" s="2"/>
      <c r="DG256" s="2"/>
      <c r="DH256" s="2"/>
      <c r="DI256" s="2" t="inlineStr">
        <is>
          <t>c3f3c520-118c-4d0e-a14e-7975614b6d02</t>
        </is>
      </c>
      <c r="DJ256" s="3" t="n">
        <v>1</v>
      </c>
      <c r="DK256" s="2"/>
      <c r="DL256" s="2"/>
      <c r="DM256" s="2"/>
      <c r="DN256" s="3"/>
      <c r="DO256" s="3"/>
      <c r="DP256" s="2"/>
      <c r="DQ256" s="3"/>
      <c r="DR256" s="3"/>
      <c r="DS256" s="3"/>
      <c r="DT256" s="3"/>
      <c r="DU256" s="2"/>
      <c r="DV256" s="2"/>
      <c r="DW256" s="2"/>
      <c r="DX256" s="2"/>
      <c r="DY256" s="2"/>
      <c r="DZ256" s="2"/>
      <c r="EA256" s="2"/>
      <c r="EB256" s="2"/>
      <c r="EC256" s="2"/>
      <c r="ED256" s="2" t="inlineStr">
        <is>
          <t>18c8a435-78a5-4a08-bc57-b3b50b053b7d</t>
        </is>
      </c>
      <c r="EE256" s="3" t="n">
        <v>1</v>
      </c>
      <c r="EF256" s="2"/>
      <c r="EG256" s="2"/>
      <c r="EH256" s="2"/>
      <c r="EI256" s="3"/>
      <c r="EJ256" s="2"/>
      <c r="EK256" s="3"/>
      <c r="EL256" s="3"/>
      <c r="EM256" s="3"/>
      <c r="EN256" s="3"/>
      <c r="EO256" s="2"/>
      <c r="EP256" s="2"/>
      <c r="EQ256" s="2"/>
      <c r="ER256" s="2"/>
      <c r="ES256" s="2"/>
      <c r="ET256" s="2"/>
      <c r="EU256" s="2"/>
      <c r="EV256" s="2"/>
      <c r="EW256" s="2"/>
      <c r="EX256" s="2" t="inlineStr">
        <is>
          <t>9da3bf6c-d6d9-4211-b159-cd910512dedd</t>
        </is>
      </c>
      <c r="EY256" s="3" t="n">
        <v>1</v>
      </c>
      <c r="EZ256" s="2"/>
      <c r="FA256" s="2"/>
      <c r="FB256" s="2"/>
      <c r="FC256" s="2"/>
      <c r="FD256" s="3"/>
      <c r="FE256" s="3"/>
      <c r="FF256" s="2"/>
      <c r="FG256" s="3"/>
      <c r="FH256" s="3"/>
      <c r="FI256" s="7" t="n">
        <v>0</v>
      </c>
      <c r="FJ256" s="7" t="n">
        <v>0</v>
      </c>
      <c r="FK256" s="7" t="n">
        <v>0</v>
      </c>
      <c r="FL256" s="7" t="n">
        <v>0</v>
      </c>
      <c r="FM256" s="7" t="n">
        <v>0</v>
      </c>
      <c r="FN256" s="7" t="n">
        <v>0</v>
      </c>
      <c r="FO256" s="2"/>
      <c r="FP256" s="2"/>
      <c r="FQ256" s="2"/>
      <c r="FR256" s="2"/>
      <c r="FS256" s="2"/>
      <c r="FT256" s="2"/>
      <c r="FU256" s="2"/>
      <c r="FV256" s="2"/>
      <c r="FW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t="inlineStr">
        <is>
          <t>bbb744da-43a2-40c7-8c67-06bdf2087e3a</t>
        </is>
      </c>
      <c r="BT257" s="3" t="n">
        <v>2</v>
      </c>
      <c r="BU257" s="2" t="inlineStr">
        <is>
          <t>专业技术类</t>
        </is>
      </c>
      <c r="BV257" s="2" t="inlineStr">
        <is>
          <t>证件学习与考取</t>
        </is>
      </c>
      <c r="BW257" s="2" t="inlineStr">
        <is>
          <t>1次</t>
        </is>
      </c>
      <c r="BX257" s="3" t="n">
        <v>1</v>
      </c>
      <c r="BY257" s="3" t="n">
        <v>1</v>
      </c>
      <c r="BZ257" s="2" t="inlineStr">
        <is>
          <t>E.8小时以上</t>
        </is>
      </c>
      <c r="CA257" s="7" t="n">
        <v>8</v>
      </c>
      <c r="CB257" s="7" t="n">
        <v>8</v>
      </c>
      <c r="CC257" s="7" t="n">
        <v>8</v>
      </c>
      <c r="CD257" s="7" t="n">
        <v>8</v>
      </c>
      <c r="CE257" s="2" t="inlineStr">
        <is>
          <t>专业技术类</t>
        </is>
      </c>
      <c r="CF257" s="2"/>
      <c r="CG257" s="2" t="inlineStr">
        <is>
          <t>探索研发类工作</t>
        </is>
      </c>
      <c r="CH257" s="2" t="inlineStr">
        <is>
          <t>上级指令</t>
        </is>
      </c>
      <c r="CI257" s="2" t="inlineStr">
        <is>
          <t>重要不紧急</t>
        </is>
      </c>
      <c r="CJ257" s="2" t="inlineStr">
        <is>
          <t>高度标准化-有成熟SOP，照做即可</t>
        </is>
      </c>
      <c r="CK257" s="2" t="inlineStr">
        <is>
          <t>极少（&lt;5%）</t>
        </is>
      </c>
      <c r="CL257" s="2" t="inlineStr">
        <is>
          <t>脑力/复杂度负荷</t>
        </is>
      </c>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row>
    <row r="258">
      <c r="A258" s="2" t="inlineStr">
        <is>
          <t>2026-05-07 16:09:43</t>
        </is>
      </c>
      <c r="B258" s="2" t="inlineStr">
        <is>
          <t>冯艳兰</t>
        </is>
      </c>
      <c r="C258" s="2" t="inlineStr">
        <is>
          <t>物资部</t>
        </is>
      </c>
      <c r="D258" s="2" t="inlineStr">
        <is>
          <t>女</t>
        </is>
      </c>
      <c r="E258" s="2" t="inlineStr">
        <is>
          <t>320112197511110445</t>
        </is>
      </c>
      <c r="F258" s="2" t="inlineStr">
        <is>
          <t>业务主管</t>
        </is>
      </c>
      <c r="G258" s="2" t="inlineStr">
        <is>
          <t>1994-08</t>
        </is>
      </c>
      <c r="H258" s="2" t="inlineStr">
        <is>
          <t>扬州化工学校</t>
        </is>
      </c>
      <c r="I258" s="2" t="inlineStr">
        <is>
          <t>电气</t>
        </is>
      </c>
      <c r="J258" s="2" t="inlineStr">
        <is>
          <t>中专</t>
        </is>
      </c>
      <c r="K258" s="2"/>
      <c r="L258" s="6">
        <f>HYPERLINK("https://www.h3yun.com/Form/Attachments/?schemacode=D1483577de63ede327d4760b10664bd57671d7e&amp;bizObjectId=ee8657ab-e932-46c2-a895-319a86544f8d&amp;name=F0000046","点击查看")</f>
        <v>0</v>
      </c>
      <c r="M258" s="2" t="inlineStr">
        <is>
          <t>无</t>
        </is>
      </c>
      <c r="N258" s="2" t="inlineStr">
        <is>
          <t>每日工作;每周工作;每月工作;每季度/阶段性工作;临时/突发工作</t>
        </is>
      </c>
      <c r="O258" s="2" t="inlineStr">
        <is>
          <t>46岁及以上</t>
        </is>
      </c>
      <c r="P258" s="2" t="inlineStr">
        <is>
          <t>C.已婚已育</t>
        </is>
      </c>
      <c r="Q258" s="2" t="inlineStr">
        <is>
          <t>C.是，主要照护老人</t>
        </is>
      </c>
      <c r="R258" s="2" t="inlineStr">
        <is>
          <t>A.否</t>
        </is>
      </c>
      <c r="S258" s="2" t="inlineStr">
        <is>
          <t>C.希望工作压力适中，但职责边界更清晰</t>
        </is>
      </c>
      <c r="T258" s="2" t="inlineStr">
        <is>
          <t>B.工作内容可接受，但负荷偏重</t>
        </is>
      </c>
      <c r="U258" s="2" t="inlineStr">
        <is>
          <t>A.减少重复性事务</t>
        </is>
      </c>
      <c r="V258" s="2" t="inlineStr">
        <is>
          <t>A.没有</t>
        </is>
      </c>
      <c r="W258" s="2"/>
      <c r="X258" s="2" t="inlineStr">
        <is>
          <t>C.均衡 (80%-100%)</t>
        </is>
      </c>
      <c r="Y258" s="2" t="inlineStr">
        <is>
          <t>E.项目服务按照项目作息考勤制加班;E.临时差旅、突发事件、会议加班</t>
        </is>
      </c>
      <c r="Z258" s="2" t="inlineStr">
        <is>
          <t>催办</t>
        </is>
      </c>
      <c r="AA258" s="2" t="inlineStr">
        <is>
          <t>催办</t>
        </is>
      </c>
      <c r="AB258" s="2" t="inlineStr">
        <is>
          <t>外部联络</t>
        </is>
      </c>
      <c r="AC258" s="2" t="inlineStr">
        <is>
          <t>A.高度匹配（得心应手）</t>
        </is>
      </c>
      <c r="AD258" s="2" t="inlineStr">
        <is>
          <t>无</t>
        </is>
      </c>
      <c r="AE258" s="2"/>
      <c r="AF258" s="2"/>
      <c r="AG258" s="2" t="inlineStr">
        <is>
          <t>D.配偶不是公司家属</t>
        </is>
      </c>
      <c r="AH258" s="2"/>
      <c r="AI258" s="7" t="n">
        <v>2.31</v>
      </c>
      <c r="AJ258" s="7" t="n">
        <v>4.29</v>
      </c>
      <c r="AK258" s="7" t="n">
        <v>0.8</v>
      </c>
      <c r="AL258" s="7" t="n">
        <v>0.8</v>
      </c>
      <c r="AM258" s="7" t="n">
        <v>1.36</v>
      </c>
      <c r="AN258" s="7" t="n">
        <v>2</v>
      </c>
      <c r="AO258" s="7" t="n">
        <v>0.2</v>
      </c>
      <c r="AP258" s="7" t="n">
        <v>0.25</v>
      </c>
      <c r="AQ258" s="7" t="n">
        <v>0.29</v>
      </c>
      <c r="AR258" s="7" t="n">
        <v>0.9</v>
      </c>
      <c r="AS258" s="7" t="n">
        <v>4.97</v>
      </c>
      <c r="AT258" s="7" t="n">
        <v>8.25</v>
      </c>
      <c r="AU258" s="7" t="n">
        <v>6.61</v>
      </c>
      <c r="AV258" s="2" t="inlineStr">
        <is>
          <t>均衡</t>
        </is>
      </c>
      <c r="AW258" s="2" t="inlineStr">
        <is>
          <t>一致</t>
        </is>
      </c>
      <c r="AX258" s="2" t="inlineStr">
        <is>
          <t>ee8657ab-e932-46c2-a895-319a86544f8d</t>
        </is>
      </c>
      <c r="AY258" s="2" t="inlineStr">
        <is>
          <t>物资部    冯艳兰</t>
        </is>
      </c>
      <c r="AZ258" s="2" t="inlineStr">
        <is>
          <t>Anonymous</t>
        </is>
      </c>
      <c r="BA258" s="2" t="inlineStr">
        <is>
          <t>Anonymous</t>
        </is>
      </c>
      <c r="BB258" s="2"/>
      <c r="BC258" s="2" t="inlineStr">
        <is>
          <t>2026-05-21 08:43:22</t>
        </is>
      </c>
      <c r="BD258" s="3" t="n">
        <v>1975</v>
      </c>
      <c r="BE258" s="3" t="n">
        <v>51</v>
      </c>
      <c r="BF258" s="2" t="inlineStr">
        <is>
          <t>A.无此需求</t>
        </is>
      </c>
      <c r="BG258" s="2" t="inlineStr">
        <is>
          <t>已生效</t>
        </is>
      </c>
      <c r="BH258" s="2" t="inlineStr">
        <is>
          <t>12509ee8-1688-487a-b91a-e68c06b3db25</t>
        </is>
      </c>
      <c r="BI258" s="3" t="n">
        <v>1</v>
      </c>
      <c r="BJ258" s="2"/>
      <c r="BK258" s="2"/>
      <c r="BL258" s="2"/>
      <c r="BM258" s="2"/>
      <c r="BN258" s="2"/>
      <c r="BO258" s="2"/>
      <c r="BP258" s="2"/>
      <c r="BQ258" s="2"/>
      <c r="BR258" s="2"/>
      <c r="BS258" s="2" t="inlineStr">
        <is>
          <t>67bc4ecb-c69c-4d1c-a443-f527d54c02b7</t>
        </is>
      </c>
      <c r="BT258" s="3" t="n">
        <v>1</v>
      </c>
      <c r="BU258" s="2" t="inlineStr">
        <is>
          <t>数据报表类</t>
        </is>
      </c>
      <c r="BV258" s="2" t="inlineStr">
        <is>
          <t>每日1#子站巡视审核</t>
        </is>
      </c>
      <c r="BW258" s="2" t="inlineStr">
        <is>
          <t>1次</t>
        </is>
      </c>
      <c r="BX258" s="3" t="n">
        <v>1</v>
      </c>
      <c r="BY258" s="3" t="n">
        <v>1</v>
      </c>
      <c r="BZ258" s="2" t="inlineStr">
        <is>
          <t>A.20分钟以内</t>
        </is>
      </c>
      <c r="CA258" s="7" t="n">
        <v>0.33</v>
      </c>
      <c r="CB258" s="7" t="n">
        <v>0.33</v>
      </c>
      <c r="CC258" s="7" t="n">
        <v>0.33</v>
      </c>
      <c r="CD258" s="7" t="n">
        <v>0.33</v>
      </c>
      <c r="CE258" s="2" t="inlineStr">
        <is>
          <t>数据报表类</t>
        </is>
      </c>
      <c r="CF258" s="2"/>
      <c r="CG258" s="2" t="inlineStr">
        <is>
          <t>专项统计</t>
        </is>
      </c>
      <c r="CH258" s="2" t="inlineStr">
        <is>
          <t>岗位职责</t>
        </is>
      </c>
      <c r="CI258" s="2" t="inlineStr">
        <is>
          <t>重要且紧急</t>
        </is>
      </c>
      <c r="CJ258" s="2" t="inlineStr">
        <is>
          <t>高度标准化-有成熟SOP，照做即可</t>
        </is>
      </c>
      <c r="CK258" s="2" t="inlineStr">
        <is>
          <t>极少（&lt;5%）</t>
        </is>
      </c>
      <c r="CL258" s="2" t="inlineStr">
        <is>
          <t>时效/强度负荷</t>
        </is>
      </c>
      <c r="CM258" s="2"/>
      <c r="CN258" s="2" t="inlineStr">
        <is>
          <t>b9159baf-9371-421b-a917-b95e03294170</t>
        </is>
      </c>
      <c r="CO258" s="3" t="n">
        <v>1</v>
      </c>
      <c r="CP258" s="2"/>
      <c r="CQ258" s="2" t="inlineStr">
        <is>
          <t>利华仓库、预制厂用水总表抄表数据汇总分析</t>
        </is>
      </c>
      <c r="CR258" s="2" t="inlineStr">
        <is>
          <t>1次</t>
        </is>
      </c>
      <c r="CS258" s="3" t="n">
        <v>1</v>
      </c>
      <c r="CT258" s="3" t="n">
        <v>1</v>
      </c>
      <c r="CU258" s="2" t="inlineStr">
        <is>
          <t>B.2小时以内</t>
        </is>
      </c>
      <c r="CV258" s="7" t="n">
        <v>2</v>
      </c>
      <c r="CW258" s="7" t="n">
        <v>2</v>
      </c>
      <c r="CX258" s="7" t="n">
        <v>2</v>
      </c>
      <c r="CY258" s="7" t="n">
        <v>2</v>
      </c>
      <c r="CZ258" s="2" t="inlineStr">
        <is>
          <t>专业技术类</t>
        </is>
      </c>
      <c r="DA258" s="2"/>
      <c r="DB258" s="2" t="inlineStr">
        <is>
          <t>专业问题协调</t>
        </is>
      </c>
      <c r="DC258" s="2" t="inlineStr">
        <is>
          <t>岗位职责</t>
        </is>
      </c>
      <c r="DD258" s="2" t="inlineStr">
        <is>
          <t>重要不紧急</t>
        </is>
      </c>
      <c r="DE258" s="2" t="inlineStr">
        <is>
          <t>半标准化-有流程框架，需专业经验</t>
        </is>
      </c>
      <c r="DF258" s="2" t="inlineStr">
        <is>
          <t>极少（&lt;5%）</t>
        </is>
      </c>
      <c r="DG258" s="2" t="inlineStr">
        <is>
          <t>沟通/协调负荷</t>
        </is>
      </c>
      <c r="DH258" s="2"/>
      <c r="DI258" s="2" t="inlineStr">
        <is>
          <t>ea16cee9-80f8-4b5d-b8a8-109150d4b671</t>
        </is>
      </c>
      <c r="DJ258" s="3" t="n">
        <v>1</v>
      </c>
      <c r="DK258" s="2"/>
      <c r="DL258" s="2" t="inlineStr">
        <is>
          <t>用水用电报表</t>
        </is>
      </c>
      <c r="DM258" s="2" t="inlineStr">
        <is>
          <t>1次</t>
        </is>
      </c>
      <c r="DN258" s="3" t="n">
        <v>1</v>
      </c>
      <c r="DO258" s="3" t="n">
        <v>1</v>
      </c>
      <c r="DP258" s="2" t="inlineStr">
        <is>
          <t>E.8小时以上</t>
        </is>
      </c>
      <c r="DQ258" s="7" t="n">
        <v>8</v>
      </c>
      <c r="DR258" s="7" t="n">
        <v>8</v>
      </c>
      <c r="DS258" s="7" t="n">
        <v>8</v>
      </c>
      <c r="DT258" s="7" t="n">
        <v>8</v>
      </c>
      <c r="DU258" s="2" t="inlineStr">
        <is>
          <t>数据报表类</t>
        </is>
      </c>
      <c r="DV258" s="2"/>
      <c r="DW258" s="2" t="inlineStr">
        <is>
          <t>专项统计</t>
        </is>
      </c>
      <c r="DX258" s="2" t="inlineStr">
        <is>
          <t>岗位职责</t>
        </is>
      </c>
      <c r="DY258" s="2" t="inlineStr">
        <is>
          <t>重要且紧急</t>
        </is>
      </c>
      <c r="DZ258" s="2" t="inlineStr">
        <is>
          <t>半标准化-有流程框架，需专业经验</t>
        </is>
      </c>
      <c r="EA258" s="2" t="inlineStr">
        <is>
          <t>极少（&lt;5%）</t>
        </is>
      </c>
      <c r="EB258" s="2" t="inlineStr">
        <is>
          <t>沟通/协调负荷</t>
        </is>
      </c>
      <c r="EC258" s="2"/>
      <c r="ED258" s="2" t="inlineStr">
        <is>
          <t>812c0eb4-79cb-45b2-9b66-6c47b321a5d2</t>
        </is>
      </c>
      <c r="EE258" s="3" t="n">
        <v>1</v>
      </c>
      <c r="EF258" s="2"/>
      <c r="EG258" s="2" t="inlineStr">
        <is>
          <t>公司房屋建筑、场地使用</t>
        </is>
      </c>
      <c r="EH258" s="2" t="inlineStr">
        <is>
          <t>3次及以上</t>
        </is>
      </c>
      <c r="EI258" s="3" t="n">
        <v>3</v>
      </c>
      <c r="EJ258" s="2" t="inlineStr">
        <is>
          <t>B.2小时以内</t>
        </is>
      </c>
      <c r="EK258" s="7" t="n">
        <v>2</v>
      </c>
      <c r="EL258" s="7" t="n">
        <v>2</v>
      </c>
      <c r="EM258" s="7" t="n">
        <v>6</v>
      </c>
      <c r="EN258" s="7" t="n">
        <v>6</v>
      </c>
      <c r="EO258" s="2" t="inlineStr">
        <is>
          <t>协调沟通类</t>
        </is>
      </c>
      <c r="EP258" s="2"/>
      <c r="EQ258" s="2" t="inlineStr">
        <is>
          <t>接口协调</t>
        </is>
      </c>
      <c r="ER258" s="2" t="inlineStr">
        <is>
          <t>上级指令</t>
        </is>
      </c>
      <c r="ES258" s="2" t="inlineStr">
        <is>
          <t>重要不紧急</t>
        </is>
      </c>
      <c r="ET258" s="2" t="inlineStr">
        <is>
          <t>非标准化-无先例参考，需创新协调</t>
        </is>
      </c>
      <c r="EU258" s="2" t="inlineStr">
        <is>
          <t>极少（&lt;5%）</t>
        </is>
      </c>
      <c r="EV258" s="2" t="inlineStr">
        <is>
          <t>沟通/协调负荷</t>
        </is>
      </c>
      <c r="EW258" s="2"/>
      <c r="EX258" s="2" t="inlineStr">
        <is>
          <t>beda14f6-c92c-4146-ac19-38070876a6fb</t>
        </is>
      </c>
      <c r="EY258" s="3" t="n">
        <v>1</v>
      </c>
      <c r="EZ258" s="2"/>
      <c r="FA258" s="2" t="inlineStr">
        <is>
          <t>基地场所用水漏水等</t>
        </is>
      </c>
      <c r="FB258" s="2" t="inlineStr">
        <is>
          <t>每季1-2次</t>
        </is>
      </c>
      <c r="FC258" s="2" t="inlineStr">
        <is>
          <t>季</t>
        </is>
      </c>
      <c r="FD258" s="3" t="n">
        <v>1</v>
      </c>
      <c r="FE258" s="3" t="n">
        <v>2</v>
      </c>
      <c r="FF258" s="2" t="inlineStr">
        <is>
          <t>D.4-8小时</t>
        </is>
      </c>
      <c r="FG258" s="7" t="n">
        <v>4</v>
      </c>
      <c r="FH258" s="7" t="n">
        <v>8</v>
      </c>
      <c r="FI258" s="7" t="n">
        <v>0</v>
      </c>
      <c r="FJ258" s="7" t="n">
        <v>0</v>
      </c>
      <c r="FK258" s="7" t="n">
        <v>4</v>
      </c>
      <c r="FL258" s="7" t="n">
        <v>16</v>
      </c>
      <c r="FM258" s="7" t="n">
        <v>0</v>
      </c>
      <c r="FN258" s="7" t="n">
        <v>0</v>
      </c>
      <c r="FO258" s="2" t="inlineStr">
        <is>
          <t>专业技术类</t>
        </is>
      </c>
      <c r="FP258" s="2"/>
      <c r="FQ258" s="2" t="inlineStr">
        <is>
          <t>专业问题协调</t>
        </is>
      </c>
      <c r="FR258" s="2" t="inlineStr">
        <is>
          <t>岗位职责</t>
        </is>
      </c>
      <c r="FS258" s="2" t="inlineStr">
        <is>
          <t>重要且紧急</t>
        </is>
      </c>
      <c r="FT258" s="2" t="inlineStr">
        <is>
          <t>半标准化-有流程框架，需专业经验</t>
        </is>
      </c>
      <c r="FU258" s="2" t="inlineStr">
        <is>
          <t>极少（&lt;5%）</t>
        </is>
      </c>
      <c r="FV258" s="2" t="inlineStr">
        <is>
          <t>沟通/协调负荷</t>
        </is>
      </c>
      <c r="FW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t="inlineStr">
        <is>
          <t>183dd492-3f5e-4a9e-8d8b-1fe674d94fb6</t>
        </is>
      </c>
      <c r="BT259" s="3" t="n">
        <v>2</v>
      </c>
      <c r="BU259" s="2" t="inlineStr">
        <is>
          <t>数据报表类</t>
        </is>
      </c>
      <c r="BV259" s="2" t="inlineStr">
        <is>
          <t>每日中心站及箱变内表计抄表审核</t>
        </is>
      </c>
      <c r="BW259" s="2" t="inlineStr">
        <is>
          <t>2-5次</t>
        </is>
      </c>
      <c r="BX259" s="3" t="n">
        <v>2</v>
      </c>
      <c r="BY259" s="3" t="n">
        <v>5</v>
      </c>
      <c r="BZ259" s="2" t="inlineStr">
        <is>
          <t>A.20分钟以内</t>
        </is>
      </c>
      <c r="CA259" s="7" t="n">
        <v>0.33</v>
      </c>
      <c r="CB259" s="7" t="n">
        <v>0.33</v>
      </c>
      <c r="CC259" s="7" t="n">
        <v>0.66</v>
      </c>
      <c r="CD259" s="7" t="n">
        <v>1.65</v>
      </c>
      <c r="CE259" s="2" t="inlineStr">
        <is>
          <t>数据报表类</t>
        </is>
      </c>
      <c r="CF259" s="2"/>
      <c r="CG259" s="2" t="inlineStr">
        <is>
          <t>专项统计</t>
        </is>
      </c>
      <c r="CH259" s="2" t="inlineStr">
        <is>
          <t>上级指令</t>
        </is>
      </c>
      <c r="CI259" s="2" t="inlineStr">
        <is>
          <t>紧急不重要</t>
        </is>
      </c>
      <c r="CJ259" s="2" t="inlineStr">
        <is>
          <t>半标准化-有流程框架，需专业经验</t>
        </is>
      </c>
      <c r="CK259" s="2" t="inlineStr">
        <is>
          <t>极少（&lt;5%）</t>
        </is>
      </c>
      <c r="CL259" s="2" t="inlineStr">
        <is>
          <t>时效/强度负荷</t>
        </is>
      </c>
      <c r="CM259" s="2"/>
      <c r="CN259" s="2" t="inlineStr">
        <is>
          <t>baaab245-4205-4c72-99b1-e6ed740eddf9</t>
        </is>
      </c>
      <c r="CO259" s="3" t="n">
        <v>2</v>
      </c>
      <c r="CP259" s="2"/>
      <c r="CQ259" s="2" t="inlineStr">
        <is>
          <t>基地配电箱用电检查审核</t>
        </is>
      </c>
      <c r="CR259" s="2" t="inlineStr">
        <is>
          <t>1次</t>
        </is>
      </c>
      <c r="CS259" s="3" t="n">
        <v>1</v>
      </c>
      <c r="CT259" s="3" t="n">
        <v>1</v>
      </c>
      <c r="CU259" s="2" t="inlineStr">
        <is>
          <t>B.2小时以内</t>
        </is>
      </c>
      <c r="CV259" s="7" t="n">
        <v>2</v>
      </c>
      <c r="CW259" s="7" t="n">
        <v>2</v>
      </c>
      <c r="CX259" s="7" t="n">
        <v>2</v>
      </c>
      <c r="CY259" s="7" t="n">
        <v>2</v>
      </c>
      <c r="CZ259" s="2" t="inlineStr">
        <is>
          <t>专业技术类</t>
        </is>
      </c>
      <c r="DA259" s="2"/>
      <c r="DB259" s="2" t="inlineStr">
        <is>
          <t>专业问题协调</t>
        </is>
      </c>
      <c r="DC259" s="2" t="inlineStr">
        <is>
          <t>岗位职责</t>
        </is>
      </c>
      <c r="DD259" s="2" t="inlineStr">
        <is>
          <t>重要不紧急</t>
        </is>
      </c>
      <c r="DE259" s="2" t="inlineStr">
        <is>
          <t>半标准化-有流程框架，需专业经验</t>
        </is>
      </c>
      <c r="DF259" s="2" t="inlineStr">
        <is>
          <t>极少（&lt;5%）</t>
        </is>
      </c>
      <c r="DG259" s="2" t="inlineStr">
        <is>
          <t>沟通/协调负荷</t>
        </is>
      </c>
      <c r="DH259" s="2"/>
      <c r="DI259" s="2" t="inlineStr">
        <is>
          <t>448511a8-7be0-44d5-a625-4e5dc0d280b5</t>
        </is>
      </c>
      <c r="DJ259" s="3" t="n">
        <v>2</v>
      </c>
      <c r="DK259" s="2"/>
      <c r="DL259" s="2" t="inlineStr">
        <is>
          <t>用水用电费用</t>
        </is>
      </c>
      <c r="DM259" s="2" t="inlineStr">
        <is>
          <t>1次</t>
        </is>
      </c>
      <c r="DN259" s="3" t="n">
        <v>1</v>
      </c>
      <c r="DO259" s="3" t="n">
        <v>1</v>
      </c>
      <c r="DP259" s="2" t="inlineStr">
        <is>
          <t>D.4-8小时</t>
        </is>
      </c>
      <c r="DQ259" s="7" t="n">
        <v>4</v>
      </c>
      <c r="DR259" s="7" t="n">
        <v>8</v>
      </c>
      <c r="DS259" s="7" t="n">
        <v>4</v>
      </c>
      <c r="DT259" s="7" t="n">
        <v>8</v>
      </c>
      <c r="DU259" s="2" t="inlineStr">
        <is>
          <t>流程审批类</t>
        </is>
      </c>
      <c r="DV259" s="2"/>
      <c r="DW259" s="2" t="inlineStr">
        <is>
          <t>付款审批</t>
        </is>
      </c>
      <c r="DX259" s="2" t="inlineStr">
        <is>
          <t>跨部门协同</t>
        </is>
      </c>
      <c r="DY259" s="2" t="inlineStr">
        <is>
          <t>重要不紧急</t>
        </is>
      </c>
      <c r="DZ259" s="2" t="inlineStr">
        <is>
          <t>半标准化-有流程框架，需专业经验</t>
        </is>
      </c>
      <c r="EA259" s="2" t="inlineStr">
        <is>
          <t>极少（&lt;5%）</t>
        </is>
      </c>
      <c r="EB259" s="2" t="inlineStr">
        <is>
          <t>沟通/协调负荷</t>
        </is>
      </c>
      <c r="EC259" s="2"/>
      <c r="ED259" s="2" t="inlineStr">
        <is>
          <t>f4a7967b-af7d-444e-839c-69ea003f7472</t>
        </is>
      </c>
      <c r="EE259" s="3" t="n">
        <v>2</v>
      </c>
      <c r="EF259" s="2"/>
      <c r="EG259" s="2" t="inlineStr">
        <is>
          <t>承装（修、试）电力设施许可证相关事宜</t>
        </is>
      </c>
      <c r="EH259" s="2" t="inlineStr">
        <is>
          <t>1次</t>
        </is>
      </c>
      <c r="EI259" s="3" t="n">
        <v>1</v>
      </c>
      <c r="EJ259" s="2" t="inlineStr">
        <is>
          <t>E.8小时以上</t>
        </is>
      </c>
      <c r="EK259" s="7" t="n">
        <v>8</v>
      </c>
      <c r="EL259" s="7" t="n">
        <v>8</v>
      </c>
      <c r="EM259" s="7" t="n">
        <v>8</v>
      </c>
      <c r="EN259" s="7" t="n">
        <v>8</v>
      </c>
      <c r="EO259" s="2" t="inlineStr">
        <is>
          <t>专业技术类</t>
        </is>
      </c>
      <c r="EP259" s="2"/>
      <c r="EQ259" s="2" t="inlineStr">
        <is>
          <t>专业问题协调</t>
        </is>
      </c>
      <c r="ER259" s="2" t="inlineStr">
        <is>
          <t>岗位职责</t>
        </is>
      </c>
      <c r="ES259" s="2" t="inlineStr">
        <is>
          <t>重要且紧急</t>
        </is>
      </c>
      <c r="ET259" s="2" t="inlineStr">
        <is>
          <t>半标准化-有流程框架，需专业经验</t>
        </is>
      </c>
      <c r="EU259" s="2" t="inlineStr">
        <is>
          <t>极少（&lt;5%）</t>
        </is>
      </c>
      <c r="EV259" s="2" t="inlineStr">
        <is>
          <t>沟通/协调负荷</t>
        </is>
      </c>
      <c r="EW259" s="2"/>
      <c r="EX259" s="2" t="inlineStr">
        <is>
          <t>6dace888-cff3-481f-a075-7bb3744f164e</t>
        </is>
      </c>
      <c r="EY259" s="3" t="n">
        <v>2</v>
      </c>
      <c r="EZ259" s="2"/>
      <c r="FA259" s="2" t="inlineStr">
        <is>
          <t>基地场所用电停电等</t>
        </is>
      </c>
      <c r="FB259" s="2" t="inlineStr">
        <is>
          <t>每季1-2次</t>
        </is>
      </c>
      <c r="FC259" s="2" t="inlineStr">
        <is>
          <t>季</t>
        </is>
      </c>
      <c r="FD259" s="3" t="n">
        <v>1</v>
      </c>
      <c r="FE259" s="3" t="n">
        <v>2</v>
      </c>
      <c r="FF259" s="2" t="inlineStr">
        <is>
          <t>D.4-8小时</t>
        </is>
      </c>
      <c r="FG259" s="7" t="n">
        <v>4</v>
      </c>
      <c r="FH259" s="7" t="n">
        <v>8</v>
      </c>
      <c r="FI259" s="7" t="n">
        <v>0</v>
      </c>
      <c r="FJ259" s="7" t="n">
        <v>0</v>
      </c>
      <c r="FK259" s="7" t="n">
        <v>4</v>
      </c>
      <c r="FL259" s="7" t="n">
        <v>16</v>
      </c>
      <c r="FM259" s="7" t="n">
        <v>0</v>
      </c>
      <c r="FN259" s="7" t="n">
        <v>0</v>
      </c>
      <c r="FO259" s="2" t="inlineStr">
        <is>
          <t>专业技术类</t>
        </is>
      </c>
      <c r="FP259" s="2"/>
      <c r="FQ259" s="2" t="inlineStr">
        <is>
          <t>专业问题协调</t>
        </is>
      </c>
      <c r="FR259" s="2" t="inlineStr">
        <is>
          <t>岗位职责</t>
        </is>
      </c>
      <c r="FS259" s="2" t="inlineStr">
        <is>
          <t>重要且紧急</t>
        </is>
      </c>
      <c r="FT259" s="2" t="inlineStr">
        <is>
          <t>半标准化-有流程框架，需专业经验</t>
        </is>
      </c>
      <c r="FU259" s="2" t="inlineStr">
        <is>
          <t>极少（&lt;5%）</t>
        </is>
      </c>
      <c r="FV259" s="2" t="inlineStr">
        <is>
          <t>沟通/协调负荷</t>
        </is>
      </c>
      <c r="FW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t="inlineStr">
        <is>
          <t>24acfbe3-2b3c-49f2-82ce-19ca4fddbd26</t>
        </is>
      </c>
      <c r="BT260" s="3" t="n">
        <v>3</v>
      </c>
      <c r="BU260" s="2" t="inlineStr">
        <is>
          <t>数据报表类</t>
        </is>
      </c>
      <c r="BV260" s="2" t="inlineStr">
        <is>
          <t>每日1#子站低压表抄表审核</t>
        </is>
      </c>
      <c r="BW260" s="2" t="inlineStr">
        <is>
          <t>2-5次</t>
        </is>
      </c>
      <c r="BX260" s="3" t="n">
        <v>2</v>
      </c>
      <c r="BY260" s="3" t="n">
        <v>5</v>
      </c>
      <c r="BZ260" s="2" t="inlineStr">
        <is>
          <t>A.20分钟以内</t>
        </is>
      </c>
      <c r="CA260" s="7" t="n">
        <v>0.33</v>
      </c>
      <c r="CB260" s="7" t="n">
        <v>0.33</v>
      </c>
      <c r="CC260" s="7" t="n">
        <v>0.66</v>
      </c>
      <c r="CD260" s="7" t="n">
        <v>1.65</v>
      </c>
      <c r="CE260" s="2" t="inlineStr">
        <is>
          <t>数据报表类</t>
        </is>
      </c>
      <c r="CF260" s="2"/>
      <c r="CG260" s="2" t="inlineStr">
        <is>
          <t>专项统计</t>
        </is>
      </c>
      <c r="CH260" s="2" t="inlineStr">
        <is>
          <t>上级指令</t>
        </is>
      </c>
      <c r="CI260" s="2" t="inlineStr">
        <is>
          <t>紧急不重要</t>
        </is>
      </c>
      <c r="CJ260" s="2" t="inlineStr">
        <is>
          <t>半标准化-有流程框架，需专业经验</t>
        </is>
      </c>
      <c r="CK260" s="2" t="inlineStr">
        <is>
          <t>极少（&lt;5%）</t>
        </is>
      </c>
      <c r="CL260" s="2" t="inlineStr">
        <is>
          <t>时效/强度负荷</t>
        </is>
      </c>
      <c r="CM260" s="2"/>
      <c r="CN260" s="2"/>
      <c r="CO260" s="2"/>
      <c r="CP260" s="2"/>
      <c r="CQ260" s="2"/>
      <c r="CR260" s="2"/>
      <c r="CS260" s="2"/>
      <c r="CT260" s="2"/>
      <c r="CU260" s="2"/>
      <c r="CV260" s="2"/>
      <c r="CW260" s="2"/>
      <c r="CX260" s="2"/>
      <c r="CY260" s="2"/>
      <c r="CZ260" s="2"/>
      <c r="DA260" s="2"/>
      <c r="DB260" s="2"/>
      <c r="DC260" s="2"/>
      <c r="DD260" s="2"/>
      <c r="DE260" s="2"/>
      <c r="DF260" s="2"/>
      <c r="DG260" s="2"/>
      <c r="DH260" s="2"/>
      <c r="DI260" s="2" t="inlineStr">
        <is>
          <t>8c5695f3-3fec-4216-a853-b7b8d7f05311</t>
        </is>
      </c>
      <c r="DJ260" s="3" t="n">
        <v>3</v>
      </c>
      <c r="DK260" s="2"/>
      <c r="DL260" s="2" t="inlineStr">
        <is>
          <t>基地用水用电场所巡视</t>
        </is>
      </c>
      <c r="DM260" s="2" t="inlineStr">
        <is>
          <t>1次</t>
        </is>
      </c>
      <c r="DN260" s="3" t="n">
        <v>1</v>
      </c>
      <c r="DO260" s="3" t="n">
        <v>1</v>
      </c>
      <c r="DP260" s="2" t="inlineStr">
        <is>
          <t>C.2-4小时</t>
        </is>
      </c>
      <c r="DQ260" s="7" t="n">
        <v>2</v>
      </c>
      <c r="DR260" s="7" t="n">
        <v>4</v>
      </c>
      <c r="DS260" s="7" t="n">
        <v>2</v>
      </c>
      <c r="DT260" s="7" t="n">
        <v>4</v>
      </c>
      <c r="DU260" s="2" t="inlineStr">
        <is>
          <t>专业技术类</t>
        </is>
      </c>
      <c r="DV260" s="2"/>
      <c r="DW260" s="2" t="inlineStr">
        <is>
          <t>专业问题协调</t>
        </is>
      </c>
      <c r="DX260" s="2" t="inlineStr">
        <is>
          <t>岗位职责</t>
        </is>
      </c>
      <c r="DY260" s="2" t="inlineStr">
        <is>
          <t>重要且紧急</t>
        </is>
      </c>
      <c r="DZ260" s="2" t="inlineStr">
        <is>
          <t>半标准化-有流程框架，需专业经验</t>
        </is>
      </c>
      <c r="EA260" s="2" t="inlineStr">
        <is>
          <t>极少（&lt;5%）</t>
        </is>
      </c>
      <c r="EB260" s="2" t="inlineStr">
        <is>
          <t>沟通/协调负荷</t>
        </is>
      </c>
      <c r="EC260" s="2"/>
      <c r="ED260" s="2" t="inlineStr">
        <is>
          <t>155326c4-8cae-4386-b23b-6755011759a1</t>
        </is>
      </c>
      <c r="EE260" s="3" t="n">
        <v>3</v>
      </c>
      <c r="EF260" s="2"/>
      <c r="EG260" s="2" t="inlineStr">
        <is>
          <t>特种作业进网作业电工类人员培训</t>
        </is>
      </c>
      <c r="EH260" s="2" t="inlineStr">
        <is>
          <t>3次及以上</t>
        </is>
      </c>
      <c r="EI260" s="3" t="n">
        <v>3</v>
      </c>
      <c r="EJ260" s="2" t="inlineStr">
        <is>
          <t>E.8小时以上</t>
        </is>
      </c>
      <c r="EK260" s="7" t="n">
        <v>8</v>
      </c>
      <c r="EL260" s="7" t="n">
        <v>8</v>
      </c>
      <c r="EM260" s="7" t="n">
        <v>24</v>
      </c>
      <c r="EN260" s="7" t="n">
        <v>24</v>
      </c>
      <c r="EO260" s="2" t="inlineStr">
        <is>
          <t>行政事务类</t>
        </is>
      </c>
      <c r="EP260" s="2"/>
      <c r="EQ260" s="2" t="inlineStr">
        <is>
          <t>会议安排</t>
        </is>
      </c>
      <c r="ER260" s="2" t="inlineStr">
        <is>
          <t>岗位职责</t>
        </is>
      </c>
      <c r="ES260" s="2" t="inlineStr">
        <is>
          <t>重要不紧急</t>
        </is>
      </c>
      <c r="ET260" s="2" t="inlineStr">
        <is>
          <t>半标准化-有流程框架，需专业经验</t>
        </is>
      </c>
      <c r="EU260" s="2" t="inlineStr">
        <is>
          <t>极少（&lt;5%）</t>
        </is>
      </c>
      <c r="EV260" s="2" t="inlineStr">
        <is>
          <t>沟通/协调负荷</t>
        </is>
      </c>
      <c r="EW260" s="2"/>
      <c r="EX260" s="2" t="inlineStr">
        <is>
          <t>aa9852e4-8048-49b8-bc8e-28e6bd6e2d73</t>
        </is>
      </c>
      <c r="EY260" s="3" t="n">
        <v>3</v>
      </c>
      <c r="EZ260" s="2"/>
      <c r="FA260" s="2" t="inlineStr">
        <is>
          <t>及时处理高压线路引发的停电，并实施变电所高低压开关拉合操作</t>
        </is>
      </c>
      <c r="FB260" s="2" t="inlineStr">
        <is>
          <t>每季1-2次</t>
        </is>
      </c>
      <c r="FC260" s="2" t="inlineStr">
        <is>
          <t>季</t>
        </is>
      </c>
      <c r="FD260" s="3" t="n">
        <v>1</v>
      </c>
      <c r="FE260" s="3" t="n">
        <v>2</v>
      </c>
      <c r="FF260" s="2" t="inlineStr">
        <is>
          <t>C.2-4小时</t>
        </is>
      </c>
      <c r="FG260" s="7" t="n">
        <v>2</v>
      </c>
      <c r="FH260" s="7" t="n">
        <v>4</v>
      </c>
      <c r="FI260" s="7" t="n">
        <v>0</v>
      </c>
      <c r="FJ260" s="7" t="n">
        <v>0</v>
      </c>
      <c r="FK260" s="7" t="n">
        <v>2</v>
      </c>
      <c r="FL260" s="7" t="n">
        <v>8</v>
      </c>
      <c r="FM260" s="7" t="n">
        <v>0</v>
      </c>
      <c r="FN260" s="7" t="n">
        <v>0</v>
      </c>
      <c r="FO260" s="2" t="inlineStr">
        <is>
          <t>专业技术类</t>
        </is>
      </c>
      <c r="FP260" s="2"/>
      <c r="FQ260" s="2" t="inlineStr">
        <is>
          <t>专业问题协调</t>
        </is>
      </c>
      <c r="FR260" s="2" t="inlineStr">
        <is>
          <t>岗位职责</t>
        </is>
      </c>
      <c r="FS260" s="2" t="inlineStr">
        <is>
          <t>重要且紧急</t>
        </is>
      </c>
      <c r="FT260" s="2" t="inlineStr">
        <is>
          <t>半标准化-有流程框架，需专业经验</t>
        </is>
      </c>
      <c r="FU260" s="2" t="inlineStr">
        <is>
          <t>极少（&lt;5%）</t>
        </is>
      </c>
      <c r="FV260" s="2" t="inlineStr">
        <is>
          <t>沟通/协调负荷</t>
        </is>
      </c>
      <c r="FW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t="inlineStr">
        <is>
          <t>9570e506-4aae-40a9-bece-8abcae5fc53c</t>
        </is>
      </c>
      <c r="BT261" s="3" t="n">
        <v>4</v>
      </c>
      <c r="BU261" s="2" t="inlineStr">
        <is>
          <t>数据报表类</t>
        </is>
      </c>
      <c r="BV261" s="2" t="inlineStr">
        <is>
          <t>每日2#子站巡视审核</t>
        </is>
      </c>
      <c r="BW261" s="2" t="inlineStr">
        <is>
          <t>1次</t>
        </is>
      </c>
      <c r="BX261" s="3" t="n">
        <v>1</v>
      </c>
      <c r="BY261" s="3" t="n">
        <v>1</v>
      </c>
      <c r="BZ261" s="2" t="inlineStr">
        <is>
          <t>A.20分钟以内</t>
        </is>
      </c>
      <c r="CA261" s="7" t="n">
        <v>0.33</v>
      </c>
      <c r="CB261" s="7" t="n">
        <v>0.33</v>
      </c>
      <c r="CC261" s="7" t="n">
        <v>0.33</v>
      </c>
      <c r="CD261" s="7" t="n">
        <v>0.33</v>
      </c>
      <c r="CE261" s="2" t="inlineStr">
        <is>
          <t>数据报表类</t>
        </is>
      </c>
      <c r="CF261" s="2"/>
      <c r="CG261" s="2" t="inlineStr">
        <is>
          <t>专项统计</t>
        </is>
      </c>
      <c r="CH261" s="2" t="inlineStr">
        <is>
          <t>岗位职责</t>
        </is>
      </c>
      <c r="CI261" s="2" t="inlineStr">
        <is>
          <t>重要且紧急</t>
        </is>
      </c>
      <c r="CJ261" s="2" t="inlineStr">
        <is>
          <t>高度标准化-有成熟SOP，照做即可</t>
        </is>
      </c>
      <c r="CK261" s="2" t="inlineStr">
        <is>
          <t>极少（&lt;5%）</t>
        </is>
      </c>
      <c r="CL261" s="2" t="inlineStr">
        <is>
          <t>时效/强度负荷</t>
        </is>
      </c>
      <c r="CM261" s="2"/>
      <c r="CN261" s="2"/>
      <c r="CO261" s="2"/>
      <c r="CP261" s="2"/>
      <c r="CQ261" s="2"/>
      <c r="CR261" s="2"/>
      <c r="CS261" s="2"/>
      <c r="CT261" s="2"/>
      <c r="CU261" s="2"/>
      <c r="CV261" s="2"/>
      <c r="CW261" s="2"/>
      <c r="CX261" s="2"/>
      <c r="CY261" s="2"/>
      <c r="CZ261" s="2"/>
      <c r="DA261" s="2"/>
      <c r="DB261" s="2"/>
      <c r="DC261" s="2"/>
      <c r="DD261" s="2"/>
      <c r="DE261" s="2"/>
      <c r="DF261" s="2"/>
      <c r="DG261" s="2"/>
      <c r="DH261" s="2"/>
      <c r="DI261" s="2" t="inlineStr">
        <is>
          <t>24be8948-00e0-420a-bc32-245f9de388cb</t>
        </is>
      </c>
      <c r="DJ261" s="3" t="n">
        <v>4</v>
      </c>
      <c r="DK261" s="2"/>
      <c r="DL261" s="2" t="inlineStr">
        <is>
          <t>基地各处水电计量器具检查及更换</t>
        </is>
      </c>
      <c r="DM261" s="2" t="inlineStr">
        <is>
          <t>1次</t>
        </is>
      </c>
      <c r="DN261" s="3" t="n">
        <v>1</v>
      </c>
      <c r="DO261" s="3" t="n">
        <v>1</v>
      </c>
      <c r="DP261" s="2" t="inlineStr">
        <is>
          <t>D.4-8小时</t>
        </is>
      </c>
      <c r="DQ261" s="7" t="n">
        <v>4</v>
      </c>
      <c r="DR261" s="7" t="n">
        <v>8</v>
      </c>
      <c r="DS261" s="7" t="n">
        <v>4</v>
      </c>
      <c r="DT261" s="7" t="n">
        <v>8</v>
      </c>
      <c r="DU261" s="2" t="inlineStr">
        <is>
          <t>专业技术类</t>
        </is>
      </c>
      <c r="DV261" s="2"/>
      <c r="DW261" s="2" t="inlineStr">
        <is>
          <t>专业问题协调</t>
        </is>
      </c>
      <c r="DX261" s="2" t="inlineStr">
        <is>
          <t>岗位职责</t>
        </is>
      </c>
      <c r="DY261" s="2" t="inlineStr">
        <is>
          <t>重要且紧急</t>
        </is>
      </c>
      <c r="DZ261" s="2" t="inlineStr">
        <is>
          <t>半标准化-有流程框架，需专业经验</t>
        </is>
      </c>
      <c r="EA261" s="2" t="inlineStr">
        <is>
          <t>极少（&lt;5%）</t>
        </is>
      </c>
      <c r="EB261" s="2" t="inlineStr">
        <is>
          <t>沟通/协调负荷</t>
        </is>
      </c>
      <c r="EC261" s="2"/>
      <c r="ED261" s="2" t="inlineStr">
        <is>
          <t>f1cfdc27-5635-4ab0-a36f-f300b3c05c6d</t>
        </is>
      </c>
      <c r="EE261" s="3" t="n">
        <v>4</v>
      </c>
      <c r="EF261" s="2"/>
      <c r="EG261" s="2" t="inlineStr">
        <is>
          <t>配合供水节水管理处对远古总水表进行检测核查</t>
        </is>
      </c>
      <c r="EH261" s="2" t="inlineStr">
        <is>
          <t>1次</t>
        </is>
      </c>
      <c r="EI261" s="3" t="n">
        <v>1</v>
      </c>
      <c r="EJ261" s="2" t="inlineStr">
        <is>
          <t>D.4-8小时</t>
        </is>
      </c>
      <c r="EK261" s="7" t="n">
        <v>4</v>
      </c>
      <c r="EL261" s="7" t="n">
        <v>8</v>
      </c>
      <c r="EM261" s="7" t="n">
        <v>4</v>
      </c>
      <c r="EN261" s="7" t="n">
        <v>8</v>
      </c>
      <c r="EO261" s="2" t="inlineStr">
        <is>
          <t>专业技术类</t>
        </is>
      </c>
      <c r="EP261" s="2"/>
      <c r="EQ261" s="2" t="inlineStr">
        <is>
          <t>专业问题协调</t>
        </is>
      </c>
      <c r="ER261" s="2" t="inlineStr">
        <is>
          <t>岗位职责</t>
        </is>
      </c>
      <c r="ES261" s="2" t="inlineStr">
        <is>
          <t>重要不紧急</t>
        </is>
      </c>
      <c r="ET261" s="2" t="inlineStr">
        <is>
          <t>半标准化-有流程框架，需专业经验</t>
        </is>
      </c>
      <c r="EU261" s="2" t="inlineStr">
        <is>
          <t>极少（&lt;5%）</t>
        </is>
      </c>
      <c r="EV261" s="2" t="inlineStr">
        <is>
          <t>沟通/协调负荷</t>
        </is>
      </c>
      <c r="EW261" s="2"/>
      <c r="EX261" s="2" t="inlineStr">
        <is>
          <t>1886257f-ce32-4226-b390-ee4986c55180</t>
        </is>
      </c>
      <c r="EY261" s="3" t="n">
        <v>4</v>
      </c>
      <c r="EZ261" s="2"/>
      <c r="FA261" s="2" t="inlineStr">
        <is>
          <t>公司基地用水用电改造</t>
        </is>
      </c>
      <c r="FB261" s="2" t="inlineStr">
        <is>
          <t>每季1-2次</t>
        </is>
      </c>
      <c r="FC261" s="2" t="inlineStr">
        <is>
          <t>季</t>
        </is>
      </c>
      <c r="FD261" s="3" t="n">
        <v>1</v>
      </c>
      <c r="FE261" s="3" t="n">
        <v>2</v>
      </c>
      <c r="FF261" s="2" t="inlineStr">
        <is>
          <t>E.8小时以上</t>
        </is>
      </c>
      <c r="FG261" s="7" t="n">
        <v>8</v>
      </c>
      <c r="FH261" s="7" t="n">
        <v>8</v>
      </c>
      <c r="FI261" s="7" t="n">
        <v>0</v>
      </c>
      <c r="FJ261" s="7" t="n">
        <v>0</v>
      </c>
      <c r="FK261" s="7" t="n">
        <v>8</v>
      </c>
      <c r="FL261" s="7" t="n">
        <v>16</v>
      </c>
      <c r="FM261" s="7" t="n">
        <v>0</v>
      </c>
      <c r="FN261" s="7" t="n">
        <v>0</v>
      </c>
      <c r="FO261" s="2" t="inlineStr">
        <is>
          <t>专业技术类</t>
        </is>
      </c>
      <c r="FP261" s="2"/>
      <c r="FQ261" s="2" t="inlineStr">
        <is>
          <t>专业问题协调</t>
        </is>
      </c>
      <c r="FR261" s="2" t="inlineStr">
        <is>
          <t>部门计划</t>
        </is>
      </c>
      <c r="FS261" s="2" t="inlineStr">
        <is>
          <t>重要且紧急</t>
        </is>
      </c>
      <c r="FT261" s="2" t="inlineStr">
        <is>
          <t>半标准化-有流程框架，需专业经验</t>
        </is>
      </c>
      <c r="FU261" s="2" t="inlineStr">
        <is>
          <t>极少（&lt;5%）</t>
        </is>
      </c>
      <c r="FV261" s="2" t="inlineStr">
        <is>
          <t>沟通/协调负荷</t>
        </is>
      </c>
      <c r="FW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t="inlineStr">
        <is>
          <t>e56dbe07-4a88-40a3-96f3-8c89ba043ef6</t>
        </is>
      </c>
      <c r="BT262" s="3" t="n">
        <v>5</v>
      </c>
      <c r="BU262" s="2" t="inlineStr">
        <is>
          <t>专业技术类</t>
        </is>
      </c>
      <c r="BV262" s="2" t="inlineStr">
        <is>
          <t>每日值班记录审核</t>
        </is>
      </c>
      <c r="BW262" s="2" t="inlineStr">
        <is>
          <t>1次</t>
        </is>
      </c>
      <c r="BX262" s="3" t="n">
        <v>1</v>
      </c>
      <c r="BY262" s="3" t="n">
        <v>1</v>
      </c>
      <c r="BZ262" s="2" t="inlineStr">
        <is>
          <t>A.20分钟以内</t>
        </is>
      </c>
      <c r="CA262" s="7" t="n">
        <v>0.33</v>
      </c>
      <c r="CB262" s="7" t="n">
        <v>0.33</v>
      </c>
      <c r="CC262" s="7" t="n">
        <v>0.33</v>
      </c>
      <c r="CD262" s="7" t="n">
        <v>0.33</v>
      </c>
      <c r="CE262" s="2" t="inlineStr">
        <is>
          <t>专业技术类</t>
        </is>
      </c>
      <c r="CF262" s="2"/>
      <c r="CG262" s="2" t="inlineStr">
        <is>
          <t>专业问题协调</t>
        </is>
      </c>
      <c r="CH262" s="2" t="inlineStr">
        <is>
          <t>岗位职责</t>
        </is>
      </c>
      <c r="CI262" s="2" t="inlineStr">
        <is>
          <t>重要且紧急</t>
        </is>
      </c>
      <c r="CJ262" s="2" t="inlineStr">
        <is>
          <t>高度标准化-有成熟SOP，照做即可</t>
        </is>
      </c>
      <c r="CK262" s="2" t="inlineStr">
        <is>
          <t>极少（&lt;5%）</t>
        </is>
      </c>
      <c r="CL262" s="2" t="inlineStr">
        <is>
          <t>沟通/协调负荷</t>
        </is>
      </c>
      <c r="CM262" s="2"/>
      <c r="CN262" s="2"/>
      <c r="CO262" s="2"/>
      <c r="CP262" s="2"/>
      <c r="CQ262" s="2"/>
      <c r="CR262" s="2"/>
      <c r="CS262" s="2"/>
      <c r="CT262" s="2"/>
      <c r="CU262" s="2"/>
      <c r="CV262" s="2"/>
      <c r="CW262" s="2"/>
      <c r="CX262" s="2"/>
      <c r="CY262" s="2"/>
      <c r="CZ262" s="2"/>
      <c r="DA262" s="2"/>
      <c r="DB262" s="2"/>
      <c r="DC262" s="2"/>
      <c r="DD262" s="2"/>
      <c r="DE262" s="2"/>
      <c r="DF262" s="2"/>
      <c r="DG262" s="2"/>
      <c r="DH262" s="2"/>
      <c r="DI262" s="2" t="inlineStr">
        <is>
          <t>fc2e42ab-f27d-4c31-b200-d231144fe417</t>
        </is>
      </c>
      <c r="DJ262" s="3" t="n">
        <v>5</v>
      </c>
      <c r="DK262" s="2"/>
      <c r="DL262" s="2" t="inlineStr">
        <is>
          <t>规范基地施工现场用电</t>
        </is>
      </c>
      <c r="DM262" s="2" t="inlineStr">
        <is>
          <t>1次</t>
        </is>
      </c>
      <c r="DN262" s="3" t="n">
        <v>1</v>
      </c>
      <c r="DO262" s="3" t="n">
        <v>1</v>
      </c>
      <c r="DP262" s="2" t="inlineStr">
        <is>
          <t>D.4-8小时</t>
        </is>
      </c>
      <c r="DQ262" s="7" t="n">
        <v>4</v>
      </c>
      <c r="DR262" s="7" t="n">
        <v>8</v>
      </c>
      <c r="DS262" s="7" t="n">
        <v>4</v>
      </c>
      <c r="DT262" s="7" t="n">
        <v>8</v>
      </c>
      <c r="DU262" s="2" t="inlineStr">
        <is>
          <t>专业技术类</t>
        </is>
      </c>
      <c r="DV262" s="2"/>
      <c r="DW262" s="2" t="inlineStr">
        <is>
          <t>专业问题协调</t>
        </is>
      </c>
      <c r="DX262" s="2" t="inlineStr">
        <is>
          <t>岗位职责</t>
        </is>
      </c>
      <c r="DY262" s="2" t="inlineStr">
        <is>
          <t>重要且紧急</t>
        </is>
      </c>
      <c r="DZ262" s="2" t="inlineStr">
        <is>
          <t>半标准化-有流程框架，需专业经验</t>
        </is>
      </c>
      <c r="EA262" s="2" t="inlineStr">
        <is>
          <t>极少（&lt;5%）</t>
        </is>
      </c>
      <c r="EB262" s="2" t="inlineStr">
        <is>
          <t>沟通/协调负荷</t>
        </is>
      </c>
      <c r="EC262" s="2"/>
      <c r="ED262" s="2" t="inlineStr">
        <is>
          <t>6e0576a7-9d2d-4576-a39a-427ef6379db7</t>
        </is>
      </c>
      <c r="EE262" s="3" t="n">
        <v>5</v>
      </c>
      <c r="EF262" s="2"/>
      <c r="EG262" s="2" t="inlineStr">
        <is>
          <t>安排进行基地办公大楼及变电所防雷接地测试</t>
        </is>
      </c>
      <c r="EH262" s="2" t="inlineStr">
        <is>
          <t>1次</t>
        </is>
      </c>
      <c r="EI262" s="3" t="n">
        <v>1</v>
      </c>
      <c r="EJ262" s="2" t="inlineStr">
        <is>
          <t>C.2-4小时</t>
        </is>
      </c>
      <c r="EK262" s="7" t="n">
        <v>2</v>
      </c>
      <c r="EL262" s="7" t="n">
        <v>4</v>
      </c>
      <c r="EM262" s="7" t="n">
        <v>2</v>
      </c>
      <c r="EN262" s="7" t="n">
        <v>4</v>
      </c>
      <c r="EO262" s="2" t="inlineStr">
        <is>
          <t>专业技术类</t>
        </is>
      </c>
      <c r="EP262" s="2"/>
      <c r="EQ262" s="2" t="inlineStr">
        <is>
          <t>专业问题协调</t>
        </is>
      </c>
      <c r="ER262" s="2" t="inlineStr">
        <is>
          <t>岗位职责</t>
        </is>
      </c>
      <c r="ES262" s="2" t="inlineStr">
        <is>
          <t>重要且紧急</t>
        </is>
      </c>
      <c r="ET262" s="2" t="inlineStr">
        <is>
          <t>高度标准化-有成熟SOP，照做即可</t>
        </is>
      </c>
      <c r="EU262" s="2" t="inlineStr">
        <is>
          <t>极少（&lt;5%）</t>
        </is>
      </c>
      <c r="EV262" s="2" t="inlineStr">
        <is>
          <t>责任/风险负荷</t>
        </is>
      </c>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t="inlineStr">
        <is>
          <t>eef82401-874f-4ee9-a2eb-ab57050817f6</t>
        </is>
      </c>
      <c r="DJ263" s="3" t="n">
        <v>6</v>
      </c>
      <c r="DK263" s="2"/>
      <c r="DL263" s="2" t="inlineStr">
        <is>
          <t>每月领取用电用水发票、用电用水详细数据，定期与去年同期数据对比</t>
        </is>
      </c>
      <c r="DM263" s="2" t="inlineStr">
        <is>
          <t>1次</t>
        </is>
      </c>
      <c r="DN263" s="3" t="n">
        <v>1</v>
      </c>
      <c r="DO263" s="3" t="n">
        <v>1</v>
      </c>
      <c r="DP263" s="2" t="inlineStr">
        <is>
          <t>E.8小时以上</t>
        </is>
      </c>
      <c r="DQ263" s="7" t="n">
        <v>8</v>
      </c>
      <c r="DR263" s="7" t="n">
        <v>8</v>
      </c>
      <c r="DS263" s="7" t="n">
        <v>8</v>
      </c>
      <c r="DT263" s="7" t="n">
        <v>8</v>
      </c>
      <c r="DU263" s="2" t="inlineStr">
        <is>
          <t>数据报表类</t>
        </is>
      </c>
      <c r="DV263" s="2"/>
      <c r="DW263" s="2" t="inlineStr">
        <is>
          <t>专项统计</t>
        </is>
      </c>
      <c r="DX263" s="2" t="inlineStr">
        <is>
          <t>岗位职责</t>
        </is>
      </c>
      <c r="DY263" s="2" t="inlineStr">
        <is>
          <t>重要不紧急</t>
        </is>
      </c>
      <c r="DZ263" s="2" t="inlineStr">
        <is>
          <t>高度标准化-有成熟SOP，照做即可</t>
        </is>
      </c>
      <c r="EA263" s="2" t="inlineStr">
        <is>
          <t>极少（&lt;5%）</t>
        </is>
      </c>
      <c r="EB263" s="2" t="inlineStr">
        <is>
          <t>沟通/协调负荷</t>
        </is>
      </c>
      <c r="EC263" s="2"/>
      <c r="ED263" s="2" t="inlineStr">
        <is>
          <t>49b8e9e7-7510-4706-9a06-3d2103a4f074</t>
        </is>
      </c>
      <c r="EE263" s="3" t="n">
        <v>6</v>
      </c>
      <c r="EF263" s="2"/>
      <c r="EG263" s="2" t="inlineStr">
        <is>
          <t>为各分公司项部施工项目进场投标报验时，提供电工证及复印件</t>
        </is>
      </c>
      <c r="EH263" s="2" t="inlineStr">
        <is>
          <t>2次</t>
        </is>
      </c>
      <c r="EI263" s="3" t="n">
        <v>2</v>
      </c>
      <c r="EJ263" s="2" t="inlineStr">
        <is>
          <t>A.20分钟以内</t>
        </is>
      </c>
      <c r="EK263" s="7" t="n">
        <v>0.33</v>
      </c>
      <c r="EL263" s="7" t="n">
        <v>0.33</v>
      </c>
      <c r="EM263" s="7" t="n">
        <v>0.66</v>
      </c>
      <c r="EN263" s="7" t="n">
        <v>0.66</v>
      </c>
      <c r="EO263" s="2" t="inlineStr">
        <is>
          <t>协调沟通类</t>
        </is>
      </c>
      <c r="EP263" s="2"/>
      <c r="EQ263" s="2" t="inlineStr">
        <is>
          <t>跨部门对接</t>
        </is>
      </c>
      <c r="ER263" s="2" t="inlineStr">
        <is>
          <t>岗位职责</t>
        </is>
      </c>
      <c r="ES263" s="2" t="inlineStr">
        <is>
          <t>重要且紧急</t>
        </is>
      </c>
      <c r="ET263" s="2" t="inlineStr">
        <is>
          <t>高度标准化-有成熟SOP，照做即可</t>
        </is>
      </c>
      <c r="EU263" s="2" t="inlineStr">
        <is>
          <t>极少（&lt;5%）</t>
        </is>
      </c>
      <c r="EV263" s="2" t="inlineStr">
        <is>
          <t>沟通/协调负荷</t>
        </is>
      </c>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t="inlineStr">
        <is>
          <t>4652b5c9-5ced-41fb-a38b-ef0401ff5b0b</t>
        </is>
      </c>
      <c r="EE264" s="3" t="n">
        <v>7</v>
      </c>
      <c r="EF264" s="2"/>
      <c r="EG264" s="2" t="inlineStr">
        <is>
          <t>参与了公司各种许可证换证复审工作，协助有关部门提供相关资料</t>
        </is>
      </c>
      <c r="EH264" s="2" t="inlineStr">
        <is>
          <t>1次</t>
        </is>
      </c>
      <c r="EI264" s="3" t="n">
        <v>1</v>
      </c>
      <c r="EJ264" s="2" t="inlineStr">
        <is>
          <t>C.2-4小时</t>
        </is>
      </c>
      <c r="EK264" s="7" t="n">
        <v>2</v>
      </c>
      <c r="EL264" s="7" t="n">
        <v>4</v>
      </c>
      <c r="EM264" s="7" t="n">
        <v>2</v>
      </c>
      <c r="EN264" s="7" t="n">
        <v>4</v>
      </c>
      <c r="EO264" s="2" t="inlineStr">
        <is>
          <t>数据报表类</t>
        </is>
      </c>
      <c r="EP264" s="2"/>
      <c r="EQ264" s="2" t="inlineStr">
        <is>
          <t>专项统计</t>
        </is>
      </c>
      <c r="ER264" s="2" t="inlineStr">
        <is>
          <t>岗位职责</t>
        </is>
      </c>
      <c r="ES264" s="2" t="inlineStr">
        <is>
          <t>重要且紧急</t>
        </is>
      </c>
      <c r="ET264" s="2" t="inlineStr">
        <is>
          <t>高度标准化-有成熟SOP，照做即可</t>
        </is>
      </c>
      <c r="EU264" s="2" t="inlineStr">
        <is>
          <t>极少（&lt;5%）</t>
        </is>
      </c>
      <c r="EV264" s="2" t="inlineStr">
        <is>
          <t>沟通/协调负荷</t>
        </is>
      </c>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t="inlineStr">
        <is>
          <t>76d39016-9a94-44ec-960f-20a1e72a4a4f</t>
        </is>
      </c>
      <c r="EE265" s="3" t="n">
        <v>8</v>
      </c>
      <c r="EF265" s="2"/>
      <c r="EG265" s="2" t="inlineStr">
        <is>
          <t>组织公司中心站及1#子站、2#子站高压配电部分及箱变部分进行高压巡检及预防性试验</t>
        </is>
      </c>
      <c r="EH265" s="2" t="inlineStr">
        <is>
          <t>1次</t>
        </is>
      </c>
      <c r="EI265" s="3" t="n">
        <v>1</v>
      </c>
      <c r="EJ265" s="2" t="inlineStr">
        <is>
          <t>D.4-8小时</t>
        </is>
      </c>
      <c r="EK265" s="7" t="n">
        <v>4</v>
      </c>
      <c r="EL265" s="7" t="n">
        <v>8</v>
      </c>
      <c r="EM265" s="7" t="n">
        <v>4</v>
      </c>
      <c r="EN265" s="7" t="n">
        <v>8</v>
      </c>
      <c r="EO265" s="2" t="inlineStr">
        <is>
          <t>专业技术类</t>
        </is>
      </c>
      <c r="EP265" s="2"/>
      <c r="EQ265" s="2" t="inlineStr">
        <is>
          <t>专业问题协调</t>
        </is>
      </c>
      <c r="ER265" s="2" t="inlineStr">
        <is>
          <t>岗位职责</t>
        </is>
      </c>
      <c r="ES265" s="2" t="inlineStr">
        <is>
          <t>重要且紧急</t>
        </is>
      </c>
      <c r="ET265" s="2" t="inlineStr">
        <is>
          <t>半标准化-有流程框架，需专业经验</t>
        </is>
      </c>
      <c r="EU265" s="2" t="inlineStr">
        <is>
          <t>极少（&lt;5%）</t>
        </is>
      </c>
      <c r="EV265" s="2" t="inlineStr">
        <is>
          <t>责任/风险负荷</t>
        </is>
      </c>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row>
    <row r="266">
      <c r="A266" s="2" t="inlineStr">
        <is>
          <t>2026-05-07 15:58:29</t>
        </is>
      </c>
      <c r="B266" s="2" t="inlineStr">
        <is>
          <t>吴冠桦</t>
        </is>
      </c>
      <c r="C266" s="2"/>
      <c r="D266" s="2" t="inlineStr">
        <is>
          <t>女</t>
        </is>
      </c>
      <c r="E266" s="2" t="inlineStr">
        <is>
          <t>320112200305231646</t>
        </is>
      </c>
      <c r="F266" s="2"/>
      <c r="G266" s="2"/>
      <c r="H266" s="2"/>
      <c r="I266" s="2"/>
      <c r="J266" s="2"/>
      <c r="K266" s="2"/>
      <c r="L266" s="6">
        <f>HYPERLINK("https://www.h3yun.com/Form/Attachments/?schemacode=D1483577de63ede327d4760b10664bd57671d7e&amp;bizObjectId=0ed756ad-adde-4577-9fb3-483bfb8a022b&amp;name=F0000046","点击查看")</f>
        <v>0</v>
      </c>
      <c r="M266" s="2" t="inlineStr">
        <is>
          <t>无</t>
        </is>
      </c>
      <c r="N266" s="2" t="inlineStr">
        <is>
          <t>每日工作</t>
        </is>
      </c>
      <c r="O266" s="2" t="inlineStr">
        <is>
          <t>25岁及以下</t>
        </is>
      </c>
      <c r="P266" s="2" t="inlineStr">
        <is>
          <t>A.未婚</t>
        </is>
      </c>
      <c r="Q266" s="2" t="inlineStr">
        <is>
          <t>A.否</t>
        </is>
      </c>
      <c r="R266" s="2" t="inlineStr">
        <is>
          <t>A.否</t>
        </is>
      </c>
      <c r="S266" s="2" t="inlineStr">
        <is>
          <t>E.愿意承担更高挑战和更大压力，以换取更高回报或晋升机会</t>
        </is>
      </c>
      <c r="T266" s="2" t="inlineStr">
        <is>
          <t>E.希望承担更重要、更有挑战的职责</t>
        </is>
      </c>
      <c r="U266" s="2" t="inlineStr">
        <is>
          <t>B.减少无效流转和返工</t>
        </is>
      </c>
      <c r="V266" s="2" t="inlineStr">
        <is>
          <t>A.没有</t>
        </is>
      </c>
      <c r="W266" s="2"/>
      <c r="X266" s="2" t="inlineStr">
        <is>
          <t>C.均衡 (80%-100%)</t>
        </is>
      </c>
      <c r="Y266" s="2" t="inlineStr">
        <is>
          <t>I.无需加班</t>
        </is>
      </c>
      <c r="Z266" s="2" t="inlineStr">
        <is>
          <t>无</t>
        </is>
      </c>
      <c r="AA266" s="2" t="inlineStr">
        <is>
          <t>无</t>
        </is>
      </c>
      <c r="AB266" s="2" t="inlineStr">
        <is>
          <t>无</t>
        </is>
      </c>
      <c r="AC266" s="2" t="inlineStr">
        <is>
          <t>A.高度匹配（得心应手）</t>
        </is>
      </c>
      <c r="AD266" s="2" t="inlineStr">
        <is>
          <t>岗位学习的提优计划与流程标准</t>
        </is>
      </c>
      <c r="AE266" s="2" t="inlineStr">
        <is>
          <t>无</t>
        </is>
      </c>
      <c r="AF266" s="2" t="inlineStr">
        <is>
          <t>无</t>
        </is>
      </c>
      <c r="AG266" s="2"/>
      <c r="AH266" s="2"/>
      <c r="AI266" s="7" t="n">
        <v>6</v>
      </c>
      <c r="AJ266" s="7" t="n">
        <v>14</v>
      </c>
      <c r="AK266" s="7" t="n">
        <v>0</v>
      </c>
      <c r="AL266" s="7" t="n">
        <v>0</v>
      </c>
      <c r="AM266" s="7" t="n">
        <v>0</v>
      </c>
      <c r="AN266" s="7" t="n">
        <v>0</v>
      </c>
      <c r="AO266" s="7" t="n">
        <v>0</v>
      </c>
      <c r="AP266" s="7" t="n">
        <v>0</v>
      </c>
      <c r="AQ266" s="7" t="n">
        <v>0</v>
      </c>
      <c r="AR266" s="7" t="n">
        <v>0</v>
      </c>
      <c r="AS266" s="7" t="n">
        <v>6</v>
      </c>
      <c r="AT266" s="7" t="n">
        <v>14</v>
      </c>
      <c r="AU266" s="7" t="n">
        <v>10</v>
      </c>
      <c r="AV266" s="2" t="inlineStr">
        <is>
          <t>超负荷</t>
        </is>
      </c>
      <c r="AW266" s="2" t="inlineStr">
        <is>
          <t>不一致</t>
        </is>
      </c>
      <c r="AX266" s="2" t="inlineStr">
        <is>
          <t>0ed756ad-adde-4577-9fb3-483bfb8a022b</t>
        </is>
      </c>
      <c r="AY266" s="2" t="inlineStr">
        <is>
          <t>吴冠桦</t>
        </is>
      </c>
      <c r="AZ266" s="2" t="inlineStr">
        <is>
          <t>Anonymous</t>
        </is>
      </c>
      <c r="BA266" s="2" t="inlineStr">
        <is>
          <t>Anonymous</t>
        </is>
      </c>
      <c r="BB266" s="2"/>
      <c r="BC266" s="2" t="inlineStr">
        <is>
          <t>2026-05-21 08:43:22</t>
        </is>
      </c>
      <c r="BD266" s="3" t="n">
        <v>2003</v>
      </c>
      <c r="BE266" s="3" t="n">
        <v>23</v>
      </c>
      <c r="BF266" s="2" t="inlineStr">
        <is>
          <t>A.无此需求</t>
        </is>
      </c>
      <c r="BG266" s="2" t="inlineStr">
        <is>
          <t>已生效</t>
        </is>
      </c>
      <c r="BH266" s="2" t="inlineStr">
        <is>
          <t>e14f1081-1196-4af6-9c3e-8506c4f16204</t>
        </is>
      </c>
      <c r="BI266" s="3" t="n">
        <v>1</v>
      </c>
      <c r="BJ266" s="2"/>
      <c r="BK266" s="2"/>
      <c r="BL266" s="2"/>
      <c r="BM266" s="2"/>
      <c r="BN266" s="2"/>
      <c r="BO266" s="2"/>
      <c r="BP266" s="2"/>
      <c r="BQ266" s="2"/>
      <c r="BR266" s="2"/>
      <c r="BS266" s="2" t="inlineStr">
        <is>
          <t>3353c79b-6b19-4614-84b2-f6f20a23e5ee</t>
        </is>
      </c>
      <c r="BT266" s="3" t="n">
        <v>1</v>
      </c>
      <c r="BU266" s="2" t="inlineStr">
        <is>
          <t>数据报表类</t>
        </is>
      </c>
      <c r="BV266" s="2" t="inlineStr">
        <is>
          <t>材料代码核查改工作</t>
        </is>
      </c>
      <c r="BW266" s="2" t="inlineStr">
        <is>
          <t>2-5次</t>
        </is>
      </c>
      <c r="BX266" s="3" t="n">
        <v>2</v>
      </c>
      <c r="BY266" s="3" t="n">
        <v>5</v>
      </c>
      <c r="BZ266" s="2" t="inlineStr">
        <is>
          <t>B.2小时以内</t>
        </is>
      </c>
      <c r="CA266" s="7" t="n">
        <v>2</v>
      </c>
      <c r="CB266" s="7" t="n">
        <v>2</v>
      </c>
      <c r="CC266" s="7" t="n">
        <v>4</v>
      </c>
      <c r="CD266" s="7" t="n">
        <v>10</v>
      </c>
      <c r="CE266" s="2" t="inlineStr">
        <is>
          <t>数据报表类</t>
        </is>
      </c>
      <c r="CF266" s="2"/>
      <c r="CG266" s="2" t="inlineStr">
        <is>
          <t>专项统计</t>
        </is>
      </c>
      <c r="CH266" s="2" t="inlineStr">
        <is>
          <t>部门计划</t>
        </is>
      </c>
      <c r="CI266" s="2" t="inlineStr">
        <is>
          <t>重要且紧急</t>
        </is>
      </c>
      <c r="CJ266" s="2" t="inlineStr">
        <is>
          <t>半标准化-有流程框架，需专业经验</t>
        </is>
      </c>
      <c r="CK266" s="2" t="inlineStr">
        <is>
          <t>极少（&lt;5%）</t>
        </is>
      </c>
      <c r="CL266" s="2" t="inlineStr">
        <is>
          <t>沟通/协调负荷</t>
        </is>
      </c>
      <c r="CM266" s="2"/>
      <c r="CN266" s="2" t="inlineStr">
        <is>
          <t>bf791f65-1a83-4ec6-873f-d9331352aec0</t>
        </is>
      </c>
      <c r="CO266" s="3" t="n">
        <v>1</v>
      </c>
      <c r="CP266" s="2"/>
      <c r="CQ266" s="2"/>
      <c r="CR266" s="2"/>
      <c r="CS266" s="3"/>
      <c r="CT266" s="3"/>
      <c r="CU266" s="2"/>
      <c r="CV266" s="3"/>
      <c r="CW266" s="3"/>
      <c r="CX266" s="3"/>
      <c r="CY266" s="3"/>
      <c r="CZ266" s="2"/>
      <c r="DA266" s="2"/>
      <c r="DB266" s="2"/>
      <c r="DC266" s="2"/>
      <c r="DD266" s="2"/>
      <c r="DE266" s="2"/>
      <c r="DF266" s="2"/>
      <c r="DG266" s="2"/>
      <c r="DH266" s="2"/>
      <c r="DI266" s="2" t="inlineStr">
        <is>
          <t>3cab74cc-8841-4425-86bf-7ecd3e1eeb4a</t>
        </is>
      </c>
      <c r="DJ266" s="3" t="n">
        <v>1</v>
      </c>
      <c r="DK266" s="2"/>
      <c r="DL266" s="2"/>
      <c r="DM266" s="2"/>
      <c r="DN266" s="3"/>
      <c r="DO266" s="3"/>
      <c r="DP266" s="2"/>
      <c r="DQ266" s="3"/>
      <c r="DR266" s="3"/>
      <c r="DS266" s="3"/>
      <c r="DT266" s="3"/>
      <c r="DU266" s="2"/>
      <c r="DV266" s="2"/>
      <c r="DW266" s="2"/>
      <c r="DX266" s="2"/>
      <c r="DY266" s="2"/>
      <c r="DZ266" s="2"/>
      <c r="EA266" s="2"/>
      <c r="EB266" s="2"/>
      <c r="EC266" s="2"/>
      <c r="ED266" s="2" t="inlineStr">
        <is>
          <t>9a86ab03-d88a-4107-8880-19079d3c5578</t>
        </is>
      </c>
      <c r="EE266" s="3" t="n">
        <v>1</v>
      </c>
      <c r="EF266" s="2"/>
      <c r="EG266" s="2"/>
      <c r="EH266" s="2"/>
      <c r="EI266" s="3"/>
      <c r="EJ266" s="2"/>
      <c r="EK266" s="3"/>
      <c r="EL266" s="3"/>
      <c r="EM266" s="3"/>
      <c r="EN266" s="3"/>
      <c r="EO266" s="2"/>
      <c r="EP266" s="2"/>
      <c r="EQ266" s="2"/>
      <c r="ER266" s="2"/>
      <c r="ES266" s="2"/>
      <c r="ET266" s="2"/>
      <c r="EU266" s="2"/>
      <c r="EV266" s="2"/>
      <c r="EW266" s="2"/>
      <c r="EX266" s="2" t="inlineStr">
        <is>
          <t>a74afc1b-8c73-4172-927d-6e430c944b38</t>
        </is>
      </c>
      <c r="EY266" s="3" t="n">
        <v>1</v>
      </c>
      <c r="EZ266" s="2"/>
      <c r="FA266" s="2"/>
      <c r="FB266" s="2"/>
      <c r="FC266" s="2"/>
      <c r="FD266" s="3"/>
      <c r="FE266" s="3"/>
      <c r="FF266" s="2"/>
      <c r="FG266" s="3"/>
      <c r="FH266" s="3"/>
      <c r="FI266" s="7" t="n">
        <v>0</v>
      </c>
      <c r="FJ266" s="7" t="n">
        <v>0</v>
      </c>
      <c r="FK266" s="7" t="n">
        <v>0</v>
      </c>
      <c r="FL266" s="7" t="n">
        <v>0</v>
      </c>
      <c r="FM266" s="7" t="n">
        <v>0</v>
      </c>
      <c r="FN266" s="7" t="n">
        <v>0</v>
      </c>
      <c r="FO266" s="2"/>
      <c r="FP266" s="2"/>
      <c r="FQ266" s="2"/>
      <c r="FR266" s="2"/>
      <c r="FS266" s="2"/>
      <c r="FT266" s="2"/>
      <c r="FU266" s="2"/>
      <c r="FV266" s="2"/>
      <c r="FW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t="inlineStr">
        <is>
          <t>5c1be1c0-3180-415b-b339-f17bbb44724c</t>
        </is>
      </c>
      <c r="BT267" s="3" t="n">
        <v>2</v>
      </c>
      <c r="BU267" s="2" t="inlineStr">
        <is>
          <t>数据报表类</t>
        </is>
      </c>
      <c r="BV267" s="2" t="inlineStr">
        <is>
          <t>材料数据核对修改整理</t>
        </is>
      </c>
      <c r="BW267" s="2" t="inlineStr">
        <is>
          <t>1次</t>
        </is>
      </c>
      <c r="BX267" s="3" t="n">
        <v>1</v>
      </c>
      <c r="BY267" s="3" t="n">
        <v>1</v>
      </c>
      <c r="BZ267" s="2" t="inlineStr">
        <is>
          <t>C.2-4小时</t>
        </is>
      </c>
      <c r="CA267" s="7" t="n">
        <v>2</v>
      </c>
      <c r="CB267" s="7" t="n">
        <v>4</v>
      </c>
      <c r="CC267" s="7" t="n">
        <v>2</v>
      </c>
      <c r="CD267" s="7" t="n">
        <v>4</v>
      </c>
      <c r="CE267" s="2" t="inlineStr">
        <is>
          <t>数据报表类</t>
        </is>
      </c>
      <c r="CF267" s="2"/>
      <c r="CG267" s="2" t="inlineStr">
        <is>
          <t>专项统计</t>
        </is>
      </c>
      <c r="CH267" s="2" t="inlineStr">
        <is>
          <t>部门计划</t>
        </is>
      </c>
      <c r="CI267" s="2" t="inlineStr">
        <is>
          <t>重要不紧急</t>
        </is>
      </c>
      <c r="CJ267" s="2" t="inlineStr">
        <is>
          <t>高度标准化-有成熟SOP，照做即可</t>
        </is>
      </c>
      <c r="CK267" s="2" t="inlineStr">
        <is>
          <t>极少（&lt;5%）</t>
        </is>
      </c>
      <c r="CL267" s="2" t="inlineStr">
        <is>
          <t>脑力/复杂度负荷</t>
        </is>
      </c>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row>
    <row r="268">
      <c r="A268" s="2" t="inlineStr">
        <is>
          <t>2026-05-07 15:47:20</t>
        </is>
      </c>
      <c r="B268" s="2" t="inlineStr">
        <is>
          <t>卢佳华</t>
        </is>
      </c>
      <c r="C268" s="2" t="inlineStr">
        <is>
          <t>技术中心</t>
        </is>
      </c>
      <c r="D268" s="2" t="inlineStr">
        <is>
          <t>男</t>
        </is>
      </c>
      <c r="E268" s="2" t="inlineStr">
        <is>
          <t>320681199505247612</t>
        </is>
      </c>
      <c r="F268" s="2" t="inlineStr">
        <is>
          <t>专业工程师</t>
        </is>
      </c>
      <c r="G268" s="2" t="inlineStr">
        <is>
          <t>2017-08</t>
        </is>
      </c>
      <c r="H268" s="2" t="inlineStr">
        <is>
          <t>淮海工学院</t>
        </is>
      </c>
      <c r="I268" s="2" t="inlineStr">
        <is>
          <t>过控</t>
        </is>
      </c>
      <c r="J268" s="2" t="inlineStr">
        <is>
          <t>本科</t>
        </is>
      </c>
      <c r="K268" s="2"/>
      <c r="L268" s="6">
        <f>HYPERLINK("https://www.h3yun.com/Form/Attachments/?schemacode=D1483577de63ede327d4760b10664bd57671d7e&amp;bizObjectId=03cfc3fc-23ae-458d-93ed-a56fbff85982&amp;name=F0000046","点击查看")</f>
        <v>0</v>
      </c>
      <c r="M268" s="2" t="inlineStr">
        <is>
          <t>无</t>
        </is>
      </c>
      <c r="N268" s="2" t="inlineStr">
        <is>
          <t>每日工作</t>
        </is>
      </c>
      <c r="O268" s="2" t="inlineStr">
        <is>
          <t>31-35岁</t>
        </is>
      </c>
      <c r="P268" s="2" t="inlineStr">
        <is>
          <t>A.未婚</t>
        </is>
      </c>
      <c r="Q268" s="2" t="inlineStr">
        <is>
          <t>A.否</t>
        </is>
      </c>
      <c r="R268" s="2" t="inlineStr">
        <is>
          <t>A.否</t>
        </is>
      </c>
      <c r="S268" s="2" t="inlineStr">
        <is>
          <t>C.希望工作压力适中，但职责边界更清晰</t>
        </is>
      </c>
      <c r="T268" s="2" t="inlineStr">
        <is>
          <t>C.工作较稳定，但发展空间不足</t>
        </is>
      </c>
      <c r="U268" s="2" t="inlineStr">
        <is>
          <t>C.增加弹性和稳定性</t>
        </is>
      </c>
      <c r="V268" s="2" t="inlineStr">
        <is>
          <t>A.没有</t>
        </is>
      </c>
      <c r="W268" s="2"/>
      <c r="X268" s="2" t="inlineStr">
        <is>
          <t>C.均衡 (80%-100%)</t>
        </is>
      </c>
      <c r="Y268" s="2" t="inlineStr">
        <is>
          <t>E.项目服务按照项目作息考勤制加班;E.临时差旅、突发事件、会议加班</t>
        </is>
      </c>
      <c r="Z268" s="2" t="inlineStr">
        <is>
          <t>探索研发类工作</t>
        </is>
      </c>
      <c r="AA268" s="2" t="inlineStr">
        <is>
          <t>综合性汇报组织</t>
        </is>
      </c>
      <c r="AB268" s="2" t="inlineStr">
        <is>
          <t>专业问题协调</t>
        </is>
      </c>
      <c r="AC268" s="2" t="inlineStr">
        <is>
          <t>B.基本匹配（正常履行）</t>
        </is>
      </c>
      <c r="AD268" s="2" t="inlineStr">
        <is>
          <t>无</t>
        </is>
      </c>
      <c r="AE268" s="2"/>
      <c r="AF268" s="2"/>
      <c r="AG268" s="2"/>
      <c r="AH268" s="2"/>
      <c r="AI268" s="7" t="n">
        <v>4</v>
      </c>
      <c r="AJ268" s="7" t="n">
        <v>20</v>
      </c>
      <c r="AK268" s="7" t="n">
        <v>0</v>
      </c>
      <c r="AL268" s="7" t="n">
        <v>0</v>
      </c>
      <c r="AM268" s="7" t="n">
        <v>0</v>
      </c>
      <c r="AN268" s="7" t="n">
        <v>0</v>
      </c>
      <c r="AO268" s="7" t="n">
        <v>0</v>
      </c>
      <c r="AP268" s="7" t="n">
        <v>0</v>
      </c>
      <c r="AQ268" s="7" t="n">
        <v>0</v>
      </c>
      <c r="AR268" s="7" t="n">
        <v>0</v>
      </c>
      <c r="AS268" s="7" t="n">
        <v>4</v>
      </c>
      <c r="AT268" s="7" t="n">
        <v>20</v>
      </c>
      <c r="AU268" s="7" t="n">
        <v>12</v>
      </c>
      <c r="AV268" s="2" t="inlineStr">
        <is>
          <t>超负荷</t>
        </is>
      </c>
      <c r="AW268" s="2" t="inlineStr">
        <is>
          <t>不一致</t>
        </is>
      </c>
      <c r="AX268" s="2" t="inlineStr">
        <is>
          <t>03cfc3fc-23ae-458d-93ed-a56fbff85982</t>
        </is>
      </c>
      <c r="AY268" s="2" t="inlineStr">
        <is>
          <t>技术中心    卢佳华</t>
        </is>
      </c>
      <c r="AZ268" s="2" t="inlineStr">
        <is>
          <t>Anonymous</t>
        </is>
      </c>
      <c r="BA268" s="2" t="inlineStr">
        <is>
          <t>Anonymous</t>
        </is>
      </c>
      <c r="BB268" s="2"/>
      <c r="BC268" s="2" t="inlineStr">
        <is>
          <t>2026-05-21 08:43:22</t>
        </is>
      </c>
      <c r="BD268" s="3" t="n">
        <v>1995</v>
      </c>
      <c r="BE268" s="3" t="n">
        <v>31</v>
      </c>
      <c r="BF268" s="2" t="inlineStr">
        <is>
          <t>A.无此需求</t>
        </is>
      </c>
      <c r="BG268" s="2" t="inlineStr">
        <is>
          <t>已生效</t>
        </is>
      </c>
      <c r="BH268" s="2" t="inlineStr">
        <is>
          <t>68ec0520-284f-46ef-8894-ea1a5c1d6776</t>
        </is>
      </c>
      <c r="BI268" s="3" t="n">
        <v>1</v>
      </c>
      <c r="BJ268" s="2"/>
      <c r="BK268" s="2"/>
      <c r="BL268" s="2"/>
      <c r="BM268" s="2"/>
      <c r="BN268" s="2"/>
      <c r="BO268" s="2"/>
      <c r="BP268" s="2"/>
      <c r="BQ268" s="2"/>
      <c r="BR268" s="2"/>
      <c r="BS268" s="2" t="inlineStr">
        <is>
          <t>6137ab2e-86a3-4a06-8f6d-2322d516562b</t>
        </is>
      </c>
      <c r="BT268" s="3" t="n">
        <v>1</v>
      </c>
      <c r="BU268" s="2" t="inlineStr">
        <is>
          <t>专业技术类</t>
        </is>
      </c>
      <c r="BV268" s="2" t="inlineStr">
        <is>
          <t>项目图纸落图</t>
        </is>
      </c>
      <c r="BW268" s="2" t="inlineStr">
        <is>
          <t>2-5次</t>
        </is>
      </c>
      <c r="BX268" s="3" t="n">
        <v>2</v>
      </c>
      <c r="BY268" s="3" t="n">
        <v>5</v>
      </c>
      <c r="BZ268" s="2" t="inlineStr">
        <is>
          <t>C.2-4小时</t>
        </is>
      </c>
      <c r="CA268" s="7" t="n">
        <v>2</v>
      </c>
      <c r="CB268" s="7" t="n">
        <v>4</v>
      </c>
      <c r="CC268" s="7" t="n">
        <v>4</v>
      </c>
      <c r="CD268" s="7" t="n">
        <v>20</v>
      </c>
      <c r="CE268" s="2" t="inlineStr">
        <is>
          <t>专业技术类</t>
        </is>
      </c>
      <c r="CF268" s="2"/>
      <c r="CG268" s="2" t="inlineStr">
        <is>
          <t>专业问题协调</t>
        </is>
      </c>
      <c r="CH268" s="2" t="inlineStr">
        <is>
          <t>上级指令</t>
        </is>
      </c>
      <c r="CI268" s="2" t="inlineStr">
        <is>
          <t>重要且紧急</t>
        </is>
      </c>
      <c r="CJ268" s="2" t="inlineStr">
        <is>
          <t>半标准化-有流程框架，需专业经验</t>
        </is>
      </c>
      <c r="CK268" s="2" t="inlineStr">
        <is>
          <t>极少（&lt;5%）</t>
        </is>
      </c>
      <c r="CL268" s="2" t="inlineStr">
        <is>
          <t>脑力/复杂度负荷</t>
        </is>
      </c>
      <c r="CM268" s="2"/>
      <c r="CN268" s="2" t="inlineStr">
        <is>
          <t>ab45799d-9d95-4341-98ca-689d40105ebd</t>
        </is>
      </c>
      <c r="CO268" s="3" t="n">
        <v>1</v>
      </c>
      <c r="CP268" s="2"/>
      <c r="CQ268" s="2"/>
      <c r="CR268" s="2"/>
      <c r="CS268" s="3"/>
      <c r="CT268" s="3"/>
      <c r="CU268" s="2"/>
      <c r="CV268" s="3"/>
      <c r="CW268" s="3"/>
      <c r="CX268" s="3"/>
      <c r="CY268" s="3"/>
      <c r="CZ268" s="2"/>
      <c r="DA268" s="2"/>
      <c r="DB268" s="2"/>
      <c r="DC268" s="2"/>
      <c r="DD268" s="2"/>
      <c r="DE268" s="2"/>
      <c r="DF268" s="2"/>
      <c r="DG268" s="2"/>
      <c r="DH268" s="2"/>
      <c r="DI268" s="2" t="inlineStr">
        <is>
          <t>99c69367-5821-4264-9eb9-60b015c2602e</t>
        </is>
      </c>
      <c r="DJ268" s="3" t="n">
        <v>1</v>
      </c>
      <c r="DK268" s="2"/>
      <c r="DL268" s="2"/>
      <c r="DM268" s="2"/>
      <c r="DN268" s="3"/>
      <c r="DO268" s="3"/>
      <c r="DP268" s="2"/>
      <c r="DQ268" s="3"/>
      <c r="DR268" s="3"/>
      <c r="DS268" s="3"/>
      <c r="DT268" s="3"/>
      <c r="DU268" s="2"/>
      <c r="DV268" s="2"/>
      <c r="DW268" s="2"/>
      <c r="DX268" s="2"/>
      <c r="DY268" s="2"/>
      <c r="DZ268" s="2"/>
      <c r="EA268" s="2"/>
      <c r="EB268" s="2"/>
      <c r="EC268" s="2"/>
      <c r="ED268" s="2" t="inlineStr">
        <is>
          <t>d3462ca2-30e5-4a98-87a4-3b888b298eaa</t>
        </is>
      </c>
      <c r="EE268" s="3" t="n">
        <v>1</v>
      </c>
      <c r="EF268" s="2"/>
      <c r="EG268" s="2"/>
      <c r="EH268" s="2"/>
      <c r="EI268" s="3"/>
      <c r="EJ268" s="2"/>
      <c r="EK268" s="3"/>
      <c r="EL268" s="3"/>
      <c r="EM268" s="3"/>
      <c r="EN268" s="3"/>
      <c r="EO268" s="2"/>
      <c r="EP268" s="2"/>
      <c r="EQ268" s="2"/>
      <c r="ER268" s="2"/>
      <c r="ES268" s="2"/>
      <c r="ET268" s="2"/>
      <c r="EU268" s="2"/>
      <c r="EV268" s="2"/>
      <c r="EW268" s="2"/>
      <c r="EX268" s="2" t="inlineStr">
        <is>
          <t>e54cc83c-0151-49e0-bccd-6b4d5ed46c68</t>
        </is>
      </c>
      <c r="EY268" s="3" t="n">
        <v>1</v>
      </c>
      <c r="EZ268" s="2"/>
      <c r="FA268" s="2"/>
      <c r="FB268" s="2"/>
      <c r="FC268" s="2"/>
      <c r="FD268" s="3"/>
      <c r="FE268" s="3"/>
      <c r="FF268" s="2"/>
      <c r="FG268" s="3"/>
      <c r="FH268" s="3"/>
      <c r="FI268" s="7" t="n">
        <v>0</v>
      </c>
      <c r="FJ268" s="7" t="n">
        <v>0</v>
      </c>
      <c r="FK268" s="7" t="n">
        <v>0</v>
      </c>
      <c r="FL268" s="7" t="n">
        <v>0</v>
      </c>
      <c r="FM268" s="7" t="n">
        <v>0</v>
      </c>
      <c r="FN268" s="7" t="n">
        <v>0</v>
      </c>
      <c r="FO268" s="2"/>
      <c r="FP268" s="2"/>
      <c r="FQ268" s="2"/>
      <c r="FR268" s="2"/>
      <c r="FS268" s="2"/>
      <c r="FT268" s="2"/>
      <c r="FU268" s="2"/>
      <c r="FV268" s="2"/>
      <c r="FW268" s="2"/>
    </row>
    <row r="269">
      <c r="A269" s="2" t="inlineStr">
        <is>
          <t>2026-05-07 15:43:42</t>
        </is>
      </c>
      <c r="B269" s="2" t="inlineStr">
        <is>
          <t>吴昊</t>
        </is>
      </c>
      <c r="C269" s="2" t="inlineStr">
        <is>
          <t>南京永利重工制造有限公司</t>
        </is>
      </c>
      <c r="D269" s="2" t="inlineStr">
        <is>
          <t>男</t>
        </is>
      </c>
      <c r="E269" s="2" t="inlineStr">
        <is>
          <t>321011199706280039</t>
        </is>
      </c>
      <c r="F269" s="2" t="inlineStr">
        <is>
          <t>专业工程师</t>
        </is>
      </c>
      <c r="G269" s="2" t="inlineStr">
        <is>
          <t>2019-08</t>
        </is>
      </c>
      <c r="H269" s="2" t="inlineStr">
        <is>
          <t>南通大学杏林学院</t>
        </is>
      </c>
      <c r="I269" s="2" t="inlineStr">
        <is>
          <t>其他</t>
        </is>
      </c>
      <c r="J269" s="2" t="inlineStr">
        <is>
          <t>本科</t>
        </is>
      </c>
      <c r="K269" s="2"/>
      <c r="L269" s="6">
        <f>HYPERLINK("https://www.h3yun.com/Form/Attachments/?schemacode=D1483577de63ede327d4760b10664bd57671d7e&amp;bizObjectId=6dd61093-b609-4b8e-bd45-11136be2d7b6&amp;name=F0000046","点击查看")</f>
        <v>0</v>
      </c>
      <c r="M269" s="2" t="inlineStr">
        <is>
          <t>多部门的协调沟通应简化，流程更加及时的发送到指定人手里，且必须及时审批。</t>
        </is>
      </c>
      <c r="N269" s="2" t="inlineStr">
        <is>
          <t>每日工作</t>
        </is>
      </c>
      <c r="O269" s="2" t="inlineStr">
        <is>
          <t>26-30岁</t>
        </is>
      </c>
      <c r="P269" s="2" t="inlineStr">
        <is>
          <t>C.已婚已育</t>
        </is>
      </c>
      <c r="Q269" s="2" t="inlineStr">
        <is>
          <t>A.否</t>
        </is>
      </c>
      <c r="R269" s="2" t="inlineStr">
        <is>
          <t>A.否</t>
        </is>
      </c>
      <c r="S269" s="2" t="inlineStr">
        <is>
          <t>D.希望承担更有挑战性的工作，并争取更大发展空间</t>
        </is>
      </c>
      <c r="T269" s="2" t="inlineStr">
        <is>
          <t>A.基本满意，希望保持</t>
        </is>
      </c>
      <c r="U269" s="2" t="inlineStr">
        <is>
          <t>D.明确职责边界</t>
        </is>
      </c>
      <c r="V269" s="2" t="inlineStr">
        <is>
          <t>B.提出过建议，但未推动</t>
        </is>
      </c>
      <c r="W269" s="2" t="inlineStr">
        <is>
          <t>B.涉及多部门，协调难度大</t>
        </is>
      </c>
      <c r="X269" s="2" t="inlineStr">
        <is>
          <t>C.均衡 (80%-100%)</t>
        </is>
      </c>
      <c r="Y269" s="2" t="inlineStr">
        <is>
          <t>E.项目服务按照项目作息考勤制加班;G.接收到任务分配单完成周期内要求的加班</t>
        </is>
      </c>
      <c r="Z269" s="2" t="inlineStr">
        <is>
          <t>专业问题协调</t>
        </is>
      </c>
      <c r="AA269" s="2" t="inlineStr">
        <is>
          <t>催办</t>
        </is>
      </c>
      <c r="AB269" s="2" t="inlineStr">
        <is>
          <t>专题工作推进</t>
        </is>
      </c>
      <c r="AC269" s="2" t="inlineStr">
        <is>
          <t>B.基本匹配（正常履行）</t>
        </is>
      </c>
      <c r="AD269" s="2" t="inlineStr">
        <is>
          <t>暂无</t>
        </is>
      </c>
      <c r="AE269" s="2"/>
      <c r="AF269" s="2"/>
      <c r="AG269" s="2" t="inlineStr">
        <is>
          <t>D.配偶不是公司家属</t>
        </is>
      </c>
      <c r="AH269" s="2"/>
      <c r="AI269" s="7" t="n">
        <v>4</v>
      </c>
      <c r="AJ269" s="7" t="n">
        <v>10</v>
      </c>
      <c r="AK269" s="7" t="n">
        <v>0</v>
      </c>
      <c r="AL269" s="7" t="n">
        <v>0</v>
      </c>
      <c r="AM269" s="7" t="n">
        <v>0</v>
      </c>
      <c r="AN269" s="7" t="n">
        <v>0</v>
      </c>
      <c r="AO269" s="7" t="n">
        <v>0</v>
      </c>
      <c r="AP269" s="7" t="n">
        <v>0</v>
      </c>
      <c r="AQ269" s="7" t="n">
        <v>0</v>
      </c>
      <c r="AR269" s="7" t="n">
        <v>0</v>
      </c>
      <c r="AS269" s="7" t="n">
        <v>4</v>
      </c>
      <c r="AT269" s="7" t="n">
        <v>10</v>
      </c>
      <c r="AU269" s="7" t="n">
        <v>7</v>
      </c>
      <c r="AV269" s="2" t="inlineStr">
        <is>
          <t>均衡</t>
        </is>
      </c>
      <c r="AW269" s="2" t="inlineStr">
        <is>
          <t>一致</t>
        </is>
      </c>
      <c r="AX269" s="2" t="inlineStr">
        <is>
          <t>6dd61093-b609-4b8e-bd45-11136be2d7b6</t>
        </is>
      </c>
      <c r="AY269" s="2" t="inlineStr">
        <is>
          <t>南京永利重工制造有限公司    吴昊</t>
        </is>
      </c>
      <c r="AZ269" s="2" t="inlineStr">
        <is>
          <t>Anonymous</t>
        </is>
      </c>
      <c r="BA269" s="2" t="inlineStr">
        <is>
          <t>Anonymous</t>
        </is>
      </c>
      <c r="BB269" s="2"/>
      <c r="BC269" s="2" t="inlineStr">
        <is>
          <t>2026-05-21 08:43:22</t>
        </is>
      </c>
      <c r="BD269" s="3" t="n">
        <v>1997</v>
      </c>
      <c r="BE269" s="3" t="n">
        <v>29</v>
      </c>
      <c r="BF269" s="2" t="inlineStr">
        <is>
          <t>A.无此需求</t>
        </is>
      </c>
      <c r="BG269" s="2" t="inlineStr">
        <is>
          <t>已生效</t>
        </is>
      </c>
      <c r="BH269" s="2" t="inlineStr">
        <is>
          <t>4a21ce4d-a57a-4238-8ecf-e079562c9566</t>
        </is>
      </c>
      <c r="BI269" s="3" t="n">
        <v>1</v>
      </c>
      <c r="BJ269" s="2"/>
      <c r="BK269" s="2"/>
      <c r="BL269" s="2"/>
      <c r="BM269" s="2"/>
      <c r="BN269" s="2"/>
      <c r="BO269" s="2"/>
      <c r="BP269" s="2"/>
      <c r="BQ269" s="2"/>
      <c r="BR269" s="2"/>
      <c r="BS269" s="2" t="inlineStr">
        <is>
          <t>8e0e7e54-b301-4558-9edb-0d84ac76d98c</t>
        </is>
      </c>
      <c r="BT269" s="3" t="n">
        <v>1</v>
      </c>
      <c r="BU269" s="2" t="inlineStr">
        <is>
          <t>专业技术类</t>
        </is>
      </c>
      <c r="BV269" s="2" t="inlineStr">
        <is>
          <t>南工程项目沟通与支持</t>
        </is>
      </c>
      <c r="BW269" s="2" t="inlineStr">
        <is>
          <t>2-5次</t>
        </is>
      </c>
      <c r="BX269" s="3" t="n">
        <v>2</v>
      </c>
      <c r="BY269" s="3" t="n">
        <v>5</v>
      </c>
      <c r="BZ269" s="2" t="inlineStr">
        <is>
          <t>B.2小时以内</t>
        </is>
      </c>
      <c r="CA269" s="7" t="n">
        <v>2</v>
      </c>
      <c r="CB269" s="7" t="n">
        <v>2</v>
      </c>
      <c r="CC269" s="7" t="n">
        <v>4</v>
      </c>
      <c r="CD269" s="7" t="n">
        <v>10</v>
      </c>
      <c r="CE269" s="2" t="inlineStr">
        <is>
          <t>专业技术类</t>
        </is>
      </c>
      <c r="CF269" s="2"/>
      <c r="CG269" s="2" t="inlineStr">
        <is>
          <t>专业问题协调</t>
        </is>
      </c>
      <c r="CH269" s="2" t="inlineStr">
        <is>
          <t>跨部门协同</t>
        </is>
      </c>
      <c r="CI269" s="2" t="inlineStr">
        <is>
          <t>重要且紧急</t>
        </is>
      </c>
      <c r="CJ269" s="2" t="inlineStr">
        <is>
          <t>半标准化-有流程框架，需专业经验</t>
        </is>
      </c>
      <c r="CK269" s="2" t="inlineStr">
        <is>
          <t>低频（5%-10%）</t>
        </is>
      </c>
      <c r="CL269" s="2" t="inlineStr">
        <is>
          <t>沟通/协调负荷</t>
        </is>
      </c>
      <c r="CM269" s="2"/>
      <c r="CN269" s="2" t="inlineStr">
        <is>
          <t>8f454e20-c8b2-450c-86a2-ed9a5179b098</t>
        </is>
      </c>
      <c r="CO269" s="3" t="n">
        <v>1</v>
      </c>
      <c r="CP269" s="2"/>
      <c r="CQ269" s="2"/>
      <c r="CR269" s="2"/>
      <c r="CS269" s="3"/>
      <c r="CT269" s="3"/>
      <c r="CU269" s="2"/>
      <c r="CV269" s="3"/>
      <c r="CW269" s="3"/>
      <c r="CX269" s="3"/>
      <c r="CY269" s="3"/>
      <c r="CZ269" s="2"/>
      <c r="DA269" s="2"/>
      <c r="DB269" s="2"/>
      <c r="DC269" s="2"/>
      <c r="DD269" s="2"/>
      <c r="DE269" s="2"/>
      <c r="DF269" s="2"/>
      <c r="DG269" s="2"/>
      <c r="DH269" s="2"/>
      <c r="DI269" s="2" t="inlineStr">
        <is>
          <t>43040aa7-eed4-475b-922c-92f29c0a6733</t>
        </is>
      </c>
      <c r="DJ269" s="3" t="n">
        <v>1</v>
      </c>
      <c r="DK269" s="2"/>
      <c r="DL269" s="2"/>
      <c r="DM269" s="2"/>
      <c r="DN269" s="3"/>
      <c r="DO269" s="3"/>
      <c r="DP269" s="2"/>
      <c r="DQ269" s="3"/>
      <c r="DR269" s="3"/>
      <c r="DS269" s="3"/>
      <c r="DT269" s="3"/>
      <c r="DU269" s="2"/>
      <c r="DV269" s="2"/>
      <c r="DW269" s="2"/>
      <c r="DX269" s="2"/>
      <c r="DY269" s="2"/>
      <c r="DZ269" s="2"/>
      <c r="EA269" s="2"/>
      <c r="EB269" s="2"/>
      <c r="EC269" s="2"/>
      <c r="ED269" s="2" t="inlineStr">
        <is>
          <t>00a0f5f9-1f5b-4520-bf3f-472702cf6294</t>
        </is>
      </c>
      <c r="EE269" s="3" t="n">
        <v>1</v>
      </c>
      <c r="EF269" s="2"/>
      <c r="EG269" s="2"/>
      <c r="EH269" s="2"/>
      <c r="EI269" s="3"/>
      <c r="EJ269" s="2"/>
      <c r="EK269" s="3"/>
      <c r="EL269" s="3"/>
      <c r="EM269" s="3"/>
      <c r="EN269" s="3"/>
      <c r="EO269" s="2"/>
      <c r="EP269" s="2"/>
      <c r="EQ269" s="2"/>
      <c r="ER269" s="2"/>
      <c r="ES269" s="2"/>
      <c r="ET269" s="2"/>
      <c r="EU269" s="2"/>
      <c r="EV269" s="2"/>
      <c r="EW269" s="2"/>
      <c r="EX269" s="2" t="inlineStr">
        <is>
          <t>58c008c7-dfcd-4000-b391-2d6eb7677f40</t>
        </is>
      </c>
      <c r="EY269" s="3" t="n">
        <v>1</v>
      </c>
      <c r="EZ269" s="2"/>
      <c r="FA269" s="2"/>
      <c r="FB269" s="2"/>
      <c r="FC269" s="2"/>
      <c r="FD269" s="3"/>
      <c r="FE269" s="3"/>
      <c r="FF269" s="2"/>
      <c r="FG269" s="3"/>
      <c r="FH269" s="3"/>
      <c r="FI269" s="7" t="n">
        <v>0</v>
      </c>
      <c r="FJ269" s="7" t="n">
        <v>0</v>
      </c>
      <c r="FK269" s="7" t="n">
        <v>0</v>
      </c>
      <c r="FL269" s="7" t="n">
        <v>0</v>
      </c>
      <c r="FM269" s="7" t="n">
        <v>0</v>
      </c>
      <c r="FN269" s="7" t="n">
        <v>0</v>
      </c>
      <c r="FO269" s="2"/>
      <c r="FP269" s="2"/>
      <c r="FQ269" s="2"/>
      <c r="FR269" s="2"/>
      <c r="FS269" s="2"/>
      <c r="FT269" s="2"/>
      <c r="FU269" s="2"/>
      <c r="FV269" s="2"/>
      <c r="FW269" s="2"/>
    </row>
    <row r="270">
      <c r="A270" s="2" t="inlineStr">
        <is>
          <t>2026-05-07 15:25:44</t>
        </is>
      </c>
      <c r="B270" s="2" t="inlineStr">
        <is>
          <t>顾文颖</t>
        </is>
      </c>
      <c r="C270" s="2" t="inlineStr">
        <is>
          <t>马来西亚分公司（国内采购）</t>
        </is>
      </c>
      <c r="D270" s="2" t="inlineStr">
        <is>
          <t>女</t>
        </is>
      </c>
      <c r="E270" s="2" t="inlineStr">
        <is>
          <t>32108819960425612X</t>
        </is>
      </c>
      <c r="F270" s="2" t="inlineStr">
        <is>
          <t>专业工程师</t>
        </is>
      </c>
      <c r="G270" s="2" t="inlineStr">
        <is>
          <t>2019-08</t>
        </is>
      </c>
      <c r="H270" s="2" t="inlineStr">
        <is>
          <t>南京艺术学院</t>
        </is>
      </c>
      <c r="I270" s="2" t="inlineStr">
        <is>
          <t>其他</t>
        </is>
      </c>
      <c r="J270" s="2" t="inlineStr">
        <is>
          <t>本科</t>
        </is>
      </c>
      <c r="K270" s="2"/>
      <c r="L270" s="6">
        <f>HYPERLINK("https://www.h3yun.com/Form/Attachments/?schemacode=D1483577de63ede327d4760b10664bd57671d7e&amp;bizObjectId=65fc64fd-0bd9-4970-87f5-8c14a1d4560c&amp;name=F0000046","点击查看")</f>
        <v>0</v>
      </c>
      <c r="M270" s="2" t="inlineStr">
        <is>
          <t>建议简化/合并重复性的事务性流程类工作，减少非必要行政性事务消耗。</t>
        </is>
      </c>
      <c r="N270" s="2" t="inlineStr">
        <is>
          <t>每日工作;每季度/阶段性工作;临时/突发工作</t>
        </is>
      </c>
      <c r="O270" s="2" t="inlineStr">
        <is>
          <t>26-30岁</t>
        </is>
      </c>
      <c r="P270" s="2" t="inlineStr">
        <is>
          <t>B.已婚未育</t>
        </is>
      </c>
      <c r="Q270" s="2" t="inlineStr">
        <is>
          <t>A.否</t>
        </is>
      </c>
      <c r="R270" s="2" t="inlineStr">
        <is>
          <t>A.否</t>
        </is>
      </c>
      <c r="S270" s="2" t="inlineStr">
        <is>
          <t>D.希望承担更有挑战性的工作，并争取更大发展空间</t>
        </is>
      </c>
      <c r="T270" s="2" t="inlineStr">
        <is>
          <t>C.工作较稳定，但发展空间不足</t>
        </is>
      </c>
      <c r="U270" s="2" t="inlineStr">
        <is>
          <t>E.增加成长性和挑战性</t>
        </is>
      </c>
      <c r="V270" s="2" t="inlineStr">
        <is>
          <t>A.没有</t>
        </is>
      </c>
      <c r="W270" s="2"/>
      <c r="X270" s="2" t="inlineStr">
        <is>
          <t>C.均衡 (80%-100%)</t>
        </is>
      </c>
      <c r="Y270" s="2" t="inlineStr">
        <is>
          <t>A.岗位工作量饱和，已达人效上限;B.上游资料不全，导致反复沟通/返工;G.接收到任务分配单完成周期内要求的加班;H.研发探索性质，保持研究不间断的主动加班</t>
        </is>
      </c>
      <c r="Z270" s="2" t="inlineStr">
        <is>
          <t>探索研发类工作</t>
        </is>
      </c>
      <c r="AA270" s="2" t="inlineStr">
        <is>
          <t>无</t>
        </is>
      </c>
      <c r="AB270" s="2" t="inlineStr">
        <is>
          <t>探索研发类工作</t>
        </is>
      </c>
      <c r="AC270" s="2" t="inlineStr">
        <is>
          <t>B.基本匹配（正常履行）</t>
        </is>
      </c>
      <c r="AD270" s="2" t="inlineStr">
        <is>
          <t>建议强化研发类工作专项支持，明确研发及事务性工作先后次序，提前梳理需求对接流程，厘清责任人权责划分，减少无效的重复沟通，降低协作内耗。</t>
        </is>
      </c>
      <c r="AE270" s="2" t="inlineStr">
        <is>
          <t>无</t>
        </is>
      </c>
      <c r="AF270" s="2" t="inlineStr">
        <is>
          <t>无</t>
        </is>
      </c>
      <c r="AG270" s="2" t="inlineStr">
        <is>
          <t>C.配偶为公司家属，常驻项目，但暂无照顾家庭的任务</t>
        </is>
      </c>
      <c r="AH270" s="2"/>
      <c r="AI270" s="7" t="n">
        <v>12</v>
      </c>
      <c r="AJ270" s="7" t="n">
        <v>38</v>
      </c>
      <c r="AK270" s="7" t="n">
        <v>0.13</v>
      </c>
      <c r="AL270" s="7" t="n">
        <v>0.2</v>
      </c>
      <c r="AM270" s="7" t="n">
        <v>0</v>
      </c>
      <c r="AN270" s="7" t="n">
        <v>0</v>
      </c>
      <c r="AO270" s="7" t="n">
        <v>0.03</v>
      </c>
      <c r="AP270" s="7" t="n">
        <v>0.03</v>
      </c>
      <c r="AQ270" s="7" t="n">
        <v>0.43</v>
      </c>
      <c r="AR270" s="7" t="n">
        <v>1.71</v>
      </c>
      <c r="AS270" s="7" t="n">
        <v>12.59</v>
      </c>
      <c r="AT270" s="7" t="n">
        <v>39.94</v>
      </c>
      <c r="AU270" s="7" t="n">
        <v>26.26</v>
      </c>
      <c r="AV270" s="2" t="inlineStr">
        <is>
          <t>超负荷</t>
        </is>
      </c>
      <c r="AW270" s="2" t="inlineStr">
        <is>
          <t>不一致</t>
        </is>
      </c>
      <c r="AX270" s="2" t="inlineStr">
        <is>
          <t>65fc64fd-0bd9-4970-87f5-8c14a1d4560c</t>
        </is>
      </c>
      <c r="AY270" s="2" t="inlineStr">
        <is>
          <t>马来西亚分公司（国内采购）    顾文颖</t>
        </is>
      </c>
      <c r="AZ270" s="2" t="inlineStr">
        <is>
          <t>Anonymous</t>
        </is>
      </c>
      <c r="BA270" s="2" t="inlineStr">
        <is>
          <t>Anonymous</t>
        </is>
      </c>
      <c r="BB270" s="2"/>
      <c r="BC270" s="2" t="inlineStr">
        <is>
          <t>2026-05-21 08:43:22</t>
        </is>
      </c>
      <c r="BD270" s="3" t="n">
        <v>1996</v>
      </c>
      <c r="BE270" s="3" t="n">
        <v>30</v>
      </c>
      <c r="BF270" s="2" t="inlineStr">
        <is>
          <t>A.无此需求</t>
        </is>
      </c>
      <c r="BG270" s="2" t="inlineStr">
        <is>
          <t>已生效</t>
        </is>
      </c>
      <c r="BH270" s="2" t="inlineStr">
        <is>
          <t>00e2a9af-a35a-4c30-81a5-be020c11d726</t>
        </is>
      </c>
      <c r="BI270" s="3" t="n">
        <v>1</v>
      </c>
      <c r="BJ270" s="2"/>
      <c r="BK270" s="2"/>
      <c r="BL270" s="2"/>
      <c r="BM270" s="2"/>
      <c r="BN270" s="2"/>
      <c r="BO270" s="2"/>
      <c r="BP270" s="2"/>
      <c r="BQ270" s="2"/>
      <c r="BR270" s="2"/>
      <c r="BS270" s="2" t="inlineStr">
        <is>
          <t>5a98f756-738a-41ac-837f-2d29672f2fa1</t>
        </is>
      </c>
      <c r="BT270" s="3" t="n">
        <v>1</v>
      </c>
      <c r="BU270" s="2" t="inlineStr">
        <is>
          <t>专业技术类</t>
        </is>
      </c>
      <c r="BV270" s="2" t="inlineStr">
        <is>
          <t>管架计算器开发</t>
        </is>
      </c>
      <c r="BW270" s="2" t="inlineStr">
        <is>
          <t>1次</t>
        </is>
      </c>
      <c r="BX270" s="3" t="n">
        <v>1</v>
      </c>
      <c r="BY270" s="3" t="n">
        <v>1</v>
      </c>
      <c r="BZ270" s="2" t="inlineStr">
        <is>
          <t>D.4-8小时</t>
        </is>
      </c>
      <c r="CA270" s="7" t="n">
        <v>4</v>
      </c>
      <c r="CB270" s="7" t="n">
        <v>8</v>
      </c>
      <c r="CC270" s="7" t="n">
        <v>4</v>
      </c>
      <c r="CD270" s="7" t="n">
        <v>8</v>
      </c>
      <c r="CE270" s="2" t="inlineStr">
        <is>
          <t>专业技术类</t>
        </is>
      </c>
      <c r="CF270" s="2"/>
      <c r="CG270" s="2" t="inlineStr">
        <is>
          <t>探索研发类工作</t>
        </is>
      </c>
      <c r="CH270" s="2" t="inlineStr">
        <is>
          <t>部门计划</t>
        </is>
      </c>
      <c r="CI270" s="2" t="inlineStr">
        <is>
          <t>重要不紧急</t>
        </is>
      </c>
      <c r="CJ270" s="2" t="inlineStr">
        <is>
          <t>半标准化-有流程框架，需专业经验</t>
        </is>
      </c>
      <c r="CK270" s="2" t="inlineStr">
        <is>
          <t>极少（&lt;5%）</t>
        </is>
      </c>
      <c r="CL270" s="2" t="inlineStr">
        <is>
          <t>脑力/复杂度负荷</t>
        </is>
      </c>
      <c r="CM270" s="2"/>
      <c r="CN270" s="2" t="inlineStr">
        <is>
          <t>9eb17c8d-ba7d-4587-b31e-5dab2012fb5f</t>
        </is>
      </c>
      <c r="CO270" s="3" t="n">
        <v>1</v>
      </c>
      <c r="CP270" s="2"/>
      <c r="CQ270" s="2"/>
      <c r="CR270" s="2" t="inlineStr">
        <is>
          <t>2-3次</t>
        </is>
      </c>
      <c r="CS270" s="3" t="n">
        <v>2</v>
      </c>
      <c r="CT270" s="3" t="n">
        <v>3</v>
      </c>
      <c r="CU270" s="2" t="inlineStr">
        <is>
          <t>A.20分钟以内</t>
        </is>
      </c>
      <c r="CV270" s="7" t="n">
        <v>0.33</v>
      </c>
      <c r="CW270" s="7" t="n">
        <v>0.33</v>
      </c>
      <c r="CX270" s="7" t="n">
        <v>0.66</v>
      </c>
      <c r="CY270" s="7" t="n">
        <v>0.99</v>
      </c>
      <c r="CZ270" s="2" t="inlineStr">
        <is>
          <t>监督检查类</t>
        </is>
      </c>
      <c r="DA270" s="2"/>
      <c r="DB270" s="2" t="inlineStr">
        <is>
          <t>考核通报</t>
        </is>
      </c>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t="inlineStr">
        <is>
          <t>a774b378-24a3-42a3-a72b-c40069a715a7</t>
        </is>
      </c>
      <c r="EE270" s="3" t="n">
        <v>1</v>
      </c>
      <c r="EF270" s="2"/>
      <c r="EG270" s="2" t="inlineStr">
        <is>
          <t>PCF相关测试配合</t>
        </is>
      </c>
      <c r="EH270" s="2" t="inlineStr">
        <is>
          <t>3次及以上</t>
        </is>
      </c>
      <c r="EI270" s="3" t="n">
        <v>3</v>
      </c>
      <c r="EJ270" s="2" t="inlineStr">
        <is>
          <t>B.2小时以内</t>
        </is>
      </c>
      <c r="EK270" s="7" t="n">
        <v>2</v>
      </c>
      <c r="EL270" s="7" t="n">
        <v>2</v>
      </c>
      <c r="EM270" s="7" t="n">
        <v>6</v>
      </c>
      <c r="EN270" s="7" t="n">
        <v>6</v>
      </c>
      <c r="EO270" s="2" t="inlineStr">
        <is>
          <t>专业技术类</t>
        </is>
      </c>
      <c r="EP270" s="2"/>
      <c r="EQ270" s="2" t="inlineStr">
        <is>
          <t>标准研究</t>
        </is>
      </c>
      <c r="ER270" s="2" t="inlineStr">
        <is>
          <t>上级指令</t>
        </is>
      </c>
      <c r="ES270" s="2" t="inlineStr">
        <is>
          <t>重要且紧急</t>
        </is>
      </c>
      <c r="ET270" s="2" t="inlineStr">
        <is>
          <t>半标准化-有流程框架，需专业经验</t>
        </is>
      </c>
      <c r="EU270" s="2" t="inlineStr">
        <is>
          <t>极少（&lt;5%）</t>
        </is>
      </c>
      <c r="EV270" s="2" t="inlineStr">
        <is>
          <t>沟通/协调负荷</t>
        </is>
      </c>
      <c r="EW270" s="2"/>
      <c r="EX270" s="2" t="inlineStr">
        <is>
          <t>00588f29-1064-4c95-8e16-bf765824b339</t>
        </is>
      </c>
      <c r="EY270" s="3" t="n">
        <v>1</v>
      </c>
      <c r="EZ270" s="2"/>
      <c r="FA270" s="2" t="inlineStr">
        <is>
          <t>管道预制生产线采购需求技术要求文件编制</t>
        </is>
      </c>
      <c r="FB270" s="2" t="inlineStr">
        <is>
          <t>每月1-2次</t>
        </is>
      </c>
      <c r="FC270" s="2" t="inlineStr">
        <is>
          <t>月</t>
        </is>
      </c>
      <c r="FD270" s="3" t="n">
        <v>1</v>
      </c>
      <c r="FE270" s="3" t="n">
        <v>2</v>
      </c>
      <c r="FF270" s="2" t="inlineStr">
        <is>
          <t>D.4-8小时</t>
        </is>
      </c>
      <c r="FG270" s="7" t="n">
        <v>4</v>
      </c>
      <c r="FH270" s="7" t="n">
        <v>8</v>
      </c>
      <c r="FI270" s="7" t="n">
        <v>4</v>
      </c>
      <c r="FJ270" s="7" t="n">
        <v>16</v>
      </c>
      <c r="FK270" s="7" t="n">
        <v>0</v>
      </c>
      <c r="FL270" s="7" t="n">
        <v>0</v>
      </c>
      <c r="FM270" s="7" t="n">
        <v>0</v>
      </c>
      <c r="FN270" s="7" t="n">
        <v>0</v>
      </c>
      <c r="FO270" s="2" t="inlineStr">
        <is>
          <t>专业技术类</t>
        </is>
      </c>
      <c r="FP270" s="2"/>
      <c r="FQ270" s="2" t="inlineStr">
        <is>
          <t>技术方案审查</t>
        </is>
      </c>
      <c r="FR270" s="2" t="inlineStr">
        <is>
          <t>上级指令</t>
        </is>
      </c>
      <c r="FS270" s="2" t="inlineStr">
        <is>
          <t>重要且紧急</t>
        </is>
      </c>
      <c r="FT270" s="2" t="inlineStr">
        <is>
          <t>半标准化-有流程框架，需专业经验</t>
        </is>
      </c>
      <c r="FU270" s="2" t="inlineStr">
        <is>
          <t>极少（&lt;5%）</t>
        </is>
      </c>
      <c r="FV270" s="2" t="inlineStr">
        <is>
          <t>脑力/复杂度负荷</t>
        </is>
      </c>
      <c r="FW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t="inlineStr">
        <is>
          <t>5515a438-794e-4b88-a717-6c50809c25ac</t>
        </is>
      </c>
      <c r="BT271" s="3" t="n">
        <v>2</v>
      </c>
      <c r="BU271" s="2" t="inlineStr">
        <is>
          <t>专业技术类</t>
        </is>
      </c>
      <c r="BV271" s="2" t="inlineStr">
        <is>
          <t>Revit自动建模开发</t>
        </is>
      </c>
      <c r="BW271" s="2" t="inlineStr">
        <is>
          <t>2-5次</t>
        </is>
      </c>
      <c r="BX271" s="3" t="n">
        <v>2</v>
      </c>
      <c r="BY271" s="3" t="n">
        <v>5</v>
      </c>
      <c r="BZ271" s="2" t="inlineStr">
        <is>
          <t>B.2小时以内</t>
        </is>
      </c>
      <c r="CA271" s="7" t="n">
        <v>2</v>
      </c>
      <c r="CB271" s="7" t="n">
        <v>2</v>
      </c>
      <c r="CC271" s="7" t="n">
        <v>4</v>
      </c>
      <c r="CD271" s="7" t="n">
        <v>10</v>
      </c>
      <c r="CE271" s="2" t="inlineStr">
        <is>
          <t>专业技术类</t>
        </is>
      </c>
      <c r="CF271" s="2"/>
      <c r="CG271" s="2" t="inlineStr">
        <is>
          <t>探索研发类工作</t>
        </is>
      </c>
      <c r="CH271" s="2" t="inlineStr">
        <is>
          <t>部门计划</t>
        </is>
      </c>
      <c r="CI271" s="2" t="inlineStr">
        <is>
          <t>重要不紧急</t>
        </is>
      </c>
      <c r="CJ271" s="2" t="inlineStr">
        <is>
          <t>半标准化-有流程框架，需专业经验</t>
        </is>
      </c>
      <c r="CK271" s="2" t="inlineStr">
        <is>
          <t>低频（5%-10%）</t>
        </is>
      </c>
      <c r="CL271" s="2" t="inlineStr">
        <is>
          <t>脑力/复杂度负荷</t>
        </is>
      </c>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t="inlineStr">
        <is>
          <t>382c11c4-53ab-45ac-9e23-31467e79ceb1</t>
        </is>
      </c>
      <c r="EE271" s="3" t="n">
        <v>2</v>
      </c>
      <c r="EF271" s="2"/>
      <c r="EG271" s="2" t="inlineStr">
        <is>
          <t>日常任务布置及审批</t>
        </is>
      </c>
      <c r="EH271" s="2" t="inlineStr">
        <is>
          <t>3次及以上</t>
        </is>
      </c>
      <c r="EI271" s="3" t="n">
        <v>3</v>
      </c>
      <c r="EJ271" s="2" t="inlineStr">
        <is>
          <t>A.20分钟以内</t>
        </is>
      </c>
      <c r="EK271" s="7" t="n">
        <v>0.33</v>
      </c>
      <c r="EL271" s="7" t="n">
        <v>0.33</v>
      </c>
      <c r="EM271" s="7" t="n">
        <v>0.99</v>
      </c>
      <c r="EN271" s="7" t="n">
        <v>0.99</v>
      </c>
      <c r="EO271" s="2" t="inlineStr">
        <is>
          <t>监督检查类</t>
        </is>
      </c>
      <c r="EP271" s="2"/>
      <c r="EQ271" s="2" t="inlineStr">
        <is>
          <t>合规监督</t>
        </is>
      </c>
      <c r="ER271" s="2" t="inlineStr">
        <is>
          <t>岗位职责</t>
        </is>
      </c>
      <c r="ES271" s="2" t="inlineStr">
        <is>
          <t>重要不紧急</t>
        </is>
      </c>
      <c r="ET271" s="2" t="inlineStr">
        <is>
          <t>高度标准化-有成熟SOP，照做即可</t>
        </is>
      </c>
      <c r="EU271" s="2" t="inlineStr">
        <is>
          <t>极少（&lt;5%）</t>
        </is>
      </c>
      <c r="EV271" s="2" t="inlineStr">
        <is>
          <t>责任/风险负荷</t>
        </is>
      </c>
      <c r="EW271" s="2"/>
      <c r="EX271" s="2" t="inlineStr">
        <is>
          <t>7bc917a3-a05a-4866-b435-dad0b68b0045</t>
        </is>
      </c>
      <c r="EY271" s="3" t="n">
        <v>2</v>
      </c>
      <c r="EZ271" s="2"/>
      <c r="FA271" s="2" t="inlineStr">
        <is>
          <t>管道深化设计</t>
        </is>
      </c>
      <c r="FB271" s="2" t="inlineStr">
        <is>
          <t>每月1-2次</t>
        </is>
      </c>
      <c r="FC271" s="2" t="inlineStr">
        <is>
          <t>月</t>
        </is>
      </c>
      <c r="FD271" s="3" t="n">
        <v>1</v>
      </c>
      <c r="FE271" s="3" t="n">
        <v>2</v>
      </c>
      <c r="FF271" s="2" t="inlineStr">
        <is>
          <t>D.4-8小时</t>
        </is>
      </c>
      <c r="FG271" s="7" t="n">
        <v>4</v>
      </c>
      <c r="FH271" s="7" t="n">
        <v>8</v>
      </c>
      <c r="FI271" s="7" t="n">
        <v>4</v>
      </c>
      <c r="FJ271" s="7" t="n">
        <v>16</v>
      </c>
      <c r="FK271" s="7" t="n">
        <v>0</v>
      </c>
      <c r="FL271" s="7" t="n">
        <v>0</v>
      </c>
      <c r="FM271" s="7" t="n">
        <v>0</v>
      </c>
      <c r="FN271" s="7" t="n">
        <v>0</v>
      </c>
      <c r="FO271" s="2" t="inlineStr">
        <is>
          <t>专业技术类</t>
        </is>
      </c>
      <c r="FP271" s="2"/>
      <c r="FQ271" s="2" t="inlineStr">
        <is>
          <t>技术方案审查</t>
        </is>
      </c>
      <c r="FR271" s="2" t="inlineStr">
        <is>
          <t>上级指令</t>
        </is>
      </c>
      <c r="FS271" s="2" t="inlineStr">
        <is>
          <t>重要且紧急</t>
        </is>
      </c>
      <c r="FT271" s="2" t="inlineStr">
        <is>
          <t>半标准化-有流程框架，需专业经验</t>
        </is>
      </c>
      <c r="FU271" s="2" t="inlineStr">
        <is>
          <t>极少（&lt;5%）</t>
        </is>
      </c>
      <c r="FV271" s="2" t="inlineStr">
        <is>
          <t>时效/强度负荷</t>
        </is>
      </c>
      <c r="FW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t="inlineStr">
        <is>
          <t>164c8fd4-dc25-42bc-a76c-2e54b2f01819</t>
        </is>
      </c>
      <c r="BT272" s="3" t="n">
        <v>3</v>
      </c>
      <c r="BU272" s="2" t="inlineStr">
        <is>
          <t>专业技术类</t>
        </is>
      </c>
      <c r="BV272" s="2" t="inlineStr">
        <is>
          <t>Dify工作流搭建</t>
        </is>
      </c>
      <c r="BW272" s="2" t="inlineStr">
        <is>
          <t>2-5次</t>
        </is>
      </c>
      <c r="BX272" s="3" t="n">
        <v>2</v>
      </c>
      <c r="BY272" s="3" t="n">
        <v>5</v>
      </c>
      <c r="BZ272" s="2" t="inlineStr">
        <is>
          <t>C.2-4小时</t>
        </is>
      </c>
      <c r="CA272" s="7" t="n">
        <v>2</v>
      </c>
      <c r="CB272" s="7" t="n">
        <v>4</v>
      </c>
      <c r="CC272" s="7" t="n">
        <v>4</v>
      </c>
      <c r="CD272" s="7" t="n">
        <v>20</v>
      </c>
      <c r="CE272" s="2" t="inlineStr">
        <is>
          <t>专业技术类</t>
        </is>
      </c>
      <c r="CF272" s="2"/>
      <c r="CG272" s="2" t="inlineStr">
        <is>
          <t>探索研发类工作</t>
        </is>
      </c>
      <c r="CH272" s="2" t="inlineStr">
        <is>
          <t>部门计划</t>
        </is>
      </c>
      <c r="CI272" s="2" t="inlineStr">
        <is>
          <t>重要不紧急</t>
        </is>
      </c>
      <c r="CJ272" s="2" t="inlineStr">
        <is>
          <t>半标准化-有流程框架，需专业经验</t>
        </is>
      </c>
      <c r="CK272" s="2" t="inlineStr">
        <is>
          <t>低频（5%-10%）</t>
        </is>
      </c>
      <c r="CL272" s="2" t="inlineStr">
        <is>
          <t>脑力/复杂度负荷</t>
        </is>
      </c>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t="inlineStr">
        <is>
          <t>73f405c4-3225-4db3-988a-08703664bd0e</t>
        </is>
      </c>
      <c r="EY272" s="3" t="n">
        <v>3</v>
      </c>
      <c r="EZ272" s="2"/>
      <c r="FA272" s="2" t="inlineStr">
        <is>
          <t>发文审批</t>
        </is>
      </c>
      <c r="FB272" s="2" t="inlineStr">
        <is>
          <t>每季1-2次</t>
        </is>
      </c>
      <c r="FC272" s="2" t="inlineStr">
        <is>
          <t>季</t>
        </is>
      </c>
      <c r="FD272" s="3" t="n">
        <v>1</v>
      </c>
      <c r="FE272" s="3" t="n">
        <v>2</v>
      </c>
      <c r="FF272" s="2" t="inlineStr">
        <is>
          <t>D.4-8小时</t>
        </is>
      </c>
      <c r="FG272" s="7" t="n">
        <v>4</v>
      </c>
      <c r="FH272" s="7" t="n">
        <v>8</v>
      </c>
      <c r="FI272" s="7" t="n">
        <v>0</v>
      </c>
      <c r="FJ272" s="7" t="n">
        <v>0</v>
      </c>
      <c r="FK272" s="7" t="n">
        <v>4</v>
      </c>
      <c r="FL272" s="7" t="n">
        <v>16</v>
      </c>
      <c r="FM272" s="7" t="n">
        <v>0</v>
      </c>
      <c r="FN272" s="7" t="n">
        <v>0</v>
      </c>
      <c r="FO272" s="2" t="inlineStr">
        <is>
          <t>监督检查类</t>
        </is>
      </c>
      <c r="FP272" s="2"/>
      <c r="FQ272" s="2" t="inlineStr">
        <is>
          <t>考核通报</t>
        </is>
      </c>
      <c r="FR272" s="2" t="inlineStr">
        <is>
          <t>上级指令</t>
        </is>
      </c>
      <c r="FS272" s="2" t="inlineStr">
        <is>
          <t>重要且紧急</t>
        </is>
      </c>
      <c r="FT272" s="2" t="inlineStr">
        <is>
          <t>高度标准化-有成熟SOP，照做即可</t>
        </is>
      </c>
      <c r="FU272" s="2" t="inlineStr">
        <is>
          <t>极少（&lt;5%）</t>
        </is>
      </c>
      <c r="FV272" s="2" t="inlineStr">
        <is>
          <t>时效/强度负荷</t>
        </is>
      </c>
      <c r="FW272" s="2"/>
    </row>
    <row r="273">
      <c r="A273" s="2" t="inlineStr">
        <is>
          <t>2026-05-07 15:23:49</t>
        </is>
      </c>
      <c r="B273" s="2" t="inlineStr">
        <is>
          <t>汪丽</t>
        </is>
      </c>
      <c r="C273" s="2" t="inlineStr">
        <is>
          <t>物资部</t>
        </is>
      </c>
      <c r="D273" s="2" t="inlineStr">
        <is>
          <t>女</t>
        </is>
      </c>
      <c r="E273" s="2" t="inlineStr">
        <is>
          <t>321283198806206440</t>
        </is>
      </c>
      <c r="F273" s="2" t="inlineStr">
        <is>
          <t>专业工程师</t>
        </is>
      </c>
      <c r="G273" s="2" t="inlineStr">
        <is>
          <t>2019-03</t>
        </is>
      </c>
      <c r="H273" s="2" t="inlineStr">
        <is>
          <t>南京农业大学</t>
        </is>
      </c>
      <c r="I273" s="2" t="inlineStr">
        <is>
          <t>材料员</t>
        </is>
      </c>
      <c r="J273" s="2" t="inlineStr">
        <is>
          <t>本科</t>
        </is>
      </c>
      <c r="K273" s="2"/>
      <c r="L273" s="6">
        <f>HYPERLINK("https://www.h3yun.com/Form/Attachments/?schemacode=D1483577de63ede327d4760b10664bd57671d7e&amp;bizObjectId=bdf892bf-d5b0-495c-b3f0-986dd30ca8df&amp;name=F0000046","点击查看")</f>
        <v>0</v>
      </c>
      <c r="M273" s="2" t="inlineStr">
        <is>
          <t>无</t>
        </is>
      </c>
      <c r="N273" s="2" t="inlineStr">
        <is>
          <t>每月工作</t>
        </is>
      </c>
      <c r="O273" s="2" t="inlineStr">
        <is>
          <t>30-40岁</t>
        </is>
      </c>
      <c r="P273" s="2" t="inlineStr">
        <is>
          <t>C.已婚已育</t>
        </is>
      </c>
      <c r="Q273" s="2" t="inlineStr">
        <is>
          <t>B.是，主要照护子女</t>
        </is>
      </c>
      <c r="R273" s="2" t="inlineStr">
        <is>
          <t>B.有1名</t>
        </is>
      </c>
      <c r="S273" s="2" t="inlineStr">
        <is>
          <t>A.保持当前工作内容和节奏，收入相对稳定即可</t>
        </is>
      </c>
      <c r="T273" s="2" t="inlineStr">
        <is>
          <t>A.基本满意，希望保持</t>
        </is>
      </c>
      <c r="U273" s="2" t="inlineStr">
        <is>
          <t>A.减少重复性事务</t>
        </is>
      </c>
      <c r="V273" s="2" t="inlineStr">
        <is>
          <t>A.没有</t>
        </is>
      </c>
      <c r="W273" s="2"/>
      <c r="X273" s="2" t="inlineStr">
        <is>
          <t>B.满负荷 (100%-120%)</t>
        </is>
      </c>
      <c r="Y273" s="2" t="inlineStr">
        <is>
          <t>I.无需加班</t>
        </is>
      </c>
      <c r="Z273" s="2" t="inlineStr">
        <is>
          <t>外部联络</t>
        </is>
      </c>
      <c r="AA273" s="2" t="inlineStr">
        <is>
          <t>无</t>
        </is>
      </c>
      <c r="AB273" s="2" t="inlineStr">
        <is>
          <t>无</t>
        </is>
      </c>
      <c r="AC273" s="2" t="inlineStr">
        <is>
          <t>A.高度匹配（得心应手）</t>
        </is>
      </c>
      <c r="AD273" s="2" t="inlineStr">
        <is>
          <t>无</t>
        </is>
      </c>
      <c r="AE273" s="2"/>
      <c r="AF273" s="2"/>
      <c r="AG273" s="2" t="inlineStr">
        <is>
          <t>A.配偶为公司家属，常驻南京，不影响</t>
        </is>
      </c>
      <c r="AH273" s="2" t="inlineStr">
        <is>
          <t>B.有意向，但是不迫切，需考虑</t>
        </is>
      </c>
      <c r="AI273" s="7" t="n">
        <v>0</v>
      </c>
      <c r="AJ273" s="7" t="n">
        <v>0</v>
      </c>
      <c r="AK273" s="7" t="n">
        <v>0</v>
      </c>
      <c r="AL273" s="7" t="n">
        <v>0</v>
      </c>
      <c r="AM273" s="7" t="n">
        <v>1.56</v>
      </c>
      <c r="AN273" s="7" t="n">
        <v>2.38</v>
      </c>
      <c r="AO273" s="7" t="n">
        <v>0</v>
      </c>
      <c r="AP273" s="7" t="n">
        <v>0</v>
      </c>
      <c r="AQ273" s="7" t="n">
        <v>0</v>
      </c>
      <c r="AR273" s="7" t="n">
        <v>0</v>
      </c>
      <c r="AS273" s="7" t="n">
        <v>1.56</v>
      </c>
      <c r="AT273" s="7" t="n">
        <v>2.38</v>
      </c>
      <c r="AU273" s="7" t="n">
        <v>1.97</v>
      </c>
      <c r="AV273" s="2" t="inlineStr">
        <is>
          <t>非饱和</t>
        </is>
      </c>
      <c r="AW273" s="2" t="inlineStr">
        <is>
          <t>不一致</t>
        </is>
      </c>
      <c r="AX273" s="2" t="inlineStr">
        <is>
          <t>bdf892bf-d5b0-495c-b3f0-986dd30ca8df</t>
        </is>
      </c>
      <c r="AY273" s="2" t="inlineStr">
        <is>
          <t>物资部    汪丽</t>
        </is>
      </c>
      <c r="AZ273" s="2" t="inlineStr">
        <is>
          <t>Anonymous</t>
        </is>
      </c>
      <c r="BA273" s="2" t="inlineStr">
        <is>
          <t>Anonymous</t>
        </is>
      </c>
      <c r="BB273" s="2"/>
      <c r="BC273" s="2" t="inlineStr">
        <is>
          <t>2026-05-21 08:43:22</t>
        </is>
      </c>
      <c r="BD273" s="3" t="n">
        <v>1988</v>
      </c>
      <c r="BE273" s="3" t="n">
        <v>38</v>
      </c>
      <c r="BF273" s="2" t="inlineStr">
        <is>
          <t>A.无此需求</t>
        </is>
      </c>
      <c r="BG273" s="2" t="inlineStr">
        <is>
          <t>已生效</t>
        </is>
      </c>
      <c r="BH273" s="2" t="inlineStr">
        <is>
          <t>89cb077a-70ef-4c83-8f98-b57b0026bfb7</t>
        </is>
      </c>
      <c r="BI273" s="3" t="n">
        <v>1</v>
      </c>
      <c r="BJ273" s="2"/>
      <c r="BK273" s="2"/>
      <c r="BL273" s="2"/>
      <c r="BM273" s="2"/>
      <c r="BN273" s="2"/>
      <c r="BO273" s="2"/>
      <c r="BP273" s="2"/>
      <c r="BQ273" s="2"/>
      <c r="BR273" s="2"/>
      <c r="BS273" s="2" t="inlineStr">
        <is>
          <t>2ece0a86-e929-4477-90dc-45e9f0d58425</t>
        </is>
      </c>
      <c r="BT273" s="3" t="n">
        <v>1</v>
      </c>
      <c r="BU273" s="2"/>
      <c r="BV273" s="2"/>
      <c r="BW273" s="2"/>
      <c r="BX273" s="3"/>
      <c r="BY273" s="3"/>
      <c r="BZ273" s="2"/>
      <c r="CA273" s="3"/>
      <c r="CB273" s="3"/>
      <c r="CC273" s="3"/>
      <c r="CD273" s="3"/>
      <c r="CE273" s="2"/>
      <c r="CF273" s="2"/>
      <c r="CG273" s="2"/>
      <c r="CH273" s="2"/>
      <c r="CI273" s="2"/>
      <c r="CJ273" s="2"/>
      <c r="CK273" s="2"/>
      <c r="CL273" s="2"/>
      <c r="CM273" s="2"/>
      <c r="CN273" s="2" t="inlineStr">
        <is>
          <t>f9c5f9e6-5cdc-4c15-a9fd-4d064c369857</t>
        </is>
      </c>
      <c r="CO273" s="3" t="n">
        <v>1</v>
      </c>
      <c r="CP273" s="2"/>
      <c r="CQ273" s="2"/>
      <c r="CR273" s="2"/>
      <c r="CS273" s="3"/>
      <c r="CT273" s="3"/>
      <c r="CU273" s="2"/>
      <c r="CV273" s="3"/>
      <c r="CW273" s="3"/>
      <c r="CX273" s="3"/>
      <c r="CY273" s="3"/>
      <c r="CZ273" s="2"/>
      <c r="DA273" s="2"/>
      <c r="DB273" s="2"/>
      <c r="DC273" s="2"/>
      <c r="DD273" s="2"/>
      <c r="DE273" s="2"/>
      <c r="DF273" s="2"/>
      <c r="DG273" s="2"/>
      <c r="DH273" s="2"/>
      <c r="DI273" s="2" t="inlineStr">
        <is>
          <t>0594fae6-cea7-4f02-8d67-4f46ed8a616b</t>
        </is>
      </c>
      <c r="DJ273" s="3" t="n">
        <v>1</v>
      </c>
      <c r="DK273" s="2"/>
      <c r="DL273" s="2" t="inlineStr">
        <is>
          <t>考勤</t>
        </is>
      </c>
      <c r="DM273" s="2" t="inlineStr">
        <is>
          <t>1次</t>
        </is>
      </c>
      <c r="DN273" s="3" t="n">
        <v>1</v>
      </c>
      <c r="DO273" s="3" t="n">
        <v>1</v>
      </c>
      <c r="DP273" s="2" t="inlineStr">
        <is>
          <t>A.20分钟以内</t>
        </is>
      </c>
      <c r="DQ273" s="7" t="n">
        <v>0.33</v>
      </c>
      <c r="DR273" s="7" t="n">
        <v>0.33</v>
      </c>
      <c r="DS273" s="7" t="n">
        <v>0.33</v>
      </c>
      <c r="DT273" s="7" t="n">
        <v>0.33</v>
      </c>
      <c r="DU273" s="2" t="inlineStr">
        <is>
          <t>行政事务类</t>
        </is>
      </c>
      <c r="DV273" s="2"/>
      <c r="DW273" s="2" t="inlineStr">
        <is>
          <t>日常台账</t>
        </is>
      </c>
      <c r="DX273" s="2" t="inlineStr">
        <is>
          <t>部门计划</t>
        </is>
      </c>
      <c r="DY273" s="2" t="inlineStr">
        <is>
          <t>紧急不重要</t>
        </is>
      </c>
      <c r="DZ273" s="2" t="inlineStr">
        <is>
          <t>高度标准化-有成熟SOP，照做即可</t>
        </is>
      </c>
      <c r="EA273" s="2" t="inlineStr">
        <is>
          <t>极少（&lt;5%）</t>
        </is>
      </c>
      <c r="EB273" s="2" t="inlineStr">
        <is>
          <t>时效/强度负荷</t>
        </is>
      </c>
      <c r="EC273" s="2"/>
      <c r="ED273" s="2" t="inlineStr">
        <is>
          <t>1c969013-a341-433a-aee0-975e656d4b9a</t>
        </is>
      </c>
      <c r="EE273" s="3" t="n">
        <v>1</v>
      </c>
      <c r="EF273" s="2"/>
      <c r="EG273" s="2"/>
      <c r="EH273" s="2"/>
      <c r="EI273" s="3"/>
      <c r="EJ273" s="2"/>
      <c r="EK273" s="3"/>
      <c r="EL273" s="3"/>
      <c r="EM273" s="3"/>
      <c r="EN273" s="3"/>
      <c r="EO273" s="2"/>
      <c r="EP273" s="2"/>
      <c r="EQ273" s="2"/>
      <c r="ER273" s="2"/>
      <c r="ES273" s="2"/>
      <c r="ET273" s="2"/>
      <c r="EU273" s="2"/>
      <c r="EV273" s="2"/>
      <c r="EW273" s="2"/>
      <c r="EX273" s="2" t="inlineStr">
        <is>
          <t>14aeef6e-856d-46db-aa79-b4652d9d2eb0</t>
        </is>
      </c>
      <c r="EY273" s="3" t="n">
        <v>1</v>
      </c>
      <c r="EZ273" s="2"/>
      <c r="FA273" s="2"/>
      <c r="FB273" s="2"/>
      <c r="FC273" s="2"/>
      <c r="FD273" s="3"/>
      <c r="FE273" s="3"/>
      <c r="FF273" s="2"/>
      <c r="FG273" s="3"/>
      <c r="FH273" s="3"/>
      <c r="FI273" s="7" t="n">
        <v>0</v>
      </c>
      <c r="FJ273" s="7" t="n">
        <v>0</v>
      </c>
      <c r="FK273" s="7" t="n">
        <v>0</v>
      </c>
      <c r="FL273" s="7" t="n">
        <v>0</v>
      </c>
      <c r="FM273" s="7" t="n">
        <v>0</v>
      </c>
      <c r="FN273" s="7" t="n">
        <v>0</v>
      </c>
      <c r="FO273" s="2"/>
      <c r="FP273" s="2"/>
      <c r="FQ273" s="2"/>
      <c r="FR273" s="2"/>
      <c r="FS273" s="2"/>
      <c r="FT273" s="2"/>
      <c r="FU273" s="2"/>
      <c r="FV273" s="2"/>
      <c r="FW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t="inlineStr">
        <is>
          <t>88ca6507-4cfc-4e15-a67f-e3e061dc78f6</t>
        </is>
      </c>
      <c r="DJ274" s="3" t="n">
        <v>2</v>
      </c>
      <c r="DK274" s="2"/>
      <c r="DL274" s="2" t="inlineStr">
        <is>
          <t>供应商更新与审核</t>
        </is>
      </c>
      <c r="DM274" s="2" t="inlineStr">
        <is>
          <t>8次以上</t>
        </is>
      </c>
      <c r="DN274" s="3" t="n">
        <v>8</v>
      </c>
      <c r="DO274" s="3" t="n">
        <v>8</v>
      </c>
      <c r="DP274" s="2" t="inlineStr">
        <is>
          <t>B.2小时以内</t>
        </is>
      </c>
      <c r="DQ274" s="7" t="n">
        <v>2</v>
      </c>
      <c r="DR274" s="7" t="n">
        <v>2</v>
      </c>
      <c r="DS274" s="7" t="n">
        <v>16</v>
      </c>
      <c r="DT274" s="7" t="n">
        <v>16</v>
      </c>
      <c r="DU274" s="2" t="inlineStr">
        <is>
          <t>行政事务类</t>
        </is>
      </c>
      <c r="DV274" s="2"/>
      <c r="DW274" s="2" t="inlineStr">
        <is>
          <t>外部联络</t>
        </is>
      </c>
      <c r="DX274" s="2" t="inlineStr">
        <is>
          <t>岗位职责</t>
        </is>
      </c>
      <c r="DY274" s="2" t="inlineStr">
        <is>
          <t>重要不紧急</t>
        </is>
      </c>
      <c r="DZ274" s="2" t="inlineStr">
        <is>
          <t>高度标准化-有成熟SOP，照做即可</t>
        </is>
      </c>
      <c r="EA274" s="2" t="inlineStr">
        <is>
          <t>极少（&lt;5%）</t>
        </is>
      </c>
      <c r="EB274" s="2" t="inlineStr">
        <is>
          <t>沟通/协调负荷</t>
        </is>
      </c>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t="inlineStr">
        <is>
          <t>4395ae2a-3e51-44a3-ad69-0dc2d93f7974</t>
        </is>
      </c>
      <c r="DJ275" s="3" t="n">
        <v>3</v>
      </c>
      <c r="DK275" s="2"/>
      <c r="DL275" s="2" t="inlineStr">
        <is>
          <t>供应商业绩评价</t>
        </is>
      </c>
      <c r="DM275" s="2" t="inlineStr">
        <is>
          <t>8次以上</t>
        </is>
      </c>
      <c r="DN275" s="3" t="n">
        <v>8</v>
      </c>
      <c r="DO275" s="3" t="n">
        <v>8</v>
      </c>
      <c r="DP275" s="2" t="inlineStr">
        <is>
          <t>C.2-4小时</t>
        </is>
      </c>
      <c r="DQ275" s="7" t="n">
        <v>2</v>
      </c>
      <c r="DR275" s="7" t="n">
        <v>4</v>
      </c>
      <c r="DS275" s="7" t="n">
        <v>16</v>
      </c>
      <c r="DT275" s="7" t="n">
        <v>32</v>
      </c>
      <c r="DU275" s="2" t="inlineStr">
        <is>
          <t>数据报表类</t>
        </is>
      </c>
      <c r="DV275" s="2"/>
      <c r="DW275" s="2" t="inlineStr">
        <is>
          <t>经营数据汇总</t>
        </is>
      </c>
      <c r="DX275" s="2" t="inlineStr">
        <is>
          <t>岗位职责</t>
        </is>
      </c>
      <c r="DY275" s="2" t="inlineStr">
        <is>
          <t>重要不紧急</t>
        </is>
      </c>
      <c r="DZ275" s="2" t="inlineStr">
        <is>
          <t>高度标准化-有成熟SOP，照做即可</t>
        </is>
      </c>
      <c r="EA275" s="2" t="inlineStr">
        <is>
          <t>极少（&lt;5%）</t>
        </is>
      </c>
      <c r="EB275" s="2" t="inlineStr">
        <is>
          <t>责任/风险负荷</t>
        </is>
      </c>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t="inlineStr">
        <is>
          <t>30da9050-c45f-41a0-ab5f-d91ae3ea55a4</t>
        </is>
      </c>
      <c r="DJ276" s="3" t="n">
        <v>4</v>
      </c>
      <c r="DK276" s="2"/>
      <c r="DL276" s="2" t="inlineStr">
        <is>
          <t>HSE审核</t>
        </is>
      </c>
      <c r="DM276" s="2" t="inlineStr">
        <is>
          <t>1次</t>
        </is>
      </c>
      <c r="DN276" s="3" t="n">
        <v>1</v>
      </c>
      <c r="DO276" s="3" t="n">
        <v>1</v>
      </c>
      <c r="DP276" s="2" t="inlineStr">
        <is>
          <t>C.2-4小时</t>
        </is>
      </c>
      <c r="DQ276" s="7" t="n">
        <v>2</v>
      </c>
      <c r="DR276" s="7" t="n">
        <v>4</v>
      </c>
      <c r="DS276" s="7" t="n">
        <v>2</v>
      </c>
      <c r="DT276" s="7" t="n">
        <v>4</v>
      </c>
      <c r="DU276" s="2" t="inlineStr">
        <is>
          <t>监督检查类</t>
        </is>
      </c>
      <c r="DV276" s="2"/>
      <c r="DW276" s="2" t="inlineStr">
        <is>
          <t>专项检查</t>
        </is>
      </c>
      <c r="DX276" s="2" t="inlineStr">
        <is>
          <t>岗位职责</t>
        </is>
      </c>
      <c r="DY276" s="2" t="inlineStr">
        <is>
          <t>重要且紧急</t>
        </is>
      </c>
      <c r="DZ276" s="2" t="inlineStr">
        <is>
          <t>半标准化-有流程框架，需专业经验</t>
        </is>
      </c>
      <c r="EA276" s="2" t="inlineStr">
        <is>
          <t>极少（&lt;5%）</t>
        </is>
      </c>
      <c r="EB276" s="2" t="inlineStr">
        <is>
          <t>时效/强度负荷</t>
        </is>
      </c>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row>
    <row r="277">
      <c r="A277" s="2" t="inlineStr">
        <is>
          <t>2026-05-07 15:20:45</t>
        </is>
      </c>
      <c r="B277" s="2" t="inlineStr">
        <is>
          <t>吴玲梅</t>
        </is>
      </c>
      <c r="C277" s="2" t="inlineStr">
        <is>
          <t>物资部</t>
        </is>
      </c>
      <c r="D277" s="2" t="inlineStr">
        <is>
          <t>女</t>
        </is>
      </c>
      <c r="E277" s="2" t="inlineStr">
        <is>
          <t>340825198412221922</t>
        </is>
      </c>
      <c r="F277" s="2" t="inlineStr">
        <is>
          <t>业务主管</t>
        </is>
      </c>
      <c r="G277" s="2" t="inlineStr">
        <is>
          <t>2007-08</t>
        </is>
      </c>
      <c r="H277" s="2" t="inlineStr">
        <is>
          <t>安徽理工大学</t>
        </is>
      </c>
      <c r="I277" s="2" t="inlineStr">
        <is>
          <t>材料员</t>
        </is>
      </c>
      <c r="J277" s="2" t="inlineStr">
        <is>
          <t>本科</t>
        </is>
      </c>
      <c r="K277" s="2"/>
      <c r="L277" s="6">
        <f>HYPERLINK("https://www.h3yun.com/Form/Attachments/?schemacode=D1483577de63ede327d4760b10664bd57671d7e&amp;bizObjectId=e04e42a4-64df-4a94-bacf-745a36e904d1&amp;name=F0000046","点击查看")</f>
        <v>0</v>
      </c>
      <c r="M277" s="2" t="inlineStr">
        <is>
          <t>无</t>
        </is>
      </c>
      <c r="N277" s="2" t="inlineStr">
        <is>
          <t>每日工作</t>
        </is>
      </c>
      <c r="O277" s="2" t="inlineStr">
        <is>
          <t>41-45岁</t>
        </is>
      </c>
      <c r="P277" s="2" t="inlineStr">
        <is>
          <t>C.已婚已育</t>
        </is>
      </c>
      <c r="Q277" s="2" t="inlineStr">
        <is>
          <t>A.否</t>
        </is>
      </c>
      <c r="R277" s="2" t="inlineStr">
        <is>
          <t>A.否</t>
        </is>
      </c>
      <c r="S277" s="2" t="inlineStr">
        <is>
          <t>A.保持当前工作内容和节奏，收入相对稳定即可</t>
        </is>
      </c>
      <c r="T277" s="2" t="inlineStr">
        <is>
          <t>B.工作内容可接受，但负荷偏重</t>
        </is>
      </c>
      <c r="U277" s="2" t="inlineStr">
        <is>
          <t>E.增加成长性和挑战性</t>
        </is>
      </c>
      <c r="V277" s="2" t="inlineStr">
        <is>
          <t>A.没有</t>
        </is>
      </c>
      <c r="W277" s="2"/>
      <c r="X277" s="2" t="inlineStr">
        <is>
          <t>B.满负荷 (100%-120%)</t>
        </is>
      </c>
      <c r="Y277" s="2" t="inlineStr">
        <is>
          <t>I.无需加班</t>
        </is>
      </c>
      <c r="Z277" s="2" t="inlineStr">
        <is>
          <t>接口协调</t>
        </is>
      </c>
      <c r="AA277" s="2" t="inlineStr">
        <is>
          <t>无</t>
        </is>
      </c>
      <c r="AB277" s="2" t="inlineStr">
        <is>
          <t>专业问题协调</t>
        </is>
      </c>
      <c r="AC277" s="2" t="inlineStr">
        <is>
          <t>A.高度匹配（得心应手）</t>
        </is>
      </c>
      <c r="AD277" s="2" t="inlineStr">
        <is>
          <t>无</t>
        </is>
      </c>
      <c r="AE277" s="2"/>
      <c r="AF277" s="2"/>
      <c r="AG277" s="2" t="inlineStr">
        <is>
          <t>B.配偶为公司家属，常驻项目，个人承担更多</t>
        </is>
      </c>
      <c r="AH277" s="2" t="inlineStr">
        <is>
          <t>C.无意向</t>
        </is>
      </c>
      <c r="AI277" s="7" t="n">
        <v>4</v>
      </c>
      <c r="AJ277" s="7" t="n">
        <v>10</v>
      </c>
      <c r="AK277" s="7" t="n">
        <v>0</v>
      </c>
      <c r="AL277" s="7" t="n">
        <v>0</v>
      </c>
      <c r="AM277" s="7" t="n">
        <v>0</v>
      </c>
      <c r="AN277" s="7" t="n">
        <v>0</v>
      </c>
      <c r="AO277" s="7" t="n">
        <v>0</v>
      </c>
      <c r="AP277" s="7" t="n">
        <v>0</v>
      </c>
      <c r="AQ277" s="7" t="n">
        <v>0</v>
      </c>
      <c r="AR277" s="7" t="n">
        <v>0</v>
      </c>
      <c r="AS277" s="7" t="n">
        <v>4</v>
      </c>
      <c r="AT277" s="7" t="n">
        <v>10</v>
      </c>
      <c r="AU277" s="7" t="n">
        <v>7</v>
      </c>
      <c r="AV277" s="2" t="inlineStr">
        <is>
          <t>均衡</t>
        </is>
      </c>
      <c r="AW277" s="2" t="inlineStr">
        <is>
          <t>不一致</t>
        </is>
      </c>
      <c r="AX277" s="2" t="inlineStr">
        <is>
          <t>e04e42a4-64df-4a94-bacf-745a36e904d1</t>
        </is>
      </c>
      <c r="AY277" s="2" t="inlineStr">
        <is>
          <t>物资部    吴玲梅</t>
        </is>
      </c>
      <c r="AZ277" s="2" t="inlineStr">
        <is>
          <t>Anonymous</t>
        </is>
      </c>
      <c r="BA277" s="2" t="inlineStr">
        <is>
          <t>Anonymous</t>
        </is>
      </c>
      <c r="BB277" s="2"/>
      <c r="BC277" s="2" t="inlineStr">
        <is>
          <t>2026-05-21 08:43:22</t>
        </is>
      </c>
      <c r="BD277" s="3" t="n">
        <v>1984</v>
      </c>
      <c r="BE277" s="3" t="n">
        <v>42</v>
      </c>
      <c r="BF277" s="2" t="inlineStr">
        <is>
          <t>A.无此需求</t>
        </is>
      </c>
      <c r="BG277" s="2" t="inlineStr">
        <is>
          <t>已生效</t>
        </is>
      </c>
      <c r="BH277" s="2" t="inlineStr">
        <is>
          <t>b7ba2eff-514d-4b33-80e1-63a3f17fcb28</t>
        </is>
      </c>
      <c r="BI277" s="3" t="n">
        <v>1</v>
      </c>
      <c r="BJ277" s="2"/>
      <c r="BK277" s="2"/>
      <c r="BL277" s="2"/>
      <c r="BM277" s="2"/>
      <c r="BN277" s="2"/>
      <c r="BO277" s="2"/>
      <c r="BP277" s="2"/>
      <c r="BQ277" s="2"/>
      <c r="BR277" s="2"/>
      <c r="BS277" s="2" t="inlineStr">
        <is>
          <t>0b2482c3-f1ba-45d2-aa0c-ab7381ea1437</t>
        </is>
      </c>
      <c r="BT277" s="3" t="n">
        <v>1</v>
      </c>
      <c r="BU277" s="2" t="inlineStr">
        <is>
          <t>其他</t>
        </is>
      </c>
      <c r="BV277" s="2" t="inlineStr">
        <is>
          <t>特种设备维护监督，定期报检，和市场监督管理局，环保局密切联系报备；车辆保险及相关车辆服务；设备维修统计付款；系统审批维修及定检相关流程项；部门杂项事务及日常领导安排任务；服务各分公司处理相关事宜</t>
        </is>
      </c>
      <c r="BW277" s="2" t="inlineStr">
        <is>
          <t>2-5次</t>
        </is>
      </c>
      <c r="BX277" s="3" t="n">
        <v>2</v>
      </c>
      <c r="BY277" s="3" t="n">
        <v>5</v>
      </c>
      <c r="BZ277" s="2" t="inlineStr">
        <is>
          <t>B.2小时以内</t>
        </is>
      </c>
      <c r="CA277" s="7" t="n">
        <v>2</v>
      </c>
      <c r="CB277" s="7" t="n">
        <v>2</v>
      </c>
      <c r="CC277" s="7" t="n">
        <v>4</v>
      </c>
      <c r="CD277" s="7" t="n">
        <v>10</v>
      </c>
      <c r="CE277" s="2" t="inlineStr">
        <is>
          <t>其他</t>
        </is>
      </c>
      <c r="CF277" s="2"/>
      <c r="CG277" s="2"/>
      <c r="CH277" s="2" t="inlineStr">
        <is>
          <t>部门计划</t>
        </is>
      </c>
      <c r="CI277" s="2" t="inlineStr">
        <is>
          <t>重要且紧急</t>
        </is>
      </c>
      <c r="CJ277" s="2" t="inlineStr">
        <is>
          <t>半标准化-有流程框架，需专业经验</t>
        </is>
      </c>
      <c r="CK277" s="2" t="inlineStr">
        <is>
          <t>极少（&lt;5%）</t>
        </is>
      </c>
      <c r="CL277" s="2" t="inlineStr">
        <is>
          <t>沟通/协调负荷</t>
        </is>
      </c>
      <c r="CM277" s="2"/>
      <c r="CN277" s="2" t="inlineStr">
        <is>
          <t>eadf03eb-953c-4a19-8032-658a42b0d4e2</t>
        </is>
      </c>
      <c r="CO277" s="3" t="n">
        <v>1</v>
      </c>
      <c r="CP277" s="2"/>
      <c r="CQ277" s="2"/>
      <c r="CR277" s="2"/>
      <c r="CS277" s="3"/>
      <c r="CT277" s="3"/>
      <c r="CU277" s="2"/>
      <c r="CV277" s="3"/>
      <c r="CW277" s="3"/>
      <c r="CX277" s="3"/>
      <c r="CY277" s="3"/>
      <c r="CZ277" s="2"/>
      <c r="DA277" s="2"/>
      <c r="DB277" s="2"/>
      <c r="DC277" s="2"/>
      <c r="DD277" s="2"/>
      <c r="DE277" s="2"/>
      <c r="DF277" s="2"/>
      <c r="DG277" s="2"/>
      <c r="DH277" s="2"/>
      <c r="DI277" s="2" t="inlineStr">
        <is>
          <t>f7219f68-dd2d-4779-8154-c02478a381f1</t>
        </is>
      </c>
      <c r="DJ277" s="3" t="n">
        <v>1</v>
      </c>
      <c r="DK277" s="2"/>
      <c r="DL277" s="2"/>
      <c r="DM277" s="2"/>
      <c r="DN277" s="3"/>
      <c r="DO277" s="3"/>
      <c r="DP277" s="2"/>
      <c r="DQ277" s="3"/>
      <c r="DR277" s="3"/>
      <c r="DS277" s="3"/>
      <c r="DT277" s="3"/>
      <c r="DU277" s="2"/>
      <c r="DV277" s="2"/>
      <c r="DW277" s="2"/>
      <c r="DX277" s="2"/>
      <c r="DY277" s="2"/>
      <c r="DZ277" s="2"/>
      <c r="EA277" s="2"/>
      <c r="EB277" s="2"/>
      <c r="EC277" s="2"/>
      <c r="ED277" s="2" t="inlineStr">
        <is>
          <t>6ea20738-a670-4abb-b1b7-14e0d476729d</t>
        </is>
      </c>
      <c r="EE277" s="3" t="n">
        <v>1</v>
      </c>
      <c r="EF277" s="2"/>
      <c r="EG277" s="2"/>
      <c r="EH277" s="2"/>
      <c r="EI277" s="3"/>
      <c r="EJ277" s="2"/>
      <c r="EK277" s="3"/>
      <c r="EL277" s="3"/>
      <c r="EM277" s="3"/>
      <c r="EN277" s="3"/>
      <c r="EO277" s="2"/>
      <c r="EP277" s="2"/>
      <c r="EQ277" s="2"/>
      <c r="ER277" s="2"/>
      <c r="ES277" s="2"/>
      <c r="ET277" s="2"/>
      <c r="EU277" s="2"/>
      <c r="EV277" s="2"/>
      <c r="EW277" s="2"/>
      <c r="EX277" s="2" t="inlineStr">
        <is>
          <t>fcec5e52-da1a-4161-98e1-264a6e4acc11</t>
        </is>
      </c>
      <c r="EY277" s="3" t="n">
        <v>1</v>
      </c>
      <c r="EZ277" s="2"/>
      <c r="FA277" s="2"/>
      <c r="FB277" s="2"/>
      <c r="FC277" s="2"/>
      <c r="FD277" s="3"/>
      <c r="FE277" s="3"/>
      <c r="FF277" s="2"/>
      <c r="FG277" s="3"/>
      <c r="FH277" s="3"/>
      <c r="FI277" s="7" t="n">
        <v>0</v>
      </c>
      <c r="FJ277" s="7" t="n">
        <v>0</v>
      </c>
      <c r="FK277" s="7" t="n">
        <v>0</v>
      </c>
      <c r="FL277" s="7" t="n">
        <v>0</v>
      </c>
      <c r="FM277" s="7" t="n">
        <v>0</v>
      </c>
      <c r="FN277" s="7" t="n">
        <v>0</v>
      </c>
      <c r="FO277" s="2"/>
      <c r="FP277" s="2"/>
      <c r="FQ277" s="2"/>
      <c r="FR277" s="2"/>
      <c r="FS277" s="2"/>
      <c r="FT277" s="2"/>
      <c r="FU277" s="2"/>
      <c r="FV277" s="2"/>
      <c r="FW277" s="2"/>
    </row>
    <row r="278">
      <c r="A278" s="2" t="inlineStr">
        <is>
          <t>2026-05-07 14:38:34</t>
        </is>
      </c>
      <c r="B278" s="2" t="inlineStr">
        <is>
          <t>董士琦</t>
        </is>
      </c>
      <c r="C278" s="2" t="inlineStr">
        <is>
          <t>马来西亚分公司（国内采购）</t>
        </is>
      </c>
      <c r="D278" s="2" t="inlineStr">
        <is>
          <t>男</t>
        </is>
      </c>
      <c r="E278" s="2" t="inlineStr">
        <is>
          <t>321321199603062230</t>
        </is>
      </c>
      <c r="F278" s="2" t="inlineStr">
        <is>
          <t>技术助理(一)</t>
        </is>
      </c>
      <c r="G278" s="2" t="inlineStr">
        <is>
          <t>2021-08</t>
        </is>
      </c>
      <c r="H278" s="2" t="inlineStr">
        <is>
          <t>南京工业大学</t>
        </is>
      </c>
      <c r="I278" s="2" t="inlineStr">
        <is>
          <t>过控</t>
        </is>
      </c>
      <c r="J278" s="2" t="inlineStr">
        <is>
          <t>本科</t>
        </is>
      </c>
      <c r="K278" s="2"/>
      <c r="L278" s="6">
        <f>HYPERLINK("https://www.h3yun.com/Form/Attachments/?schemacode=D1483577de63ede327d4760b10664bd57671d7e&amp;bizObjectId=020345de-6ddc-4bee-a6b6-502ddfc805c8&amp;name=F0000046","点击查看")</f>
        <v>0</v>
      </c>
      <c r="M278" s="2" t="inlineStr">
        <is>
          <t>周例会适当减少时间</t>
        </is>
      </c>
      <c r="N278" s="2" t="inlineStr">
        <is>
          <t>每日工作</t>
        </is>
      </c>
      <c r="O278" s="2" t="inlineStr">
        <is>
          <t>26-30岁</t>
        </is>
      </c>
      <c r="P278" s="2" t="inlineStr">
        <is>
          <t>A.未婚</t>
        </is>
      </c>
      <c r="Q278" s="2" t="inlineStr">
        <is>
          <t>A.否</t>
        </is>
      </c>
      <c r="R278" s="2" t="inlineStr">
        <is>
          <t>A.否</t>
        </is>
      </c>
      <c r="S278" s="2" t="inlineStr">
        <is>
          <t>C.希望工作压力适中，但职责边界更清晰</t>
        </is>
      </c>
      <c r="T278" s="2" t="inlineStr">
        <is>
          <t>C.工作较稳定，但发展空间不足</t>
        </is>
      </c>
      <c r="U278" s="2" t="inlineStr">
        <is>
          <t>D.明确职责边界</t>
        </is>
      </c>
      <c r="V278" s="2" t="inlineStr">
        <is>
          <t>A.没有</t>
        </is>
      </c>
      <c r="W278" s="2"/>
      <c r="X278" s="2" t="inlineStr">
        <is>
          <t>C.均衡 (80%-100%)</t>
        </is>
      </c>
      <c r="Y278" s="2" t="inlineStr">
        <is>
          <t>E.项目服务按照项目作息考勤制加班</t>
        </is>
      </c>
      <c r="Z278" s="2" t="inlineStr">
        <is>
          <t>探索研发类工作</t>
        </is>
      </c>
      <c r="AA278" s="2" t="inlineStr">
        <is>
          <t>会议安排</t>
        </is>
      </c>
      <c r="AB278" s="2" t="inlineStr">
        <is>
          <t>专项统计</t>
        </is>
      </c>
      <c r="AC278" s="2" t="inlineStr">
        <is>
          <t>B.基本匹配（正常履行）</t>
        </is>
      </c>
      <c r="AD278" s="2" t="inlineStr">
        <is>
          <t>无</t>
        </is>
      </c>
      <c r="AE278" s="2"/>
      <c r="AF278" s="2"/>
      <c r="AG278" s="2"/>
      <c r="AH278" s="2"/>
      <c r="AI278" s="7" t="n">
        <v>4</v>
      </c>
      <c r="AJ278" s="7" t="n">
        <v>8</v>
      </c>
      <c r="AK278" s="7" t="n">
        <v>0</v>
      </c>
      <c r="AL278" s="7" t="n">
        <v>0</v>
      </c>
      <c r="AM278" s="7" t="n">
        <v>0</v>
      </c>
      <c r="AN278" s="7" t="n">
        <v>0</v>
      </c>
      <c r="AO278" s="7" t="n">
        <v>0</v>
      </c>
      <c r="AP278" s="7" t="n">
        <v>0</v>
      </c>
      <c r="AQ278" s="7" t="n">
        <v>0</v>
      </c>
      <c r="AR278" s="7" t="n">
        <v>0</v>
      </c>
      <c r="AS278" s="7" t="n">
        <v>4</v>
      </c>
      <c r="AT278" s="7" t="n">
        <v>8</v>
      </c>
      <c r="AU278" s="7" t="n">
        <v>6</v>
      </c>
      <c r="AV278" s="2" t="inlineStr">
        <is>
          <t>欠饱和</t>
        </is>
      </c>
      <c r="AW278" s="2" t="inlineStr">
        <is>
          <t>不一致</t>
        </is>
      </c>
      <c r="AX278" s="2" t="inlineStr">
        <is>
          <t>020345de-6ddc-4bee-a6b6-502ddfc805c8</t>
        </is>
      </c>
      <c r="AY278" s="2" t="inlineStr">
        <is>
          <t>马来西亚分公司（国内采购）    董士琦</t>
        </is>
      </c>
      <c r="AZ278" s="2" t="inlineStr">
        <is>
          <t>Anonymous</t>
        </is>
      </c>
      <c r="BA278" s="2" t="inlineStr">
        <is>
          <t>Anonymous</t>
        </is>
      </c>
      <c r="BB278" s="2"/>
      <c r="BC278" s="2" t="inlineStr">
        <is>
          <t>2026-05-21 08:43:22</t>
        </is>
      </c>
      <c r="BD278" s="3" t="n">
        <v>1996</v>
      </c>
      <c r="BE278" s="3" t="n">
        <v>30</v>
      </c>
      <c r="BF278" s="2" t="inlineStr">
        <is>
          <t>A.无此需求</t>
        </is>
      </c>
      <c r="BG278" s="2" t="inlineStr">
        <is>
          <t>已生效</t>
        </is>
      </c>
      <c r="BH278" s="2" t="inlineStr">
        <is>
          <t>ad49bcd2-41c7-432d-9dca-7ac20ac355ae</t>
        </is>
      </c>
      <c r="BI278" s="3" t="n">
        <v>1</v>
      </c>
      <c r="BJ278" s="2"/>
      <c r="BK278" s="2"/>
      <c r="BL278" s="2"/>
      <c r="BM278" s="2"/>
      <c r="BN278" s="2"/>
      <c r="BO278" s="2"/>
      <c r="BP278" s="2"/>
      <c r="BQ278" s="2"/>
      <c r="BR278" s="2"/>
      <c r="BS278" s="2" t="inlineStr">
        <is>
          <t>c5a70c27-6a1d-426f-9527-9152458bee84</t>
        </is>
      </c>
      <c r="BT278" s="3" t="n">
        <v>1</v>
      </c>
      <c r="BU278" s="2" t="inlineStr">
        <is>
          <t>数据报表类</t>
        </is>
      </c>
      <c r="BV278" s="2" t="inlineStr">
        <is>
          <t>核对数据库数据是否符合国家标准或行业规范</t>
        </is>
      </c>
      <c r="BW278" s="2" t="inlineStr">
        <is>
          <t>1次</t>
        </is>
      </c>
      <c r="BX278" s="3" t="n">
        <v>1</v>
      </c>
      <c r="BY278" s="3" t="n">
        <v>1</v>
      </c>
      <c r="BZ278" s="2" t="inlineStr">
        <is>
          <t>D.4-8小时</t>
        </is>
      </c>
      <c r="CA278" s="7" t="n">
        <v>4</v>
      </c>
      <c r="CB278" s="7" t="n">
        <v>8</v>
      </c>
      <c r="CC278" s="7" t="n">
        <v>4</v>
      </c>
      <c r="CD278" s="7" t="n">
        <v>8</v>
      </c>
      <c r="CE278" s="2" t="inlineStr">
        <is>
          <t>数据报表类</t>
        </is>
      </c>
      <c r="CF278" s="2"/>
      <c r="CG278" s="2" t="inlineStr">
        <is>
          <t>专项统计</t>
        </is>
      </c>
      <c r="CH278" s="2" t="inlineStr">
        <is>
          <t>上级指令</t>
        </is>
      </c>
      <c r="CI278" s="2" t="inlineStr">
        <is>
          <t>重要不紧急</t>
        </is>
      </c>
      <c r="CJ278" s="2" t="inlineStr">
        <is>
          <t>半标准化-有流程框架，需专业经验</t>
        </is>
      </c>
      <c r="CK278" s="2" t="inlineStr">
        <is>
          <t>极少（&lt;5%）</t>
        </is>
      </c>
      <c r="CL278" s="2" t="inlineStr">
        <is>
          <t>脑力/复杂度负荷</t>
        </is>
      </c>
      <c r="CM278" s="2"/>
      <c r="CN278" s="2" t="inlineStr">
        <is>
          <t>e61145bd-6806-4954-80d1-6c465c41d859</t>
        </is>
      </c>
      <c r="CO278" s="3" t="n">
        <v>1</v>
      </c>
      <c r="CP278" s="2"/>
      <c r="CQ278" s="2"/>
      <c r="CR278" s="2"/>
      <c r="CS278" s="3"/>
      <c r="CT278" s="3"/>
      <c r="CU278" s="2"/>
      <c r="CV278" s="3"/>
      <c r="CW278" s="3"/>
      <c r="CX278" s="3"/>
      <c r="CY278" s="3"/>
      <c r="CZ278" s="2"/>
      <c r="DA278" s="2"/>
      <c r="DB278" s="2"/>
      <c r="DC278" s="2"/>
      <c r="DD278" s="2"/>
      <c r="DE278" s="2"/>
      <c r="DF278" s="2"/>
      <c r="DG278" s="2"/>
      <c r="DH278" s="2"/>
      <c r="DI278" s="2" t="inlineStr">
        <is>
          <t>6b48bdd8-e821-4aa7-afad-3f1752c3f691</t>
        </is>
      </c>
      <c r="DJ278" s="3" t="n">
        <v>1</v>
      </c>
      <c r="DK278" s="2"/>
      <c r="DL278" s="2"/>
      <c r="DM278" s="2"/>
      <c r="DN278" s="3"/>
      <c r="DO278" s="3"/>
      <c r="DP278" s="2"/>
      <c r="DQ278" s="3"/>
      <c r="DR278" s="3"/>
      <c r="DS278" s="3"/>
      <c r="DT278" s="3"/>
      <c r="DU278" s="2"/>
      <c r="DV278" s="2"/>
      <c r="DW278" s="2"/>
      <c r="DX278" s="2"/>
      <c r="DY278" s="2"/>
      <c r="DZ278" s="2"/>
      <c r="EA278" s="2"/>
      <c r="EB278" s="2"/>
      <c r="EC278" s="2"/>
      <c r="ED278" s="2" t="inlineStr">
        <is>
          <t>2faa4691-0c1b-447f-8b0d-a6aa7efe000a</t>
        </is>
      </c>
      <c r="EE278" s="3" t="n">
        <v>1</v>
      </c>
      <c r="EF278" s="2"/>
      <c r="EG278" s="2"/>
      <c r="EH278" s="2"/>
      <c r="EI278" s="3"/>
      <c r="EJ278" s="2"/>
      <c r="EK278" s="3"/>
      <c r="EL278" s="3"/>
      <c r="EM278" s="3"/>
      <c r="EN278" s="3"/>
      <c r="EO278" s="2"/>
      <c r="EP278" s="2"/>
      <c r="EQ278" s="2"/>
      <c r="ER278" s="2"/>
      <c r="ES278" s="2"/>
      <c r="ET278" s="2"/>
      <c r="EU278" s="2"/>
      <c r="EV278" s="2"/>
      <c r="EW278" s="2"/>
      <c r="EX278" s="2" t="inlineStr">
        <is>
          <t>3ad62e94-532e-41df-abbf-bcd63b46822b</t>
        </is>
      </c>
      <c r="EY278" s="3" t="n">
        <v>1</v>
      </c>
      <c r="EZ278" s="2"/>
      <c r="FA278" s="2"/>
      <c r="FB278" s="2"/>
      <c r="FC278" s="2"/>
      <c r="FD278" s="3"/>
      <c r="FE278" s="3"/>
      <c r="FF278" s="2"/>
      <c r="FG278" s="3"/>
      <c r="FH278" s="3"/>
      <c r="FI278" s="7" t="n">
        <v>0</v>
      </c>
      <c r="FJ278" s="7" t="n">
        <v>0</v>
      </c>
      <c r="FK278" s="7" t="n">
        <v>0</v>
      </c>
      <c r="FL278" s="7" t="n">
        <v>0</v>
      </c>
      <c r="FM278" s="7" t="n">
        <v>0</v>
      </c>
      <c r="FN278" s="7" t="n">
        <v>0</v>
      </c>
      <c r="FO278" s="2"/>
      <c r="FP278" s="2"/>
      <c r="FQ278" s="2"/>
      <c r="FR278" s="2"/>
      <c r="FS278" s="2"/>
      <c r="FT278" s="2"/>
      <c r="FU278" s="2"/>
      <c r="FV278" s="2"/>
      <c r="FW278" s="2"/>
    </row>
    <row r="279">
      <c r="A279" s="2" t="inlineStr">
        <is>
          <t>2026-05-07 14:31:04</t>
        </is>
      </c>
      <c r="B279" s="2" t="inlineStr">
        <is>
          <t>甘莹</t>
        </is>
      </c>
      <c r="C279" s="2" t="inlineStr">
        <is>
          <t>南京永利重工制造有限公司</t>
        </is>
      </c>
      <c r="D279" s="2" t="inlineStr">
        <is>
          <t>女</t>
        </is>
      </c>
      <c r="E279" s="2" t="inlineStr">
        <is>
          <t>450702199811235125</t>
        </is>
      </c>
      <c r="F279" s="2"/>
      <c r="G279" s="2"/>
      <c r="H279" s="2"/>
      <c r="I279" s="2"/>
      <c r="J279" s="2"/>
      <c r="K279" s="2"/>
      <c r="L279" s="6">
        <f>HYPERLINK("https://www.h3yun.com/Form/Attachments/?schemacode=D1483577de63ede327d4760b10664bd57671d7e&amp;bizObjectId=74408d97-48a4-421c-a6b4-9ba2a954f361&amp;name=F0000046","点击查看")</f>
        <v>0</v>
      </c>
      <c r="M279" s="2" t="inlineStr">
        <is>
          <t>报销吧，速度很慢。请假流程也是挺麻烦的，有了年休假还要把所有原因写的一清二楚。</t>
        </is>
      </c>
      <c r="N279" s="2" t="inlineStr">
        <is>
          <t>每日工作;每周工作;临时/突发工作</t>
        </is>
      </c>
      <c r="O279" s="2" t="inlineStr">
        <is>
          <t>26-30岁</t>
        </is>
      </c>
      <c r="P279" s="2" t="inlineStr">
        <is>
          <t>B.已婚未育</t>
        </is>
      </c>
      <c r="Q279" s="2" t="inlineStr">
        <is>
          <t>A.否</t>
        </is>
      </c>
      <c r="R279" s="2" t="inlineStr">
        <is>
          <t>A.否</t>
        </is>
      </c>
      <c r="S279" s="2" t="inlineStr">
        <is>
          <t>A.保持当前工作内容和节奏，收入相对稳定即可</t>
        </is>
      </c>
      <c r="T279" s="2" t="inlineStr">
        <is>
          <t>A.基本满意，希望保持</t>
        </is>
      </c>
      <c r="U279" s="2" t="inlineStr">
        <is>
          <t>D.明确职责边界</t>
        </is>
      </c>
      <c r="V279" s="2" t="inlineStr">
        <is>
          <t>A.没有</t>
        </is>
      </c>
      <c r="W279" s="2"/>
      <c r="X279" s="2" t="inlineStr">
        <is>
          <t>C.均衡 (80%-100%)</t>
        </is>
      </c>
      <c r="Y279" s="2" t="inlineStr">
        <is>
          <t>E.临时差旅、突发事件、会议加班</t>
        </is>
      </c>
      <c r="Z279" s="2" t="inlineStr">
        <is>
          <t>技术方案审查</t>
        </is>
      </c>
      <c r="AA279" s="2" t="inlineStr">
        <is>
          <t>付款审批</t>
        </is>
      </c>
      <c r="AB279" s="2" t="inlineStr">
        <is>
          <t>专业问题协调</t>
        </is>
      </c>
      <c r="AC279" s="2" t="inlineStr">
        <is>
          <t>B.基本匹配（正常履行）</t>
        </is>
      </c>
      <c r="AD279" s="2" t="inlineStr">
        <is>
          <t>建立统一的标准化提交流程与责任清单</t>
        </is>
      </c>
      <c r="AE279" s="2" t="inlineStr">
        <is>
          <t>问婚育情况其实不妥</t>
        </is>
      </c>
      <c r="AF279" s="2"/>
      <c r="AG279" s="2" t="inlineStr">
        <is>
          <t>A.配偶为公司家属，常驻南京，不影响</t>
        </is>
      </c>
      <c r="AH279" s="2"/>
      <c r="AI279" s="7" t="n">
        <v>4</v>
      </c>
      <c r="AJ279" s="7" t="n">
        <v>10</v>
      </c>
      <c r="AK279" s="7" t="n">
        <v>1.06</v>
      </c>
      <c r="AL279" s="7" t="n">
        <v>1.53</v>
      </c>
      <c r="AM279" s="7" t="n">
        <v>0</v>
      </c>
      <c r="AN279" s="7" t="n">
        <v>0</v>
      </c>
      <c r="AO279" s="7" t="n">
        <v>0</v>
      </c>
      <c r="AP279" s="7" t="n">
        <v>0</v>
      </c>
      <c r="AQ279" s="7" t="n">
        <v>1.09</v>
      </c>
      <c r="AR279" s="7" t="n">
        <v>1.09</v>
      </c>
      <c r="AS279" s="7" t="n">
        <v>6.15</v>
      </c>
      <c r="AT279" s="7" t="n">
        <v>12.62</v>
      </c>
      <c r="AU279" s="7" t="n">
        <v>9.39</v>
      </c>
      <c r="AV279" s="2" t="inlineStr">
        <is>
          <t>满负荷</t>
        </is>
      </c>
      <c r="AW279" s="2" t="inlineStr">
        <is>
          <t>不一致</t>
        </is>
      </c>
      <c r="AX279" s="2" t="inlineStr">
        <is>
          <t>74408d97-48a4-421c-a6b4-9ba2a954f361</t>
        </is>
      </c>
      <c r="AY279" s="2" t="inlineStr">
        <is>
          <t>南京永利重工制造有限公司    甘莹</t>
        </is>
      </c>
      <c r="AZ279" s="2" t="inlineStr">
        <is>
          <t>Anonymous</t>
        </is>
      </c>
      <c r="BA279" s="2" t="inlineStr">
        <is>
          <t>Anonymous</t>
        </is>
      </c>
      <c r="BB279" s="2"/>
      <c r="BC279" s="2" t="inlineStr">
        <is>
          <t>2026-05-21 08:43:22</t>
        </is>
      </c>
      <c r="BD279" s="3" t="n">
        <v>1998</v>
      </c>
      <c r="BE279" s="3" t="n">
        <v>28</v>
      </c>
      <c r="BF279" s="2" t="inlineStr">
        <is>
          <t>A.无此需求</t>
        </is>
      </c>
      <c r="BG279" s="2" t="inlineStr">
        <is>
          <t>已生效</t>
        </is>
      </c>
      <c r="BH279" s="2" t="inlineStr">
        <is>
          <t>e63f3d19-5979-41ed-b633-eadb00e6f9c2</t>
        </is>
      </c>
      <c r="BI279" s="3" t="n">
        <v>1</v>
      </c>
      <c r="BJ279" s="2"/>
      <c r="BK279" s="2"/>
      <c r="BL279" s="2"/>
      <c r="BM279" s="2"/>
      <c r="BN279" s="2"/>
      <c r="BO279" s="2"/>
      <c r="BP279" s="2"/>
      <c r="BQ279" s="2"/>
      <c r="BR279" s="2"/>
      <c r="BS279" s="2" t="inlineStr">
        <is>
          <t>72560cbd-2d5d-4ac5-abe9-07a5437cd224</t>
        </is>
      </c>
      <c r="BT279" s="3" t="n">
        <v>1</v>
      </c>
      <c r="BU279" s="2" t="inlineStr">
        <is>
          <t>专业技术类</t>
        </is>
      </c>
      <c r="BV279" s="2" t="inlineStr">
        <is>
          <t>焊口处理</t>
        </is>
      </c>
      <c r="BW279" s="2" t="inlineStr">
        <is>
          <t>2-5次</t>
        </is>
      </c>
      <c r="BX279" s="3" t="n">
        <v>2</v>
      </c>
      <c r="BY279" s="3" t="n">
        <v>5</v>
      </c>
      <c r="BZ279" s="2" t="inlineStr">
        <is>
          <t>B.2小时以内</t>
        </is>
      </c>
      <c r="CA279" s="7" t="n">
        <v>2</v>
      </c>
      <c r="CB279" s="7" t="n">
        <v>2</v>
      </c>
      <c r="CC279" s="7" t="n">
        <v>4</v>
      </c>
      <c r="CD279" s="7" t="n">
        <v>10</v>
      </c>
      <c r="CE279" s="2" t="inlineStr">
        <is>
          <t>专业技术类</t>
        </is>
      </c>
      <c r="CF279" s="2"/>
      <c r="CG279" s="2" t="inlineStr">
        <is>
          <t>技术交底</t>
        </is>
      </c>
      <c r="CH279" s="2" t="inlineStr">
        <is>
          <t>上级指令</t>
        </is>
      </c>
      <c r="CI279" s="2" t="inlineStr">
        <is>
          <t>重要且紧急</t>
        </is>
      </c>
      <c r="CJ279" s="2" t="inlineStr">
        <is>
          <t>半标准化-有流程框架，需专业经验</t>
        </is>
      </c>
      <c r="CK279" s="2" t="inlineStr">
        <is>
          <t>极少（&lt;5%）</t>
        </is>
      </c>
      <c r="CL279" s="2" t="inlineStr">
        <is>
          <t>时效/强度负荷</t>
        </is>
      </c>
      <c r="CM279" s="2"/>
      <c r="CN279" s="2" t="inlineStr">
        <is>
          <t>c556b30f-f679-4046-b4d5-13ecccf5da47</t>
        </is>
      </c>
      <c r="CO279" s="3" t="n">
        <v>1</v>
      </c>
      <c r="CP279" s="2"/>
      <c r="CQ279" s="2" t="inlineStr">
        <is>
          <t>收发邮件</t>
        </is>
      </c>
      <c r="CR279" s="2" t="inlineStr">
        <is>
          <t>4-5次</t>
        </is>
      </c>
      <c r="CS279" s="3" t="n">
        <v>4</v>
      </c>
      <c r="CT279" s="3" t="n">
        <v>5</v>
      </c>
      <c r="CU279" s="2" t="inlineStr">
        <is>
          <t>A.20分钟以内</t>
        </is>
      </c>
      <c r="CV279" s="7" t="n">
        <v>0.33</v>
      </c>
      <c r="CW279" s="7" t="n">
        <v>0.33</v>
      </c>
      <c r="CX279" s="7" t="n">
        <v>1.32</v>
      </c>
      <c r="CY279" s="7" t="n">
        <v>1.65</v>
      </c>
      <c r="CZ279" s="2" t="inlineStr">
        <is>
          <t>协调沟通类</t>
        </is>
      </c>
      <c r="DA279" s="2"/>
      <c r="DB279" s="2" t="inlineStr">
        <is>
          <t>外部联络</t>
        </is>
      </c>
      <c r="DC279" s="2" t="inlineStr">
        <is>
          <t>上级指令</t>
        </is>
      </c>
      <c r="DD279" s="2" t="inlineStr">
        <is>
          <t>重要不紧急</t>
        </is>
      </c>
      <c r="DE279" s="2" t="inlineStr">
        <is>
          <t>高度标准化-有成熟SOP，照做即可</t>
        </is>
      </c>
      <c r="DF279" s="2" t="inlineStr">
        <is>
          <t>极少（&lt;5%）</t>
        </is>
      </c>
      <c r="DG279" s="2" t="inlineStr">
        <is>
          <t>沟通/协调负荷</t>
        </is>
      </c>
      <c r="DH279" s="2"/>
      <c r="DI279" s="2" t="inlineStr">
        <is>
          <t>a8bef793-ddb8-4ccd-aa20-6f3cb0ffbf99</t>
        </is>
      </c>
      <c r="DJ279" s="3" t="n">
        <v>1</v>
      </c>
      <c r="DK279" s="2"/>
      <c r="DL279" s="2"/>
      <c r="DM279" s="2"/>
      <c r="DN279" s="3"/>
      <c r="DO279" s="3"/>
      <c r="DP279" s="2"/>
      <c r="DQ279" s="3"/>
      <c r="DR279" s="3"/>
      <c r="DS279" s="3"/>
      <c r="DT279" s="3"/>
      <c r="DU279" s="2"/>
      <c r="DV279" s="2"/>
      <c r="DW279" s="2"/>
      <c r="DX279" s="2"/>
      <c r="DY279" s="2"/>
      <c r="DZ279" s="2"/>
      <c r="EA279" s="2"/>
      <c r="EB279" s="2"/>
      <c r="EC279" s="2"/>
      <c r="ED279" s="2" t="inlineStr">
        <is>
          <t>aa418590-3646-4fb3-ae06-1a702a89d51b</t>
        </is>
      </c>
      <c r="EE279" s="3" t="n">
        <v>1</v>
      </c>
      <c r="EF279" s="2"/>
      <c r="EG279" s="2"/>
      <c r="EH279" s="2"/>
      <c r="EI279" s="3"/>
      <c r="EJ279" s="2"/>
      <c r="EK279" s="3"/>
      <c r="EL279" s="3"/>
      <c r="EM279" s="3"/>
      <c r="EN279" s="3"/>
      <c r="EO279" s="2"/>
      <c r="EP279" s="2"/>
      <c r="EQ279" s="2"/>
      <c r="ER279" s="2"/>
      <c r="ES279" s="2"/>
      <c r="ET279" s="2"/>
      <c r="EU279" s="2"/>
      <c r="EV279" s="2"/>
      <c r="EW279" s="2"/>
      <c r="EX279" s="2" t="inlineStr">
        <is>
          <t>fb41deb4-03b9-495f-a31a-e7ed992ce895</t>
        </is>
      </c>
      <c r="EY279" s="3" t="n">
        <v>1</v>
      </c>
      <c r="EZ279" s="2"/>
      <c r="FA279" s="2" t="inlineStr">
        <is>
          <t>落图</t>
        </is>
      </c>
      <c r="FB279" s="2" t="inlineStr">
        <is>
          <t>每月3次以上</t>
        </is>
      </c>
      <c r="FC279" s="2" t="inlineStr">
        <is>
          <t>月</t>
        </is>
      </c>
      <c r="FD279" s="3" t="n">
        <v>3</v>
      </c>
      <c r="FE279" s="3" t="n">
        <v>3</v>
      </c>
      <c r="FF279" s="2" t="inlineStr">
        <is>
          <t>E.8小时以上</t>
        </is>
      </c>
      <c r="FG279" s="7" t="n">
        <v>8</v>
      </c>
      <c r="FH279" s="7" t="n">
        <v>8</v>
      </c>
      <c r="FI279" s="7" t="n">
        <v>24</v>
      </c>
      <c r="FJ279" s="7" t="n">
        <v>24</v>
      </c>
      <c r="FK279" s="7" t="n">
        <v>0</v>
      </c>
      <c r="FL279" s="7" t="n">
        <v>0</v>
      </c>
      <c r="FM279" s="7" t="n">
        <v>0</v>
      </c>
      <c r="FN279" s="7" t="n">
        <v>0</v>
      </c>
      <c r="FO279" s="2" t="inlineStr">
        <is>
          <t>专业技术类</t>
        </is>
      </c>
      <c r="FP279" s="2"/>
      <c r="FQ279" s="2" t="inlineStr">
        <is>
          <t>技术交底</t>
        </is>
      </c>
      <c r="FR279" s="2" t="inlineStr">
        <is>
          <t>上级指令</t>
        </is>
      </c>
      <c r="FS279" s="2" t="inlineStr">
        <is>
          <t>重要且紧急</t>
        </is>
      </c>
      <c r="FT279" s="2" t="inlineStr">
        <is>
          <t>高度标准化-有成熟SOP，照做即可</t>
        </is>
      </c>
      <c r="FU279" s="2" t="inlineStr">
        <is>
          <t>极少（&lt;5%）</t>
        </is>
      </c>
      <c r="FV279" s="2" t="inlineStr">
        <is>
          <t>时效/强度负荷</t>
        </is>
      </c>
      <c r="FW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t="inlineStr">
        <is>
          <t>432820c0-b9e2-4d4d-8ff6-7cd9cb0814de</t>
        </is>
      </c>
      <c r="CO280" s="3" t="n">
        <v>2</v>
      </c>
      <c r="CP280" s="2"/>
      <c r="CQ280" s="2" t="inlineStr">
        <is>
          <t>整理会议纪要</t>
        </is>
      </c>
      <c r="CR280" s="2" t="inlineStr">
        <is>
          <t>2-3次</t>
        </is>
      </c>
      <c r="CS280" s="3" t="n">
        <v>2</v>
      </c>
      <c r="CT280" s="3" t="n">
        <v>3</v>
      </c>
      <c r="CU280" s="2" t="inlineStr">
        <is>
          <t>B.2小时以内</t>
        </is>
      </c>
      <c r="CV280" s="7" t="n">
        <v>2</v>
      </c>
      <c r="CW280" s="7" t="n">
        <v>2</v>
      </c>
      <c r="CX280" s="7" t="n">
        <v>4</v>
      </c>
      <c r="CY280" s="7" t="n">
        <v>6</v>
      </c>
      <c r="CZ280" s="2" t="inlineStr">
        <is>
          <t>行政事务类</t>
        </is>
      </c>
      <c r="DA280" s="2"/>
      <c r="DB280" s="2" t="inlineStr">
        <is>
          <t>会议安排</t>
        </is>
      </c>
      <c r="DC280" s="2" t="inlineStr">
        <is>
          <t>上级指令</t>
        </is>
      </c>
      <c r="DD280" s="2" t="inlineStr">
        <is>
          <t>不重要不紧急</t>
        </is>
      </c>
      <c r="DE280" s="2" t="inlineStr">
        <is>
          <t>半标准化-有流程框架，需专业经验</t>
        </is>
      </c>
      <c r="DF280" s="2" t="inlineStr">
        <is>
          <t>极少（&lt;5%）</t>
        </is>
      </c>
      <c r="DG280" s="2" t="inlineStr">
        <is>
          <t>时效/强度负荷</t>
        </is>
      </c>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t="inlineStr">
        <is>
          <t>6b8e3532-becf-4273-845a-98710907c6ac</t>
        </is>
      </c>
      <c r="EY280" s="3" t="n">
        <v>2</v>
      </c>
      <c r="EZ280" s="2"/>
      <c r="FA280" s="2" t="inlineStr">
        <is>
          <t>合同处理</t>
        </is>
      </c>
      <c r="FB280" s="2" t="inlineStr">
        <is>
          <t>也有可能不发生</t>
        </is>
      </c>
      <c r="FC280" s="2" t="inlineStr">
        <is>
          <t>无</t>
        </is>
      </c>
      <c r="FD280" s="3" t="n">
        <v>0</v>
      </c>
      <c r="FE280" s="3" t="n">
        <v>0</v>
      </c>
      <c r="FF280" s="2" t="inlineStr">
        <is>
          <t>D.4-8小时</t>
        </is>
      </c>
      <c r="FG280" s="7" t="n">
        <v>4</v>
      </c>
      <c r="FH280" s="7" t="n">
        <v>8</v>
      </c>
      <c r="FI280" s="7" t="n">
        <v>0</v>
      </c>
      <c r="FJ280" s="7" t="n">
        <v>0</v>
      </c>
      <c r="FK280" s="7" t="n">
        <v>0</v>
      </c>
      <c r="FL280" s="7" t="n">
        <v>0</v>
      </c>
      <c r="FM280" s="7" t="n">
        <v>0</v>
      </c>
      <c r="FN280" s="7" t="n">
        <v>0</v>
      </c>
      <c r="FO280" s="2" t="inlineStr">
        <is>
          <t>专业技术类</t>
        </is>
      </c>
      <c r="FP280" s="2"/>
      <c r="FQ280" s="2" t="inlineStr">
        <is>
          <t>技术方案审查</t>
        </is>
      </c>
      <c r="FR280" s="2" t="inlineStr">
        <is>
          <t>上级指令</t>
        </is>
      </c>
      <c r="FS280" s="2" t="inlineStr">
        <is>
          <t>重要不紧急</t>
        </is>
      </c>
      <c r="FT280" s="2" t="inlineStr">
        <is>
          <t>半标准化-有流程框架，需专业经验</t>
        </is>
      </c>
      <c r="FU280" s="2" t="inlineStr">
        <is>
          <t>低频（5%-10%）</t>
        </is>
      </c>
      <c r="FV280" s="2" t="inlineStr">
        <is>
          <t>沟通/协调负荷</t>
        </is>
      </c>
      <c r="FW280" s="2"/>
    </row>
    <row r="281">
      <c r="A281" s="2" t="inlineStr">
        <is>
          <t>2026-05-07 14:09:39</t>
        </is>
      </c>
      <c r="B281" s="2" t="inlineStr">
        <is>
          <t>沙雪平</t>
        </is>
      </c>
      <c r="C281" s="2" t="inlineStr">
        <is>
          <t>技术中心</t>
        </is>
      </c>
      <c r="D281" s="2" t="inlineStr">
        <is>
          <t>女</t>
        </is>
      </c>
      <c r="E281" s="2" t="inlineStr">
        <is>
          <t>320325198101249142</t>
        </is>
      </c>
      <c r="F281" s="2" t="inlineStr">
        <is>
          <t>辅助工种初级工</t>
        </is>
      </c>
      <c r="G281" s="2" t="inlineStr">
        <is>
          <t>2021-05</t>
        </is>
      </c>
      <c r="H281" s="2" t="inlineStr">
        <is>
          <t>徐州工业学校</t>
        </is>
      </c>
      <c r="I281" s="2" t="inlineStr">
        <is>
          <t>其他</t>
        </is>
      </c>
      <c r="J281" s="2" t="inlineStr">
        <is>
          <t>大专</t>
        </is>
      </c>
      <c r="K281" s="2"/>
      <c r="L281" s="6">
        <f>HYPERLINK("https://www.h3yun.com/Form/Attachments/?schemacode=D1483577de63ede327d4760b10664bd57671d7e&amp;bizObjectId=b9063baf-98fe-48ab-b397-22c8b74edbba&amp;name=F0000046","点击查看")</f>
        <v>0</v>
      </c>
      <c r="M281" s="2" t="inlineStr">
        <is>
          <t>无</t>
        </is>
      </c>
      <c r="N281" s="2" t="inlineStr">
        <is>
          <t>每日工作;每周工作</t>
        </is>
      </c>
      <c r="O281" s="2" t="inlineStr">
        <is>
          <t>41-45岁</t>
        </is>
      </c>
      <c r="P281" s="2" t="inlineStr">
        <is>
          <t>C.已婚已育</t>
        </is>
      </c>
      <c r="Q281" s="2" t="inlineStr">
        <is>
          <t>A.否</t>
        </is>
      </c>
      <c r="R281" s="2" t="inlineStr">
        <is>
          <t>A.否</t>
        </is>
      </c>
      <c r="S281" s="2" t="inlineStr">
        <is>
          <t>D.希望承担更有挑战性的工作，并争取更大发展空间</t>
        </is>
      </c>
      <c r="T281" s="2" t="inlineStr">
        <is>
          <t>C.工作较稳定，但发展空间不足</t>
        </is>
      </c>
      <c r="U281" s="2" t="inlineStr">
        <is>
          <t>E.增加成长性和挑战性</t>
        </is>
      </c>
      <c r="V281" s="2" t="inlineStr">
        <is>
          <t>A.没有</t>
        </is>
      </c>
      <c r="W281" s="2"/>
      <c r="X281" s="2" t="inlineStr">
        <is>
          <t>B.满负荷 (100%-120%)</t>
        </is>
      </c>
      <c r="Y281" s="2" t="inlineStr">
        <is>
          <t>G.接收到任务分配单完成周期内要求的加班</t>
        </is>
      </c>
      <c r="Z281" s="2" t="inlineStr">
        <is>
          <t>无</t>
        </is>
      </c>
      <c r="AA281" s="2" t="inlineStr">
        <is>
          <t>无</t>
        </is>
      </c>
      <c r="AB281" s="2" t="inlineStr">
        <is>
          <t>无</t>
        </is>
      </c>
      <c r="AC281" s="2" t="inlineStr">
        <is>
          <t>A.高度匹配（得心应手）</t>
        </is>
      </c>
      <c r="AD281" s="2" t="inlineStr">
        <is>
          <t>无</t>
        </is>
      </c>
      <c r="AE281" s="2"/>
      <c r="AF281" s="2"/>
      <c r="AG281" s="2"/>
      <c r="AH281" s="2"/>
      <c r="AI281" s="7" t="n">
        <v>6.33</v>
      </c>
      <c r="AJ281" s="7" t="n">
        <v>6.33</v>
      </c>
      <c r="AK281" s="7" t="n">
        <v>3.33</v>
      </c>
      <c r="AL281" s="7" t="n">
        <v>9.8</v>
      </c>
      <c r="AM281" s="7" t="n">
        <v>0</v>
      </c>
      <c r="AN281" s="7" t="n">
        <v>0</v>
      </c>
      <c r="AO281" s="7" t="n">
        <v>0</v>
      </c>
      <c r="AP281" s="7" t="n">
        <v>0</v>
      </c>
      <c r="AQ281" s="7" t="n">
        <v>0</v>
      </c>
      <c r="AR281" s="7" t="n">
        <v>0</v>
      </c>
      <c r="AS281" s="7" t="n">
        <v>9.66</v>
      </c>
      <c r="AT281" s="7" t="n">
        <v>16.13</v>
      </c>
      <c r="AU281" s="7" t="n">
        <v>12.9</v>
      </c>
      <c r="AV281" s="2" t="inlineStr">
        <is>
          <t>超负荷</t>
        </is>
      </c>
      <c r="AW281" s="2" t="inlineStr">
        <is>
          <t>不一致</t>
        </is>
      </c>
      <c r="AX281" s="2" t="inlineStr">
        <is>
          <t>b9063baf-98fe-48ab-b397-22c8b74edbba</t>
        </is>
      </c>
      <c r="AY281" s="2" t="inlineStr">
        <is>
          <t>技术中心    沙雪平</t>
        </is>
      </c>
      <c r="AZ281" s="2" t="inlineStr">
        <is>
          <t>Anonymous</t>
        </is>
      </c>
      <c r="BA281" s="2" t="inlineStr">
        <is>
          <t>Anonymous</t>
        </is>
      </c>
      <c r="BB281" s="2"/>
      <c r="BC281" s="2" t="inlineStr">
        <is>
          <t>2026-05-21 08:43:22</t>
        </is>
      </c>
      <c r="BD281" s="3" t="n">
        <v>1981</v>
      </c>
      <c r="BE281" s="3" t="n">
        <v>45</v>
      </c>
      <c r="BF281" s="2" t="inlineStr">
        <is>
          <t>A.无此需求</t>
        </is>
      </c>
      <c r="BG281" s="2" t="inlineStr">
        <is>
          <t>已生效</t>
        </is>
      </c>
      <c r="BH281" s="2" t="inlineStr">
        <is>
          <t>4899573d-1b9a-4f76-beeb-f1178bf6929a</t>
        </is>
      </c>
      <c r="BI281" s="3" t="n">
        <v>1</v>
      </c>
      <c r="BJ281" s="2"/>
      <c r="BK281" s="2"/>
      <c r="BL281" s="2"/>
      <c r="BM281" s="2"/>
      <c r="BN281" s="2"/>
      <c r="BO281" s="2"/>
      <c r="BP281" s="2"/>
      <c r="BQ281" s="2"/>
      <c r="BR281" s="2"/>
      <c r="BS281" s="2" t="inlineStr">
        <is>
          <t>480a079b-83af-43bc-858d-461d9e99fd71</t>
        </is>
      </c>
      <c r="BT281" s="3" t="n">
        <v>1</v>
      </c>
      <c r="BU281" s="2" t="inlineStr">
        <is>
          <t>其他</t>
        </is>
      </c>
      <c r="BV281" s="2" t="inlineStr">
        <is>
          <t>材料代码大模型生成核对</t>
        </is>
      </c>
      <c r="BW281" s="2" t="inlineStr">
        <is>
          <t>1次</t>
        </is>
      </c>
      <c r="BX281" s="3" t="n">
        <v>1</v>
      </c>
      <c r="BY281" s="3" t="n">
        <v>1</v>
      </c>
      <c r="BZ281" s="2" t="inlineStr">
        <is>
          <t>B.2小时以内</t>
        </is>
      </c>
      <c r="CA281" s="7" t="n">
        <v>2</v>
      </c>
      <c r="CB281" s="7" t="n">
        <v>2</v>
      </c>
      <c r="CC281" s="7" t="n">
        <v>2</v>
      </c>
      <c r="CD281" s="7" t="n">
        <v>2</v>
      </c>
      <c r="CE281" s="2" t="inlineStr">
        <is>
          <t>其他</t>
        </is>
      </c>
      <c r="CF281" s="2"/>
      <c r="CG281" s="2"/>
      <c r="CH281" s="2" t="inlineStr">
        <is>
          <t>部门计划</t>
        </is>
      </c>
      <c r="CI281" s="2" t="inlineStr">
        <is>
          <t>重要不紧急</t>
        </is>
      </c>
      <c r="CJ281" s="2" t="inlineStr">
        <is>
          <t>半标准化-有流程框架，需专业经验</t>
        </is>
      </c>
      <c r="CK281" s="2" t="inlineStr">
        <is>
          <t>低频（5%-10%）</t>
        </is>
      </c>
      <c r="CL281" s="2" t="inlineStr">
        <is>
          <t>时效/强度负荷</t>
        </is>
      </c>
      <c r="CM281" s="2"/>
      <c r="CN281" s="2" t="inlineStr">
        <is>
          <t>d5b38d82-507d-4665-815d-4f1028817e46</t>
        </is>
      </c>
      <c r="CO281" s="3" t="n">
        <v>1</v>
      </c>
      <c r="CP281" s="2"/>
      <c r="CQ281" s="2" t="inlineStr">
        <is>
          <t>项目要求整理材料表跑材料代码等</t>
        </is>
      </c>
      <c r="CR281" s="2" t="inlineStr">
        <is>
          <t>2-3次</t>
        </is>
      </c>
      <c r="CS281" s="3" t="n">
        <v>2</v>
      </c>
      <c r="CT281" s="3" t="n">
        <v>3</v>
      </c>
      <c r="CU281" s="2" t="inlineStr">
        <is>
          <t>C.2-4小时</t>
        </is>
      </c>
      <c r="CV281" s="7" t="n">
        <v>2</v>
      </c>
      <c r="CW281" s="7" t="n">
        <v>4</v>
      </c>
      <c r="CX281" s="7" t="n">
        <v>4</v>
      </c>
      <c r="CY281" s="7" t="n">
        <v>12</v>
      </c>
      <c r="CZ281" s="2" t="inlineStr">
        <is>
          <t>其他</t>
        </is>
      </c>
      <c r="DA281" s="2"/>
      <c r="DB281" s="2"/>
      <c r="DC281" s="2" t="inlineStr">
        <is>
          <t>跨部门协同</t>
        </is>
      </c>
      <c r="DD281" s="2" t="inlineStr">
        <is>
          <t>重要且紧急</t>
        </is>
      </c>
      <c r="DE281" s="2" t="inlineStr">
        <is>
          <t>高度标准化-有成熟SOP，照做即可</t>
        </is>
      </c>
      <c r="DF281" s="2" t="inlineStr">
        <is>
          <t>极少（&lt;5%）</t>
        </is>
      </c>
      <c r="DG281" s="2" t="inlineStr">
        <is>
          <t>时效/强度负荷</t>
        </is>
      </c>
      <c r="DH281" s="2"/>
      <c r="DI281" s="2" t="inlineStr">
        <is>
          <t>db5d0fea-32c5-44e7-a61e-8461cc7920b2</t>
        </is>
      </c>
      <c r="DJ281" s="3" t="n">
        <v>1</v>
      </c>
      <c r="DK281" s="2"/>
      <c r="DL281" s="2"/>
      <c r="DM281" s="2"/>
      <c r="DN281" s="3"/>
      <c r="DO281" s="3"/>
      <c r="DP281" s="2"/>
      <c r="DQ281" s="3"/>
      <c r="DR281" s="3"/>
      <c r="DS281" s="3"/>
      <c r="DT281" s="3"/>
      <c r="DU281" s="2"/>
      <c r="DV281" s="2"/>
      <c r="DW281" s="2"/>
      <c r="DX281" s="2"/>
      <c r="DY281" s="2"/>
      <c r="DZ281" s="2"/>
      <c r="EA281" s="2"/>
      <c r="EB281" s="2"/>
      <c r="EC281" s="2"/>
      <c r="ED281" s="2" t="inlineStr">
        <is>
          <t>710e4ee1-6d84-4332-bb33-10f951da175d</t>
        </is>
      </c>
      <c r="EE281" s="3" t="n">
        <v>1</v>
      </c>
      <c r="EF281" s="2"/>
      <c r="EG281" s="2"/>
      <c r="EH281" s="2"/>
      <c r="EI281" s="3"/>
      <c r="EJ281" s="2"/>
      <c r="EK281" s="3"/>
      <c r="EL281" s="3"/>
      <c r="EM281" s="3"/>
      <c r="EN281" s="3"/>
      <c r="EO281" s="2"/>
      <c r="EP281" s="2"/>
      <c r="EQ281" s="2"/>
      <c r="ER281" s="2"/>
      <c r="ES281" s="2"/>
      <c r="ET281" s="2"/>
      <c r="EU281" s="2"/>
      <c r="EV281" s="2"/>
      <c r="EW281" s="2"/>
      <c r="EX281" s="2" t="inlineStr">
        <is>
          <t>e828272f-a137-4007-9c56-81f8da2c4f97</t>
        </is>
      </c>
      <c r="EY281" s="3" t="n">
        <v>1</v>
      </c>
      <c r="EZ281" s="2"/>
      <c r="FA281" s="2"/>
      <c r="FB281" s="2"/>
      <c r="FC281" s="2"/>
      <c r="FD281" s="3"/>
      <c r="FE281" s="3"/>
      <c r="FF281" s="2"/>
      <c r="FG281" s="3"/>
      <c r="FH281" s="3"/>
      <c r="FI281" s="7" t="n">
        <v>0</v>
      </c>
      <c r="FJ281" s="7" t="n">
        <v>0</v>
      </c>
      <c r="FK281" s="7" t="n">
        <v>0</v>
      </c>
      <c r="FL281" s="7" t="n">
        <v>0</v>
      </c>
      <c r="FM281" s="7" t="n">
        <v>0</v>
      </c>
      <c r="FN281" s="7" t="n">
        <v>0</v>
      </c>
      <c r="FO281" s="2"/>
      <c r="FP281" s="2"/>
      <c r="FQ281" s="2"/>
      <c r="FR281" s="2"/>
      <c r="FS281" s="2"/>
      <c r="FT281" s="2"/>
      <c r="FU281" s="2"/>
      <c r="FV281" s="2"/>
      <c r="FW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t="inlineStr">
        <is>
          <t>a6d673c0-77ed-403e-9368-4313ab6b84fa</t>
        </is>
      </c>
      <c r="BT282" s="3" t="n">
        <v>2</v>
      </c>
      <c r="BU282" s="2" t="inlineStr">
        <is>
          <t>其他</t>
        </is>
      </c>
      <c r="BV282" s="2" t="inlineStr">
        <is>
          <t>小程序测试</t>
        </is>
      </c>
      <c r="BW282" s="2" t="inlineStr">
        <is>
          <t>1次</t>
        </is>
      </c>
      <c r="BX282" s="3" t="n">
        <v>1</v>
      </c>
      <c r="BY282" s="3" t="n">
        <v>1</v>
      </c>
      <c r="BZ282" s="2" t="inlineStr">
        <is>
          <t>A.20分钟以内</t>
        </is>
      </c>
      <c r="CA282" s="7" t="n">
        <v>0.33</v>
      </c>
      <c r="CB282" s="7" t="n">
        <v>0.33</v>
      </c>
      <c r="CC282" s="7" t="n">
        <v>0.33</v>
      </c>
      <c r="CD282" s="7" t="n">
        <v>0.33</v>
      </c>
      <c r="CE282" s="2" t="inlineStr">
        <is>
          <t>其他</t>
        </is>
      </c>
      <c r="CF282" s="2"/>
      <c r="CG282" s="2"/>
      <c r="CH282" s="2" t="inlineStr">
        <is>
          <t>部门计划</t>
        </is>
      </c>
      <c r="CI282" s="2" t="inlineStr">
        <is>
          <t>重要不紧急</t>
        </is>
      </c>
      <c r="CJ282" s="2" t="inlineStr">
        <is>
          <t>半标准化-有流程框架，需专业经验</t>
        </is>
      </c>
      <c r="CK282" s="2" t="inlineStr">
        <is>
          <t>极少（&lt;5%）</t>
        </is>
      </c>
      <c r="CL282" s="2" t="inlineStr">
        <is>
          <t>时效/强度负荷</t>
        </is>
      </c>
      <c r="CM282" s="2"/>
      <c r="CN282" s="2" t="inlineStr">
        <is>
          <t>5d85f60a-3bc8-4f39-8b8e-e67838a953fe</t>
        </is>
      </c>
      <c r="CO282" s="3" t="n">
        <v>2</v>
      </c>
      <c r="CP282" s="2"/>
      <c r="CQ282" s="2" t="inlineStr">
        <is>
          <t>材料代码管理库维护修改</t>
        </is>
      </c>
      <c r="CR282" s="2" t="inlineStr">
        <is>
          <t>2-3次</t>
        </is>
      </c>
      <c r="CS282" s="3" t="n">
        <v>2</v>
      </c>
      <c r="CT282" s="3" t="n">
        <v>3</v>
      </c>
      <c r="CU282" s="2" t="inlineStr">
        <is>
          <t>C.2-4小时</t>
        </is>
      </c>
      <c r="CV282" s="7" t="n">
        <v>2</v>
      </c>
      <c r="CW282" s="7" t="n">
        <v>4</v>
      </c>
      <c r="CX282" s="7" t="n">
        <v>4</v>
      </c>
      <c r="CY282" s="7" t="n">
        <v>12</v>
      </c>
      <c r="CZ282" s="2" t="inlineStr">
        <is>
          <t>其他</t>
        </is>
      </c>
      <c r="DA282" s="2"/>
      <c r="DB282" s="2"/>
      <c r="DC282" s="2" t="inlineStr">
        <is>
          <t>岗位职责</t>
        </is>
      </c>
      <c r="DD282" s="2" t="inlineStr">
        <is>
          <t>重要不紧急</t>
        </is>
      </c>
      <c r="DE282" s="2" t="inlineStr">
        <is>
          <t>半标准化-有流程框架，需专业经验</t>
        </is>
      </c>
      <c r="DF282" s="2" t="inlineStr">
        <is>
          <t>低频（5%-10%）</t>
        </is>
      </c>
      <c r="DG282" s="2" t="inlineStr">
        <is>
          <t>时效/强度负荷</t>
        </is>
      </c>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t="inlineStr">
        <is>
          <t>4a70c6bf-27e2-4dfb-a8d0-c7f59d02c9e9</t>
        </is>
      </c>
      <c r="BT283" s="3" t="n">
        <v>3</v>
      </c>
      <c r="BU283" s="2" t="inlineStr">
        <is>
          <t>其他</t>
        </is>
      </c>
      <c r="BV283" s="2" t="inlineStr">
        <is>
          <t>核查材料代码</t>
        </is>
      </c>
      <c r="BW283" s="2" t="inlineStr">
        <is>
          <t>1次</t>
        </is>
      </c>
      <c r="BX283" s="3" t="n">
        <v>1</v>
      </c>
      <c r="BY283" s="3" t="n">
        <v>1</v>
      </c>
      <c r="BZ283" s="2" t="inlineStr">
        <is>
          <t>B.2小时以内</t>
        </is>
      </c>
      <c r="CA283" s="7" t="n">
        <v>2</v>
      </c>
      <c r="CB283" s="7" t="n">
        <v>2</v>
      </c>
      <c r="CC283" s="7" t="n">
        <v>2</v>
      </c>
      <c r="CD283" s="7" t="n">
        <v>2</v>
      </c>
      <c r="CE283" s="2" t="inlineStr">
        <is>
          <t>其他</t>
        </is>
      </c>
      <c r="CF283" s="2"/>
      <c r="CG283" s="2"/>
      <c r="CH283" s="2" t="inlineStr">
        <is>
          <t>部门计划</t>
        </is>
      </c>
      <c r="CI283" s="2" t="inlineStr">
        <is>
          <t>重要不紧急</t>
        </is>
      </c>
      <c r="CJ283" s="2" t="inlineStr">
        <is>
          <t>高度标准化-有成熟SOP，照做即可</t>
        </is>
      </c>
      <c r="CK283" s="2" t="inlineStr">
        <is>
          <t>极少（&lt;5%）</t>
        </is>
      </c>
      <c r="CL283" s="2" t="inlineStr">
        <is>
          <t>时效/强度负荷</t>
        </is>
      </c>
      <c r="CM283" s="2"/>
      <c r="CN283" s="2" t="inlineStr">
        <is>
          <t>5bf45f29-d546-43ea-926f-1e1cb01ac2ab</t>
        </is>
      </c>
      <c r="CO283" s="3" t="n">
        <v>3</v>
      </c>
      <c r="CP283" s="2"/>
      <c r="CQ283" s="2" t="inlineStr">
        <is>
          <t>训练集更新</t>
        </is>
      </c>
      <c r="CR283" s="2" t="inlineStr">
        <is>
          <t>2-3次</t>
        </is>
      </c>
      <c r="CS283" s="3" t="n">
        <v>2</v>
      </c>
      <c r="CT283" s="3" t="n">
        <v>3</v>
      </c>
      <c r="CU283" s="2" t="inlineStr">
        <is>
          <t>C.2-4小时</t>
        </is>
      </c>
      <c r="CV283" s="7" t="n">
        <v>2</v>
      </c>
      <c r="CW283" s="7" t="n">
        <v>4</v>
      </c>
      <c r="CX283" s="7" t="n">
        <v>4</v>
      </c>
      <c r="CY283" s="7" t="n">
        <v>12</v>
      </c>
      <c r="CZ283" s="2" t="inlineStr">
        <is>
          <t>其他</t>
        </is>
      </c>
      <c r="DA283" s="2"/>
      <c r="DB283" s="2"/>
      <c r="DC283" s="2" t="inlineStr">
        <is>
          <t>岗位职责</t>
        </is>
      </c>
      <c r="DD283" s="2" t="inlineStr">
        <is>
          <t>重要不紧急</t>
        </is>
      </c>
      <c r="DE283" s="2" t="inlineStr">
        <is>
          <t>非标准化-无先例参考，需创新协调</t>
        </is>
      </c>
      <c r="DF283" s="2" t="inlineStr">
        <is>
          <t>极少（&lt;5%）</t>
        </is>
      </c>
      <c r="DG283" s="2" t="inlineStr">
        <is>
          <t>时效/强度负荷</t>
        </is>
      </c>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t="inlineStr">
        <is>
          <t>c395302c-7665-43dd-8593-4edb94d84756</t>
        </is>
      </c>
      <c r="BT284" s="3" t="n">
        <v>4</v>
      </c>
      <c r="BU284" s="2" t="inlineStr">
        <is>
          <t>其他</t>
        </is>
      </c>
      <c r="BV284" s="2" t="inlineStr">
        <is>
          <t>协助解决材料代码问题</t>
        </is>
      </c>
      <c r="BW284" s="2" t="inlineStr">
        <is>
          <t>1次</t>
        </is>
      </c>
      <c r="BX284" s="3" t="n">
        <v>1</v>
      </c>
      <c r="BY284" s="3" t="n">
        <v>1</v>
      </c>
      <c r="BZ284" s="2" t="inlineStr">
        <is>
          <t>B.2小时以内</t>
        </is>
      </c>
      <c r="CA284" s="7" t="n">
        <v>2</v>
      </c>
      <c r="CB284" s="7" t="n">
        <v>2</v>
      </c>
      <c r="CC284" s="7" t="n">
        <v>2</v>
      </c>
      <c r="CD284" s="7" t="n">
        <v>2</v>
      </c>
      <c r="CE284" s="2" t="inlineStr">
        <is>
          <t>其他</t>
        </is>
      </c>
      <c r="CF284" s="2"/>
      <c r="CG284" s="2"/>
      <c r="CH284" s="2" t="inlineStr">
        <is>
          <t>岗位职责</t>
        </is>
      </c>
      <c r="CI284" s="2" t="inlineStr">
        <is>
          <t>重要且紧急</t>
        </is>
      </c>
      <c r="CJ284" s="2" t="inlineStr">
        <is>
          <t>高度标准化-有成熟SOP，照做即可</t>
        </is>
      </c>
      <c r="CK284" s="2" t="inlineStr">
        <is>
          <t>极少（&lt;5%）</t>
        </is>
      </c>
      <c r="CL284" s="2" t="inlineStr">
        <is>
          <t>沟通/协调负荷</t>
        </is>
      </c>
      <c r="CM284" s="2"/>
      <c r="CN284" s="2" t="inlineStr">
        <is>
          <t>5471e626-53a3-4652-95e0-6a6c7e26da5f</t>
        </is>
      </c>
      <c r="CO284" s="3" t="n">
        <v>4</v>
      </c>
      <c r="CP284" s="2"/>
      <c r="CQ284" s="2" t="inlineStr">
        <is>
          <t>历史材料数据整理</t>
        </is>
      </c>
      <c r="CR284" s="2" t="inlineStr">
        <is>
          <t>2-3次</t>
        </is>
      </c>
      <c r="CS284" s="3" t="n">
        <v>2</v>
      </c>
      <c r="CT284" s="3" t="n">
        <v>3</v>
      </c>
      <c r="CU284" s="2" t="inlineStr">
        <is>
          <t>C.2-4小时</t>
        </is>
      </c>
      <c r="CV284" s="7" t="n">
        <v>2</v>
      </c>
      <c r="CW284" s="7" t="n">
        <v>4</v>
      </c>
      <c r="CX284" s="7" t="n">
        <v>4</v>
      </c>
      <c r="CY284" s="7" t="n">
        <v>12</v>
      </c>
      <c r="CZ284" s="2" t="inlineStr">
        <is>
          <t>其他</t>
        </is>
      </c>
      <c r="DA284" s="2"/>
      <c r="DB284" s="2"/>
      <c r="DC284" s="2" t="inlineStr">
        <is>
          <t>岗位职责</t>
        </is>
      </c>
      <c r="DD284" s="2" t="inlineStr">
        <is>
          <t>重要不紧急</t>
        </is>
      </c>
      <c r="DE284" s="2" t="inlineStr">
        <is>
          <t>高度标准化-有成熟SOP，照做即可</t>
        </is>
      </c>
      <c r="DF284" s="2" t="inlineStr">
        <is>
          <t>极少（&lt;5%）</t>
        </is>
      </c>
      <c r="DG284" s="2" t="inlineStr">
        <is>
          <t>时效/强度负荷</t>
        </is>
      </c>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t="inlineStr">
        <is>
          <t>ef2f1f26-b92e-4d17-9af9-5a4ac642d032</t>
        </is>
      </c>
      <c r="CO285" s="3" t="n">
        <v>5</v>
      </c>
      <c r="CP285" s="2"/>
      <c r="CQ285" s="2" t="inlineStr">
        <is>
          <t>材料代码问题工单处理</t>
        </is>
      </c>
      <c r="CR285" s="2" t="inlineStr">
        <is>
          <t>2-3次</t>
        </is>
      </c>
      <c r="CS285" s="3" t="n">
        <v>2</v>
      </c>
      <c r="CT285" s="3" t="n">
        <v>3</v>
      </c>
      <c r="CU285" s="2" t="inlineStr">
        <is>
          <t>A.20分钟以内</t>
        </is>
      </c>
      <c r="CV285" s="7" t="n">
        <v>0.33</v>
      </c>
      <c r="CW285" s="7" t="n">
        <v>0.33</v>
      </c>
      <c r="CX285" s="7" t="n">
        <v>0.66</v>
      </c>
      <c r="CY285" s="7" t="n">
        <v>0.99</v>
      </c>
      <c r="CZ285" s="2" t="inlineStr">
        <is>
          <t>其他</t>
        </is>
      </c>
      <c r="DA285" s="2"/>
      <c r="DB285" s="2"/>
      <c r="DC285" s="2" t="inlineStr">
        <is>
          <t>岗位职责</t>
        </is>
      </c>
      <c r="DD285" s="2" t="inlineStr">
        <is>
          <t>重要且紧急</t>
        </is>
      </c>
      <c r="DE285" s="2" t="inlineStr">
        <is>
          <t>半标准化-有流程框架，需专业经验</t>
        </is>
      </c>
      <c r="DF285" s="2" t="inlineStr">
        <is>
          <t>极少（&lt;5%）</t>
        </is>
      </c>
      <c r="DG285" s="2" t="inlineStr">
        <is>
          <t>时效/强度负荷</t>
        </is>
      </c>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row>
    <row r="286">
      <c r="A286" s="2" t="inlineStr">
        <is>
          <t>2026-05-07 13:49:10</t>
        </is>
      </c>
      <c r="B286" s="2" t="inlineStr">
        <is>
          <t>吴俣</t>
        </is>
      </c>
      <c r="C286" s="2" t="inlineStr">
        <is>
          <t>技术中心</t>
        </is>
      </c>
      <c r="D286" s="2" t="inlineStr">
        <is>
          <t>男</t>
        </is>
      </c>
      <c r="E286" s="2" t="inlineStr">
        <is>
          <t>320112198909160412</t>
        </is>
      </c>
      <c r="F286" s="2" t="inlineStr">
        <is>
          <t>技术助理(一)</t>
        </is>
      </c>
      <c r="G286" s="2" t="inlineStr">
        <is>
          <t>2021-12</t>
        </is>
      </c>
      <c r="H286" s="2" t="inlineStr">
        <is>
          <t>盐城师范学院</t>
        </is>
      </c>
      <c r="I286" s="2" t="inlineStr">
        <is>
          <t>平面设计</t>
        </is>
      </c>
      <c r="J286" s="2" t="inlineStr">
        <is>
          <t>本科</t>
        </is>
      </c>
      <c r="K286" s="2"/>
      <c r="L286" s="6">
        <f>HYPERLINK("https://www.h3yun.com/Form/Attachments/?schemacode=D1483577de63ede327d4760b10664bd57671d7e&amp;bizObjectId=ac6ceace-4c20-4f21-a58f-69776dbedf37&amp;name=F0000046","点击查看")</f>
        <v>0</v>
      </c>
      <c r="M286" s="2" t="inlineStr">
        <is>
          <t>无</t>
        </is>
      </c>
      <c r="N286" s="2" t="inlineStr">
        <is>
          <t>每日工作;临时/突发工作</t>
        </is>
      </c>
      <c r="O286" s="2" t="inlineStr">
        <is>
          <t>30-40岁</t>
        </is>
      </c>
      <c r="P286" s="2" t="inlineStr">
        <is>
          <t>C.已婚已育</t>
        </is>
      </c>
      <c r="Q286" s="2" t="inlineStr">
        <is>
          <t>B.是，主要照护子女</t>
        </is>
      </c>
      <c r="R286" s="2" t="inlineStr">
        <is>
          <t>C.有2名及以上</t>
        </is>
      </c>
      <c r="S286" s="2" t="inlineStr">
        <is>
          <t>A.保持当前工作内容和节奏，收入相对稳定即可</t>
        </is>
      </c>
      <c r="T286" s="2" t="inlineStr">
        <is>
          <t>A.基本满意，希望保持</t>
        </is>
      </c>
      <c r="U286" s="2" t="inlineStr">
        <is>
          <t>C.增加弹性和稳定性</t>
        </is>
      </c>
      <c r="V286" s="2" t="inlineStr">
        <is>
          <t>A.没有</t>
        </is>
      </c>
      <c r="W286" s="2"/>
      <c r="X286" s="2" t="inlineStr">
        <is>
          <t>B.满负荷 (100%-120%)</t>
        </is>
      </c>
      <c r="Y286" s="2" t="inlineStr">
        <is>
          <t>E.临时差旅、突发事件、会议加班;G.接收到任务分配单完成周期内要求的加班</t>
        </is>
      </c>
      <c r="Z286" s="2" t="inlineStr">
        <is>
          <t>探索研发类工作</t>
        </is>
      </c>
      <c r="AA286" s="2" t="inlineStr">
        <is>
          <t>无</t>
        </is>
      </c>
      <c r="AB286" s="2" t="inlineStr">
        <is>
          <t>探索研发类工作</t>
        </is>
      </c>
      <c r="AC286" s="2" t="inlineStr">
        <is>
          <t>B.基本匹配（正常履行）</t>
        </is>
      </c>
      <c r="AD286" s="2" t="inlineStr">
        <is>
          <t>无</t>
        </is>
      </c>
      <c r="AE286" s="2"/>
      <c r="AF286" s="2"/>
      <c r="AG286" s="2" t="inlineStr">
        <is>
          <t>D.配偶不是公司家属</t>
        </is>
      </c>
      <c r="AH286" s="2"/>
      <c r="AI286" s="7" t="n">
        <v>6.66</v>
      </c>
      <c r="AJ286" s="7" t="n">
        <v>13.65</v>
      </c>
      <c r="AK286" s="7" t="n">
        <v>0</v>
      </c>
      <c r="AL286" s="7" t="n">
        <v>0</v>
      </c>
      <c r="AM286" s="7" t="n">
        <v>0</v>
      </c>
      <c r="AN286" s="7" t="n">
        <v>0</v>
      </c>
      <c r="AO286" s="7" t="n">
        <v>0</v>
      </c>
      <c r="AP286" s="7" t="n">
        <v>0</v>
      </c>
      <c r="AQ286" s="7" t="n">
        <v>0.36</v>
      </c>
      <c r="AR286" s="7" t="n">
        <v>0.73</v>
      </c>
      <c r="AS286" s="7" t="n">
        <v>7.02</v>
      </c>
      <c r="AT286" s="7" t="n">
        <v>14.38</v>
      </c>
      <c r="AU286" s="7" t="n">
        <v>10.7</v>
      </c>
      <c r="AV286" s="2" t="inlineStr">
        <is>
          <t>超负荷</t>
        </is>
      </c>
      <c r="AW286" s="2" t="inlineStr">
        <is>
          <t>不一致</t>
        </is>
      </c>
      <c r="AX286" s="2" t="inlineStr">
        <is>
          <t>ac6ceace-4c20-4f21-a58f-69776dbedf37</t>
        </is>
      </c>
      <c r="AY286" s="2" t="inlineStr">
        <is>
          <t>技术中心    吴俣</t>
        </is>
      </c>
      <c r="AZ286" s="2" t="inlineStr">
        <is>
          <t>Anonymous</t>
        </is>
      </c>
      <c r="BA286" s="2" t="inlineStr">
        <is>
          <t>Anonymous</t>
        </is>
      </c>
      <c r="BB286" s="2"/>
      <c r="BC286" s="2" t="inlineStr">
        <is>
          <t>2026-05-21 08:43:22</t>
        </is>
      </c>
      <c r="BD286" s="3" t="n">
        <v>1989</v>
      </c>
      <c r="BE286" s="3" t="n">
        <v>37</v>
      </c>
      <c r="BF286" s="2" t="inlineStr">
        <is>
          <t>A.无此需求</t>
        </is>
      </c>
      <c r="BG286" s="2" t="inlineStr">
        <is>
          <t>已生效</t>
        </is>
      </c>
      <c r="BH286" s="2" t="inlineStr">
        <is>
          <t>42006ebe-7264-4bf5-93d7-50df23076275</t>
        </is>
      </c>
      <c r="BI286" s="3" t="n">
        <v>1</v>
      </c>
      <c r="BJ286" s="2"/>
      <c r="BK286" s="2"/>
      <c r="BL286" s="2"/>
      <c r="BM286" s="2"/>
      <c r="BN286" s="2"/>
      <c r="BO286" s="2"/>
      <c r="BP286" s="2"/>
      <c r="BQ286" s="2"/>
      <c r="BR286" s="2"/>
      <c r="BS286" s="2" t="inlineStr">
        <is>
          <t>a3669ef8-4d07-4730-ba8c-939f6476af00</t>
        </is>
      </c>
      <c r="BT286" s="3" t="n">
        <v>1</v>
      </c>
      <c r="BU286" s="2" t="inlineStr">
        <is>
          <t>专业技术类</t>
        </is>
      </c>
      <c r="BV286" s="2" t="inlineStr">
        <is>
          <t>课题研究</t>
        </is>
      </c>
      <c r="BW286" s="2" t="inlineStr">
        <is>
          <t>1次</t>
        </is>
      </c>
      <c r="BX286" s="3" t="n">
        <v>1</v>
      </c>
      <c r="BY286" s="3" t="n">
        <v>1</v>
      </c>
      <c r="BZ286" s="2" t="inlineStr">
        <is>
          <t>D.4-8小时</t>
        </is>
      </c>
      <c r="CA286" s="7" t="n">
        <v>4</v>
      </c>
      <c r="CB286" s="7" t="n">
        <v>8</v>
      </c>
      <c r="CC286" s="7" t="n">
        <v>4</v>
      </c>
      <c r="CD286" s="7" t="n">
        <v>8</v>
      </c>
      <c r="CE286" s="2" t="inlineStr">
        <is>
          <t>专业技术类</t>
        </is>
      </c>
      <c r="CF286" s="2"/>
      <c r="CG286" s="2" t="inlineStr">
        <is>
          <t>探索研发类工作</t>
        </is>
      </c>
      <c r="CH286" s="2" t="inlineStr">
        <is>
          <t>上级指令</t>
        </is>
      </c>
      <c r="CI286" s="2" t="inlineStr">
        <is>
          <t>重要不紧急</t>
        </is>
      </c>
      <c r="CJ286" s="2" t="inlineStr">
        <is>
          <t>半标准化-有流程框架，需专业经验</t>
        </is>
      </c>
      <c r="CK286" s="2" t="inlineStr">
        <is>
          <t>低频（5%-10%）</t>
        </is>
      </c>
      <c r="CL286" s="2" t="inlineStr">
        <is>
          <t>脑力/复杂度负荷</t>
        </is>
      </c>
      <c r="CM286" s="2"/>
      <c r="CN286" s="2" t="inlineStr">
        <is>
          <t>c9080030-490a-4d69-a94b-1c324f1f2161</t>
        </is>
      </c>
      <c r="CO286" s="3" t="n">
        <v>1</v>
      </c>
      <c r="CP286" s="2"/>
      <c r="CQ286" s="2"/>
      <c r="CR286" s="2"/>
      <c r="CS286" s="3"/>
      <c r="CT286" s="3"/>
      <c r="CU286" s="2"/>
      <c r="CV286" s="3"/>
      <c r="CW286" s="3"/>
      <c r="CX286" s="3"/>
      <c r="CY286" s="3"/>
      <c r="CZ286" s="2"/>
      <c r="DA286" s="2"/>
      <c r="DB286" s="2"/>
      <c r="DC286" s="2"/>
      <c r="DD286" s="2"/>
      <c r="DE286" s="2"/>
      <c r="DF286" s="2"/>
      <c r="DG286" s="2"/>
      <c r="DH286" s="2"/>
      <c r="DI286" s="2" t="inlineStr">
        <is>
          <t>81271869-5053-48c9-81a6-7f15eb311959</t>
        </is>
      </c>
      <c r="DJ286" s="3" t="n">
        <v>1</v>
      </c>
      <c r="DK286" s="2"/>
      <c r="DL286" s="2"/>
      <c r="DM286" s="2"/>
      <c r="DN286" s="3"/>
      <c r="DO286" s="3"/>
      <c r="DP286" s="2"/>
      <c r="DQ286" s="3"/>
      <c r="DR286" s="3"/>
      <c r="DS286" s="3"/>
      <c r="DT286" s="3"/>
      <c r="DU286" s="2"/>
      <c r="DV286" s="2"/>
      <c r="DW286" s="2"/>
      <c r="DX286" s="2"/>
      <c r="DY286" s="2"/>
      <c r="DZ286" s="2"/>
      <c r="EA286" s="2"/>
      <c r="EB286" s="2"/>
      <c r="EC286" s="2"/>
      <c r="ED286" s="2" t="inlineStr">
        <is>
          <t>3a3316f5-4f49-4076-8533-4cd793e503b5</t>
        </is>
      </c>
      <c r="EE286" s="3" t="n">
        <v>1</v>
      </c>
      <c r="EF286" s="2"/>
      <c r="EG286" s="2"/>
      <c r="EH286" s="2"/>
      <c r="EI286" s="3"/>
      <c r="EJ286" s="2"/>
      <c r="EK286" s="3"/>
      <c r="EL286" s="3"/>
      <c r="EM286" s="3"/>
      <c r="EN286" s="3"/>
      <c r="EO286" s="2"/>
      <c r="EP286" s="2"/>
      <c r="EQ286" s="2"/>
      <c r="ER286" s="2"/>
      <c r="ES286" s="2"/>
      <c r="ET286" s="2"/>
      <c r="EU286" s="2"/>
      <c r="EV286" s="2"/>
      <c r="EW286" s="2"/>
      <c r="EX286" s="2" t="inlineStr">
        <is>
          <t>6673a921-c66d-4fbd-aeca-29a2a1e42fd6</t>
        </is>
      </c>
      <c r="EY286" s="3" t="n">
        <v>1</v>
      </c>
      <c r="EZ286" s="2"/>
      <c r="FA286" s="2" t="inlineStr">
        <is>
          <t>BIM可视化技术服务</t>
        </is>
      </c>
      <c r="FB286" s="2" t="inlineStr">
        <is>
          <t>每月1-2次</t>
        </is>
      </c>
      <c r="FC286" s="2" t="inlineStr">
        <is>
          <t>月</t>
        </is>
      </c>
      <c r="FD286" s="3" t="n">
        <v>1</v>
      </c>
      <c r="FE286" s="3" t="n">
        <v>2</v>
      </c>
      <c r="FF286" s="2" t="inlineStr">
        <is>
          <t>E.8小时以上</t>
        </is>
      </c>
      <c r="FG286" s="7" t="n">
        <v>8</v>
      </c>
      <c r="FH286" s="7" t="n">
        <v>8</v>
      </c>
      <c r="FI286" s="7" t="n">
        <v>8</v>
      </c>
      <c r="FJ286" s="7" t="n">
        <v>16</v>
      </c>
      <c r="FK286" s="7" t="n">
        <v>0</v>
      </c>
      <c r="FL286" s="7" t="n">
        <v>0</v>
      </c>
      <c r="FM286" s="7" t="n">
        <v>0</v>
      </c>
      <c r="FN286" s="7" t="n">
        <v>0</v>
      </c>
      <c r="FO286" s="2" t="inlineStr">
        <is>
          <t>专业技术类</t>
        </is>
      </c>
      <c r="FP286" s="2"/>
      <c r="FQ286" s="2" t="inlineStr">
        <is>
          <t>技术交底</t>
        </is>
      </c>
      <c r="FR286" s="2" t="inlineStr">
        <is>
          <t>上级指令</t>
        </is>
      </c>
      <c r="FS286" s="2" t="inlineStr">
        <is>
          <t>重要且紧急</t>
        </is>
      </c>
      <c r="FT286" s="2" t="inlineStr">
        <is>
          <t>半标准化-有流程框架，需专业经验</t>
        </is>
      </c>
      <c r="FU286" s="2" t="inlineStr">
        <is>
          <t>低频（5%-10%）</t>
        </is>
      </c>
      <c r="FV286" s="2" t="inlineStr">
        <is>
          <t>时效/强度负荷</t>
        </is>
      </c>
      <c r="FW286" s="2" t="inlineStr">
        <is>
          <t>针对分公司或外部单位的技术服务</t>
        </is>
      </c>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t="inlineStr">
        <is>
          <t>1baca005-af7c-4376-80f1-090b73ffe3ae</t>
        </is>
      </c>
      <c r="BT287" s="3" t="n">
        <v>2</v>
      </c>
      <c r="BU287" s="2" t="inlineStr">
        <is>
          <t>专业技术类</t>
        </is>
      </c>
      <c r="BV287" s="2" t="inlineStr">
        <is>
          <t>BIM可视化工作</t>
        </is>
      </c>
      <c r="BW287" s="2" t="inlineStr">
        <is>
          <t>1次</t>
        </is>
      </c>
      <c r="BX287" s="3" t="n">
        <v>1</v>
      </c>
      <c r="BY287" s="3" t="n">
        <v>1</v>
      </c>
      <c r="BZ287" s="2" t="inlineStr">
        <is>
          <t>C.2-4小时</t>
        </is>
      </c>
      <c r="CA287" s="7" t="n">
        <v>2</v>
      </c>
      <c r="CB287" s="7" t="n">
        <v>4</v>
      </c>
      <c r="CC287" s="7" t="n">
        <v>2</v>
      </c>
      <c r="CD287" s="7" t="n">
        <v>4</v>
      </c>
      <c r="CE287" s="2" t="inlineStr">
        <is>
          <t>专业技术类</t>
        </is>
      </c>
      <c r="CF287" s="2"/>
      <c r="CG287" s="2" t="inlineStr">
        <is>
          <t>标准研究</t>
        </is>
      </c>
      <c r="CH287" s="2" t="inlineStr">
        <is>
          <t>上级指令</t>
        </is>
      </c>
      <c r="CI287" s="2" t="inlineStr">
        <is>
          <t>重要且紧急</t>
        </is>
      </c>
      <c r="CJ287" s="2" t="inlineStr">
        <is>
          <t>半标准化-有流程框架，需专业经验</t>
        </is>
      </c>
      <c r="CK287" s="2" t="inlineStr">
        <is>
          <t>低频（5%-10%）</t>
        </is>
      </c>
      <c r="CL287" s="2" t="inlineStr">
        <is>
          <t>脑力/复杂度负荷</t>
        </is>
      </c>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t="inlineStr">
        <is>
          <t>6d691cb6-f17d-4272-9aae-17fb310080b4</t>
        </is>
      </c>
      <c r="BT288" s="3" t="n">
        <v>3</v>
      </c>
      <c r="BU288" s="2" t="inlineStr">
        <is>
          <t>协调沟通类</t>
        </is>
      </c>
      <c r="BV288" s="2" t="inlineStr">
        <is>
          <t>小组成员工作安排与指导</t>
        </is>
      </c>
      <c r="BW288" s="2" t="inlineStr">
        <is>
          <t>2-5次</t>
        </is>
      </c>
      <c r="BX288" s="3" t="n">
        <v>2</v>
      </c>
      <c r="BY288" s="3" t="n">
        <v>5</v>
      </c>
      <c r="BZ288" s="2" t="inlineStr">
        <is>
          <t>A.20分钟以内</t>
        </is>
      </c>
      <c r="CA288" s="7" t="n">
        <v>0.33</v>
      </c>
      <c r="CB288" s="7" t="n">
        <v>0.33</v>
      </c>
      <c r="CC288" s="7" t="n">
        <v>0.66</v>
      </c>
      <c r="CD288" s="7" t="n">
        <v>1.65</v>
      </c>
      <c r="CE288" s="2" t="inlineStr">
        <is>
          <t>协调沟通类</t>
        </is>
      </c>
      <c r="CF288" s="2"/>
      <c r="CG288" s="2" t="inlineStr">
        <is>
          <t>催办</t>
        </is>
      </c>
      <c r="CH288" s="2" t="inlineStr">
        <is>
          <t>岗位职责</t>
        </is>
      </c>
      <c r="CI288" s="2" t="inlineStr">
        <is>
          <t>重要且紧急</t>
        </is>
      </c>
      <c r="CJ288" s="2" t="inlineStr">
        <is>
          <t>半标准化-有流程框架，需专业经验</t>
        </is>
      </c>
      <c r="CK288" s="2" t="inlineStr">
        <is>
          <t>低频（5%-10%）</t>
        </is>
      </c>
      <c r="CL288" s="2" t="inlineStr">
        <is>
          <t>沟通/协调负荷</t>
        </is>
      </c>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row>
    <row r="289">
      <c r="A289" s="2" t="inlineStr">
        <is>
          <t>2026-05-07 12:40:38</t>
        </is>
      </c>
      <c r="B289" s="2" t="inlineStr">
        <is>
          <t>杨莉娟</t>
        </is>
      </c>
      <c r="C289" s="2" t="inlineStr">
        <is>
          <t>技术中心</t>
        </is>
      </c>
      <c r="D289" s="2" t="inlineStr">
        <is>
          <t>女</t>
        </is>
      </c>
      <c r="E289" s="2" t="inlineStr">
        <is>
          <t>340302199004160027</t>
        </is>
      </c>
      <c r="F289" s="2" t="inlineStr">
        <is>
          <t>技术助理(一)</t>
        </is>
      </c>
      <c r="G289" s="2" t="inlineStr">
        <is>
          <t>2026-03</t>
        </is>
      </c>
      <c r="H289" s="2" t="inlineStr">
        <is>
          <t>武汉工程大学</t>
        </is>
      </c>
      <c r="I289" s="2"/>
      <c r="J289" s="2" t="inlineStr">
        <is>
          <t>本科</t>
        </is>
      </c>
      <c r="K289" s="2"/>
      <c r="L289" s="6">
        <f>HYPERLINK("https://www.h3yun.com/Form/Attachments/?schemacode=D1483577de63ede327d4760b10664bd57671d7e&amp;bizObjectId=85c1070d-7c23-4865-a79d-7a2cf2eb7121&amp;name=F0000046","点击查看")</f>
        <v>0</v>
      </c>
      <c r="M289" s="2" t="inlineStr">
        <is>
          <t>无</t>
        </is>
      </c>
      <c r="N289" s="2" t="inlineStr">
        <is>
          <t>每日工作;临时/突发工作</t>
        </is>
      </c>
      <c r="O289" s="2" t="inlineStr">
        <is>
          <t>30-40岁</t>
        </is>
      </c>
      <c r="P289" s="2" t="inlineStr">
        <is>
          <t>A.未婚</t>
        </is>
      </c>
      <c r="Q289" s="2" t="inlineStr">
        <is>
          <t>A.否</t>
        </is>
      </c>
      <c r="R289" s="2" t="inlineStr">
        <is>
          <t>A.否</t>
        </is>
      </c>
      <c r="S289" s="2" t="inlineStr">
        <is>
          <t>C.希望工作压力适中，但职责边界更清晰</t>
        </is>
      </c>
      <c r="T289" s="2" t="inlineStr">
        <is>
          <t>C.工作较稳定，但发展空间不足</t>
        </is>
      </c>
      <c r="U289" s="2" t="inlineStr">
        <is>
          <t>E.增加成长性和挑战性</t>
        </is>
      </c>
      <c r="V289" s="2" t="inlineStr">
        <is>
          <t>A.没有</t>
        </is>
      </c>
      <c r="W289" s="2"/>
      <c r="X289" s="2" t="inlineStr">
        <is>
          <t>C.均衡 (80%-100%)</t>
        </is>
      </c>
      <c r="Y289" s="2" t="inlineStr">
        <is>
          <t>E.临时差旅、突发事件、会议加班</t>
        </is>
      </c>
      <c r="Z289" s="2" t="inlineStr">
        <is>
          <t>专业问题协调</t>
        </is>
      </c>
      <c r="AA289" s="2" t="inlineStr">
        <is>
          <t>无</t>
        </is>
      </c>
      <c r="AB289" s="2" t="inlineStr">
        <is>
          <t>标准研究</t>
        </is>
      </c>
      <c r="AC289" s="2" t="inlineStr">
        <is>
          <t>B.基本匹配（正常履行）</t>
        </is>
      </c>
      <c r="AD289" s="2" t="inlineStr">
        <is>
          <t>无</t>
        </is>
      </c>
      <c r="AE289" s="2"/>
      <c r="AF289" s="2"/>
      <c r="AG289" s="2"/>
      <c r="AH289" s="2"/>
      <c r="AI289" s="7" t="n">
        <v>8</v>
      </c>
      <c r="AJ289" s="7" t="n">
        <v>40</v>
      </c>
      <c r="AK289" s="7" t="n">
        <v>0</v>
      </c>
      <c r="AL289" s="7" t="n">
        <v>0</v>
      </c>
      <c r="AM289" s="7" t="n">
        <v>0</v>
      </c>
      <c r="AN289" s="7" t="n">
        <v>0</v>
      </c>
      <c r="AO289" s="7" t="n">
        <v>0</v>
      </c>
      <c r="AP289" s="7" t="n">
        <v>0</v>
      </c>
      <c r="AQ289" s="7" t="n">
        <v>0.36</v>
      </c>
      <c r="AR289" s="7" t="n">
        <v>0.73</v>
      </c>
      <c r="AS289" s="7" t="n">
        <v>8.36</v>
      </c>
      <c r="AT289" s="7" t="n">
        <v>40.73</v>
      </c>
      <c r="AU289" s="7" t="n">
        <v>24.55</v>
      </c>
      <c r="AV289" s="2" t="inlineStr">
        <is>
          <t>超负荷</t>
        </is>
      </c>
      <c r="AW289" s="2" t="inlineStr">
        <is>
          <t>不一致</t>
        </is>
      </c>
      <c r="AX289" s="2" t="inlineStr">
        <is>
          <t>85c1070d-7c23-4865-a79d-7a2cf2eb7121</t>
        </is>
      </c>
      <c r="AY289" s="2" t="inlineStr">
        <is>
          <t>技术中心    杨莉娟</t>
        </is>
      </c>
      <c r="AZ289" s="2" t="inlineStr">
        <is>
          <t>Anonymous</t>
        </is>
      </c>
      <c r="BA289" s="2" t="inlineStr">
        <is>
          <t>Anonymous</t>
        </is>
      </c>
      <c r="BB289" s="2"/>
      <c r="BC289" s="2" t="inlineStr">
        <is>
          <t>2026-05-21 08:43:22</t>
        </is>
      </c>
      <c r="BD289" s="3" t="n">
        <v>1990</v>
      </c>
      <c r="BE289" s="3" t="n">
        <v>36</v>
      </c>
      <c r="BF289" s="2" t="inlineStr">
        <is>
          <t>A.无此需求</t>
        </is>
      </c>
      <c r="BG289" s="2" t="inlineStr">
        <is>
          <t>已生效</t>
        </is>
      </c>
      <c r="BH289" s="2" t="inlineStr">
        <is>
          <t>cd74b69d-4799-4895-bf0d-5b89aad34487</t>
        </is>
      </c>
      <c r="BI289" s="3" t="n">
        <v>1</v>
      </c>
      <c r="BJ289" s="2"/>
      <c r="BK289" s="2"/>
      <c r="BL289" s="2"/>
      <c r="BM289" s="2"/>
      <c r="BN289" s="2"/>
      <c r="BO289" s="2"/>
      <c r="BP289" s="2"/>
      <c r="BQ289" s="2"/>
      <c r="BR289" s="2"/>
      <c r="BS289" s="2" t="inlineStr">
        <is>
          <t>8043b75d-f78e-4134-9b46-203322ffbde5</t>
        </is>
      </c>
      <c r="BT289" s="3" t="n">
        <v>1</v>
      </c>
      <c r="BU289" s="2" t="inlineStr">
        <is>
          <t>专业技术类</t>
        </is>
      </c>
      <c r="BV289" s="2" t="inlineStr">
        <is>
          <t>专业技术类</t>
        </is>
      </c>
      <c r="BW289" s="2" t="inlineStr">
        <is>
          <t>2-5次</t>
        </is>
      </c>
      <c r="BX289" s="3" t="n">
        <v>2</v>
      </c>
      <c r="BY289" s="3" t="n">
        <v>5</v>
      </c>
      <c r="BZ289" s="2" t="inlineStr">
        <is>
          <t>D.4-8小时</t>
        </is>
      </c>
      <c r="CA289" s="7" t="n">
        <v>4</v>
      </c>
      <c r="CB289" s="7" t="n">
        <v>8</v>
      </c>
      <c r="CC289" s="7" t="n">
        <v>8</v>
      </c>
      <c r="CD289" s="7" t="n">
        <v>40</v>
      </c>
      <c r="CE289" s="2" t="inlineStr">
        <is>
          <t>专业技术类</t>
        </is>
      </c>
      <c r="CF289" s="2"/>
      <c r="CG289" s="2" t="inlineStr">
        <is>
          <t>探索研发类工作</t>
        </is>
      </c>
      <c r="CH289" s="2" t="inlineStr">
        <is>
          <t>上级指令</t>
        </is>
      </c>
      <c r="CI289" s="2" t="inlineStr">
        <is>
          <t>重要不紧急</t>
        </is>
      </c>
      <c r="CJ289" s="2" t="inlineStr">
        <is>
          <t>非标准化-无先例参考，需创新协调</t>
        </is>
      </c>
      <c r="CK289" s="2" t="inlineStr">
        <is>
          <t>极少（&lt;5%）</t>
        </is>
      </c>
      <c r="CL289" s="2" t="inlineStr">
        <is>
          <t>脑力/复杂度负荷</t>
        </is>
      </c>
      <c r="CM289" s="2"/>
      <c r="CN289" s="2" t="inlineStr">
        <is>
          <t>097f30a1-7ac4-4539-a199-98499a5517b4</t>
        </is>
      </c>
      <c r="CO289" s="3" t="n">
        <v>1</v>
      </c>
      <c r="CP289" s="2"/>
      <c r="CQ289" s="2"/>
      <c r="CR289" s="2"/>
      <c r="CS289" s="3"/>
      <c r="CT289" s="3"/>
      <c r="CU289" s="2"/>
      <c r="CV289" s="3"/>
      <c r="CW289" s="3"/>
      <c r="CX289" s="3"/>
      <c r="CY289" s="3"/>
      <c r="CZ289" s="2"/>
      <c r="DA289" s="2"/>
      <c r="DB289" s="2"/>
      <c r="DC289" s="2"/>
      <c r="DD289" s="2"/>
      <c r="DE289" s="2"/>
      <c r="DF289" s="2"/>
      <c r="DG289" s="2"/>
      <c r="DH289" s="2"/>
      <c r="DI289" s="2" t="inlineStr">
        <is>
          <t>e3cb87a3-3330-4b2c-b5e9-7de647f22583</t>
        </is>
      </c>
      <c r="DJ289" s="3" t="n">
        <v>1</v>
      </c>
      <c r="DK289" s="2"/>
      <c r="DL289" s="2"/>
      <c r="DM289" s="2"/>
      <c r="DN289" s="3"/>
      <c r="DO289" s="3"/>
      <c r="DP289" s="2"/>
      <c r="DQ289" s="3"/>
      <c r="DR289" s="3"/>
      <c r="DS289" s="3"/>
      <c r="DT289" s="3"/>
      <c r="DU289" s="2"/>
      <c r="DV289" s="2"/>
      <c r="DW289" s="2"/>
      <c r="DX289" s="2"/>
      <c r="DY289" s="2"/>
      <c r="DZ289" s="2"/>
      <c r="EA289" s="2"/>
      <c r="EB289" s="2"/>
      <c r="EC289" s="2"/>
      <c r="ED289" s="2" t="inlineStr">
        <is>
          <t>ee78bda1-817d-4178-93f6-e75e4fedcc04</t>
        </is>
      </c>
      <c r="EE289" s="3" t="n">
        <v>1</v>
      </c>
      <c r="EF289" s="2"/>
      <c r="EG289" s="2"/>
      <c r="EH289" s="2"/>
      <c r="EI289" s="3"/>
      <c r="EJ289" s="2"/>
      <c r="EK289" s="3"/>
      <c r="EL289" s="3"/>
      <c r="EM289" s="3"/>
      <c r="EN289" s="3"/>
      <c r="EO289" s="2"/>
      <c r="EP289" s="2"/>
      <c r="EQ289" s="2"/>
      <c r="ER289" s="2"/>
      <c r="ES289" s="2"/>
      <c r="ET289" s="2"/>
      <c r="EU289" s="2"/>
      <c r="EV289" s="2"/>
      <c r="EW289" s="2"/>
      <c r="EX289" s="2" t="inlineStr">
        <is>
          <t>a96d98c5-a515-452f-a44e-599507246915</t>
        </is>
      </c>
      <c r="EY289" s="3" t="n">
        <v>1</v>
      </c>
      <c r="EZ289" s="2"/>
      <c r="FA289" s="2" t="inlineStr">
        <is>
          <t>专业技术类</t>
        </is>
      </c>
      <c r="FB289" s="2" t="inlineStr">
        <is>
          <t>每月1-2次</t>
        </is>
      </c>
      <c r="FC289" s="2" t="inlineStr">
        <is>
          <t>月</t>
        </is>
      </c>
      <c r="FD289" s="3" t="n">
        <v>1</v>
      </c>
      <c r="FE289" s="3" t="n">
        <v>2</v>
      </c>
      <c r="FF289" s="2" t="inlineStr">
        <is>
          <t>E.8小时以上</t>
        </is>
      </c>
      <c r="FG289" s="7" t="n">
        <v>8</v>
      </c>
      <c r="FH289" s="7" t="n">
        <v>8</v>
      </c>
      <c r="FI289" s="7" t="n">
        <v>8</v>
      </c>
      <c r="FJ289" s="7" t="n">
        <v>16</v>
      </c>
      <c r="FK289" s="7" t="n">
        <v>0</v>
      </c>
      <c r="FL289" s="7" t="n">
        <v>0</v>
      </c>
      <c r="FM289" s="7" t="n">
        <v>0</v>
      </c>
      <c r="FN289" s="7" t="n">
        <v>0</v>
      </c>
      <c r="FO289" s="2" t="inlineStr">
        <is>
          <t>专业技术类</t>
        </is>
      </c>
      <c r="FP289" s="2"/>
      <c r="FQ289" s="2" t="inlineStr">
        <is>
          <t>专业问题协调</t>
        </is>
      </c>
      <c r="FR289" s="2" t="inlineStr">
        <is>
          <t>上级指令</t>
        </is>
      </c>
      <c r="FS289" s="2" t="inlineStr">
        <is>
          <t>重要且紧急</t>
        </is>
      </c>
      <c r="FT289" s="2" t="inlineStr">
        <is>
          <t>非标准化-无先例参考，需创新协调</t>
        </is>
      </c>
      <c r="FU289" s="2" t="inlineStr">
        <is>
          <t>极少（&lt;5%）</t>
        </is>
      </c>
      <c r="FV289" s="2" t="inlineStr">
        <is>
          <t>脑力/复杂度负荷</t>
        </is>
      </c>
      <c r="FW289" s="2"/>
    </row>
    <row r="290">
      <c r="A290" s="2" t="inlineStr">
        <is>
          <t>2026-05-07 12:39:33</t>
        </is>
      </c>
      <c r="B290" s="2" t="inlineStr">
        <is>
          <t>杨祎</t>
        </is>
      </c>
      <c r="C290" s="2" t="inlineStr">
        <is>
          <t>物资部</t>
        </is>
      </c>
      <c r="D290" s="2" t="inlineStr">
        <is>
          <t>女</t>
        </is>
      </c>
      <c r="E290" s="2" t="inlineStr">
        <is>
          <t>429006199405141529</t>
        </is>
      </c>
      <c r="F290" s="2" t="inlineStr">
        <is>
          <t>业务主管</t>
        </is>
      </c>
      <c r="G290" s="2" t="inlineStr">
        <is>
          <t>2014-08</t>
        </is>
      </c>
      <c r="H290" s="2" t="inlineStr">
        <is>
          <t>扬州工业职业技术学院</t>
        </is>
      </c>
      <c r="I290" s="2" t="inlineStr">
        <is>
          <t>材料员</t>
        </is>
      </c>
      <c r="J290" s="2" t="inlineStr">
        <is>
          <t>大专</t>
        </is>
      </c>
      <c r="K290" s="2"/>
      <c r="L290" s="6">
        <f>HYPERLINK("https://www.h3yun.com/Form/Attachments/?schemacode=D1483577de63ede327d4760b10664bd57671d7e&amp;bizObjectId=0756df9c-f989-4400-af40-4e6fad75682a&amp;name=F0000046","点击查看")</f>
        <v>0</v>
      </c>
      <c r="M290" s="2" t="inlineStr">
        <is>
          <t>无</t>
        </is>
      </c>
      <c r="N290" s="2" t="inlineStr">
        <is>
          <t>每日工作;每周工作;每季度/阶段性工作;临时/突发工作</t>
        </is>
      </c>
      <c r="O290" s="2" t="inlineStr">
        <is>
          <t>31-35岁</t>
        </is>
      </c>
      <c r="P290" s="2" t="inlineStr">
        <is>
          <t>C.已婚已育</t>
        </is>
      </c>
      <c r="Q290" s="2" t="inlineStr">
        <is>
          <t>B.是，主要照护子女</t>
        </is>
      </c>
      <c r="R290" s="2" t="inlineStr">
        <is>
          <t>B.有1名</t>
        </is>
      </c>
      <c r="S290" s="2" t="inlineStr">
        <is>
          <t>A.保持当前工作内容和节奏，收入相对稳定即可</t>
        </is>
      </c>
      <c r="T290" s="2" t="inlineStr">
        <is>
          <t>A.基本满意，希望保持</t>
        </is>
      </c>
      <c r="U290" s="2" t="inlineStr">
        <is>
          <t>B.减少无效流转和返工</t>
        </is>
      </c>
      <c r="V290" s="2" t="inlineStr">
        <is>
          <t>D.已形成较稳定优化做法</t>
        </is>
      </c>
      <c r="W290" s="2"/>
      <c r="X290" s="2" t="inlineStr">
        <is>
          <t>C.均衡 (80%-100%)</t>
        </is>
      </c>
      <c r="Y290" s="2" t="inlineStr">
        <is>
          <t>I.无需加班</t>
        </is>
      </c>
      <c r="Z290" s="2" t="inlineStr">
        <is>
          <t>外部联络</t>
        </is>
      </c>
      <c r="AA290" s="2" t="inlineStr">
        <is>
          <t>无</t>
        </is>
      </c>
      <c r="AB290" s="2" t="inlineStr">
        <is>
          <t>无</t>
        </is>
      </c>
      <c r="AC290" s="2" t="inlineStr">
        <is>
          <t>A.高度匹配（得心应手）</t>
        </is>
      </c>
      <c r="AD290" s="2" t="inlineStr">
        <is>
          <t>无</t>
        </is>
      </c>
      <c r="AE290" s="2"/>
      <c r="AF290" s="2"/>
      <c r="AG290" s="2" t="inlineStr">
        <is>
          <t>D.配偶不是公司家属</t>
        </is>
      </c>
      <c r="AH290" s="2" t="inlineStr">
        <is>
          <t>D.无意向，但是可能会动态变化</t>
        </is>
      </c>
      <c r="AI290" s="7" t="n">
        <v>0.66</v>
      </c>
      <c r="AJ290" s="7" t="n">
        <v>1.65</v>
      </c>
      <c r="AK290" s="7" t="n">
        <v>0.8</v>
      </c>
      <c r="AL290" s="7" t="n">
        <v>1.6</v>
      </c>
      <c r="AM290" s="7" t="n">
        <v>0</v>
      </c>
      <c r="AN290" s="7" t="n">
        <v>0</v>
      </c>
      <c r="AO290" s="7" t="n">
        <v>0.1</v>
      </c>
      <c r="AP290" s="7" t="n">
        <v>0.1</v>
      </c>
      <c r="AQ290" s="7" t="n">
        <v>0.09</v>
      </c>
      <c r="AR290" s="7" t="n">
        <v>0.18</v>
      </c>
      <c r="AS290" s="7" t="n">
        <v>1.65</v>
      </c>
      <c r="AT290" s="7" t="n">
        <v>3.53</v>
      </c>
      <c r="AU290" s="7" t="n">
        <v>2.59</v>
      </c>
      <c r="AV290" s="2" t="inlineStr">
        <is>
          <t>非饱和</t>
        </is>
      </c>
      <c r="AW290" s="2" t="inlineStr">
        <is>
          <t>不一致</t>
        </is>
      </c>
      <c r="AX290" s="2" t="inlineStr">
        <is>
          <t>0756df9c-f989-4400-af40-4e6fad75682a</t>
        </is>
      </c>
      <c r="AY290" s="2" t="inlineStr">
        <is>
          <t>物资部    杨祎</t>
        </is>
      </c>
      <c r="AZ290" s="2" t="inlineStr">
        <is>
          <t>Anonymous</t>
        </is>
      </c>
      <c r="BA290" s="2" t="inlineStr">
        <is>
          <t>Anonymous</t>
        </is>
      </c>
      <c r="BB290" s="2"/>
      <c r="BC290" s="2" t="inlineStr">
        <is>
          <t>2026-05-21 08:43:22</t>
        </is>
      </c>
      <c r="BD290" s="3" t="n">
        <v>1994</v>
      </c>
      <c r="BE290" s="3" t="n">
        <v>32</v>
      </c>
      <c r="BF290" s="2" t="inlineStr">
        <is>
          <t>A.无此需求</t>
        </is>
      </c>
      <c r="BG290" s="2" t="inlineStr">
        <is>
          <t>已生效</t>
        </is>
      </c>
      <c r="BH290" s="2" t="inlineStr">
        <is>
          <t>98062129-e431-4959-a1ae-9c37fd3f5767</t>
        </is>
      </c>
      <c r="BI290" s="3" t="n">
        <v>1</v>
      </c>
      <c r="BJ290" s="2"/>
      <c r="BK290" s="2"/>
      <c r="BL290" s="2"/>
      <c r="BM290" s="2"/>
      <c r="BN290" s="2"/>
      <c r="BO290" s="2"/>
      <c r="BP290" s="2"/>
      <c r="BQ290" s="2"/>
      <c r="BR290" s="2"/>
      <c r="BS290" s="2" t="inlineStr">
        <is>
          <t>981bbdc1-cfb8-4f97-94b6-3670d84acd6f</t>
        </is>
      </c>
      <c r="BT290" s="3" t="n">
        <v>1</v>
      </c>
      <c r="BU290" s="2" t="inlineStr">
        <is>
          <t>专业技术类</t>
        </is>
      </c>
      <c r="BV290" s="2" t="inlineStr">
        <is>
          <t>协助系统小工具测试</t>
        </is>
      </c>
      <c r="BW290" s="2" t="inlineStr">
        <is>
          <t>2-5次</t>
        </is>
      </c>
      <c r="BX290" s="3" t="n">
        <v>2</v>
      </c>
      <c r="BY290" s="3" t="n">
        <v>5</v>
      </c>
      <c r="BZ290" s="2" t="inlineStr">
        <is>
          <t>A.20分钟以内</t>
        </is>
      </c>
      <c r="CA290" s="7" t="n">
        <v>0.33</v>
      </c>
      <c r="CB290" s="7" t="n">
        <v>0.33</v>
      </c>
      <c r="CC290" s="7" t="n">
        <v>0.66</v>
      </c>
      <c r="CD290" s="7" t="n">
        <v>1.65</v>
      </c>
      <c r="CE290" s="2" t="inlineStr">
        <is>
          <t>专业技术类</t>
        </is>
      </c>
      <c r="CF290" s="2"/>
      <c r="CG290" s="2" t="inlineStr">
        <is>
          <t>探索研发类工作</t>
        </is>
      </c>
      <c r="CH290" s="2" t="inlineStr">
        <is>
          <t>跨部门协同</t>
        </is>
      </c>
      <c r="CI290" s="2" t="inlineStr">
        <is>
          <t>重要不紧急</t>
        </is>
      </c>
      <c r="CJ290" s="2" t="inlineStr">
        <is>
          <t>高度标准化-有成熟SOP，照做即可</t>
        </is>
      </c>
      <c r="CK290" s="2" t="inlineStr">
        <is>
          <t>极少（&lt;5%）</t>
        </is>
      </c>
      <c r="CL290" s="2" t="inlineStr">
        <is>
          <t>脑力/复杂度负荷</t>
        </is>
      </c>
      <c r="CM290" s="2"/>
      <c r="CN290" s="2" t="inlineStr">
        <is>
          <t>7c19360f-a8f5-485b-9d73-5d6d5d94d9bf</t>
        </is>
      </c>
      <c r="CO290" s="3" t="n">
        <v>1</v>
      </c>
      <c r="CP290" s="2"/>
      <c r="CQ290" s="2" t="inlineStr">
        <is>
          <t>配合报价</t>
        </is>
      </c>
      <c r="CR290" s="2" t="inlineStr">
        <is>
          <t>1次</t>
        </is>
      </c>
      <c r="CS290" s="3" t="n">
        <v>1</v>
      </c>
      <c r="CT290" s="3" t="n">
        <v>1</v>
      </c>
      <c r="CU290" s="2" t="inlineStr">
        <is>
          <t>D.4-8小时</t>
        </is>
      </c>
      <c r="CV290" s="7" t="n">
        <v>4</v>
      </c>
      <c r="CW290" s="7" t="n">
        <v>8</v>
      </c>
      <c r="CX290" s="7" t="n">
        <v>4</v>
      </c>
      <c r="CY290" s="7" t="n">
        <v>8</v>
      </c>
      <c r="CZ290" s="2" t="inlineStr">
        <is>
          <t>数据报表类</t>
        </is>
      </c>
      <c r="DA290" s="2"/>
      <c r="DB290" s="2" t="inlineStr">
        <is>
          <t>专项统计</t>
        </is>
      </c>
      <c r="DC290" s="2" t="inlineStr">
        <is>
          <t>跨部门协同</t>
        </is>
      </c>
      <c r="DD290" s="2" t="inlineStr">
        <is>
          <t>重要且紧急</t>
        </is>
      </c>
      <c r="DE290" s="2" t="inlineStr">
        <is>
          <t>高度标准化-有成熟SOP，照做即可</t>
        </is>
      </c>
      <c r="DF290" s="2" t="inlineStr">
        <is>
          <t>极少（&lt;5%）</t>
        </is>
      </c>
      <c r="DG290" s="2" t="inlineStr">
        <is>
          <t>沟通/协调负荷</t>
        </is>
      </c>
      <c r="DH290" s="2"/>
      <c r="DI290" s="2" t="inlineStr">
        <is>
          <t>b164b0bd-7223-4e42-845e-d4d4ea537ae7</t>
        </is>
      </c>
      <c r="DJ290" s="3" t="n">
        <v>1</v>
      </c>
      <c r="DK290" s="2"/>
      <c r="DL290" s="2"/>
      <c r="DM290" s="2"/>
      <c r="DN290" s="3"/>
      <c r="DO290" s="3"/>
      <c r="DP290" s="2"/>
      <c r="DQ290" s="3"/>
      <c r="DR290" s="3"/>
      <c r="DS290" s="3"/>
      <c r="DT290" s="3"/>
      <c r="DU290" s="2"/>
      <c r="DV290" s="2"/>
      <c r="DW290" s="2"/>
      <c r="DX290" s="2"/>
      <c r="DY290" s="2"/>
      <c r="DZ290" s="2"/>
      <c r="EA290" s="2"/>
      <c r="EB290" s="2"/>
      <c r="EC290" s="2"/>
      <c r="ED290" s="2" t="inlineStr">
        <is>
          <t>20e57160-319d-48fc-b0d4-ffb6849a1544</t>
        </is>
      </c>
      <c r="EE290" s="3" t="n">
        <v>1</v>
      </c>
      <c r="EF290" s="2"/>
      <c r="EG290" s="2" t="inlineStr">
        <is>
          <t>配合市场部投标报价</t>
        </is>
      </c>
      <c r="EH290" s="2" t="inlineStr">
        <is>
          <t>3次及以上</t>
        </is>
      </c>
      <c r="EI290" s="3" t="n">
        <v>3</v>
      </c>
      <c r="EJ290" s="2" t="inlineStr">
        <is>
          <t>E.8小时以上</t>
        </is>
      </c>
      <c r="EK290" s="7" t="n">
        <v>8</v>
      </c>
      <c r="EL290" s="7" t="n">
        <v>8</v>
      </c>
      <c r="EM290" s="7" t="n">
        <v>24</v>
      </c>
      <c r="EN290" s="7" t="n">
        <v>24</v>
      </c>
      <c r="EO290" s="2" t="inlineStr">
        <is>
          <t>专业技术类</t>
        </is>
      </c>
      <c r="EP290" s="2"/>
      <c r="EQ290" s="2" t="inlineStr">
        <is>
          <t>专业问题协调</t>
        </is>
      </c>
      <c r="ER290" s="2" t="inlineStr">
        <is>
          <t>岗位职责</t>
        </is>
      </c>
      <c r="ES290" s="2" t="inlineStr">
        <is>
          <t>重要且紧急</t>
        </is>
      </c>
      <c r="ET290" s="2" t="inlineStr">
        <is>
          <t>半标准化-有流程框架，需专业经验</t>
        </is>
      </c>
      <c r="EU290" s="2" t="inlineStr">
        <is>
          <t>中频（10%-30%）</t>
        </is>
      </c>
      <c r="EV290" s="2" t="inlineStr">
        <is>
          <t>时效/强度负荷</t>
        </is>
      </c>
      <c r="EW290" s="2" t="inlineStr">
        <is>
          <t>项目投标信息一般缺失较多，需要来回反馈沟通</t>
        </is>
      </c>
      <c r="EX290" s="2" t="inlineStr">
        <is>
          <t>9ed02c86-3c6d-42f6-87eb-a585c4d0540d</t>
        </is>
      </c>
      <c r="EY290" s="3" t="n">
        <v>1</v>
      </c>
      <c r="EZ290" s="2"/>
      <c r="FA290" s="2" t="inlineStr">
        <is>
          <t>协助工作经验不足的同事分析料表给出建议或外地同事不方便的南京本地工作</t>
        </is>
      </c>
      <c r="FB290" s="2" t="inlineStr">
        <is>
          <t>每月1-2次</t>
        </is>
      </c>
      <c r="FC290" s="2" t="inlineStr">
        <is>
          <t>月</t>
        </is>
      </c>
      <c r="FD290" s="3" t="n">
        <v>1</v>
      </c>
      <c r="FE290" s="3" t="n">
        <v>2</v>
      </c>
      <c r="FF290" s="2" t="inlineStr">
        <is>
          <t>B.2小时以内</t>
        </is>
      </c>
      <c r="FG290" s="7" t="n">
        <v>2</v>
      </c>
      <c r="FH290" s="7" t="n">
        <v>2</v>
      </c>
      <c r="FI290" s="7" t="n">
        <v>2</v>
      </c>
      <c r="FJ290" s="7" t="n">
        <v>4</v>
      </c>
      <c r="FK290" s="7" t="n">
        <v>0</v>
      </c>
      <c r="FL290" s="7" t="n">
        <v>0</v>
      </c>
      <c r="FM290" s="7" t="n">
        <v>0</v>
      </c>
      <c r="FN290" s="7" t="n">
        <v>0</v>
      </c>
      <c r="FO290" s="2" t="inlineStr">
        <is>
          <t>协调沟通类</t>
        </is>
      </c>
      <c r="FP290" s="2"/>
      <c r="FQ290" s="2" t="inlineStr">
        <is>
          <t>外部联络</t>
        </is>
      </c>
      <c r="FR290" s="2" t="inlineStr">
        <is>
          <t>岗位职责</t>
        </is>
      </c>
      <c r="FS290" s="2" t="inlineStr">
        <is>
          <t>重要且紧急</t>
        </is>
      </c>
      <c r="FT290" s="2" t="inlineStr">
        <is>
          <t>半标准化-有流程框架，需专业经验</t>
        </is>
      </c>
      <c r="FU290" s="2" t="inlineStr">
        <is>
          <t>极少（&lt;5%）</t>
        </is>
      </c>
      <c r="FV290" s="2" t="inlineStr">
        <is>
          <t>沟通/协调负荷</t>
        </is>
      </c>
      <c r="FW290" s="2"/>
    </row>
    <row r="291">
      <c r="A291" s="2" t="inlineStr">
        <is>
          <t>2026-05-07 12:17:18</t>
        </is>
      </c>
      <c r="B291" s="2" t="inlineStr">
        <is>
          <t>彭文</t>
        </is>
      </c>
      <c r="C291" s="2" t="inlineStr">
        <is>
          <t>安装一分公司</t>
        </is>
      </c>
      <c r="D291" s="2" t="inlineStr">
        <is>
          <t>男</t>
        </is>
      </c>
      <c r="E291" s="2" t="inlineStr">
        <is>
          <t>320112196706240413</t>
        </is>
      </c>
      <c r="F291" s="2" t="inlineStr">
        <is>
          <t>队长</t>
        </is>
      </c>
      <c r="G291" s="2" t="inlineStr">
        <is>
          <t>1984-12</t>
        </is>
      </c>
      <c r="H291" s="2"/>
      <c r="I291" s="2" t="inlineStr">
        <is>
          <t>铆工</t>
        </is>
      </c>
      <c r="J291" s="2" t="inlineStr">
        <is>
          <t>初中</t>
        </is>
      </c>
      <c r="K291" s="2"/>
      <c r="L291" s="6">
        <f>HYPERLINK("https://www.h3yun.com/Form/Attachments/?schemacode=D1483577de63ede327d4760b10664bd57671d7e&amp;bizObjectId=92c7226f-22a0-41cd-ac2d-702102382f32&amp;name=F0000046","点击查看")</f>
        <v>0</v>
      </c>
      <c r="M291" s="2" t="inlineStr">
        <is>
          <t>无</t>
        </is>
      </c>
      <c r="N291" s="2" t="inlineStr">
        <is>
          <t>每日工作</t>
        </is>
      </c>
      <c r="O291" s="2" t="inlineStr">
        <is>
          <t>46岁及以上</t>
        </is>
      </c>
      <c r="P291" s="2" t="inlineStr">
        <is>
          <t>C.已婚已育</t>
        </is>
      </c>
      <c r="Q291" s="2" t="inlineStr">
        <is>
          <t>B.是，主要照护子女</t>
        </is>
      </c>
      <c r="R291" s="2" t="inlineStr">
        <is>
          <t>A.否</t>
        </is>
      </c>
      <c r="S291" s="2" t="inlineStr">
        <is>
          <t>D.希望承担更有挑战性的工作，并争取更大发展空间</t>
        </is>
      </c>
      <c r="T291" s="2" t="inlineStr">
        <is>
          <t>C.工作较稳定，但发展空间不足</t>
        </is>
      </c>
      <c r="U291" s="2" t="inlineStr">
        <is>
          <t>E.增加成长性和挑战性</t>
        </is>
      </c>
      <c r="V291" s="2" t="inlineStr">
        <is>
          <t>B.提出过建议，但未推动</t>
        </is>
      </c>
      <c r="W291" s="2" t="inlineStr">
        <is>
          <t>B.涉及多部门，协调难度大</t>
        </is>
      </c>
      <c r="X291" s="2" t="inlineStr">
        <is>
          <t>C.均衡 (80%-100%)</t>
        </is>
      </c>
      <c r="Y291" s="2" t="inlineStr">
        <is>
          <t>G.接收到任务分配单完成周期内要求的加班</t>
        </is>
      </c>
      <c r="Z291" s="2" t="inlineStr">
        <is>
          <t>无</t>
        </is>
      </c>
      <c r="AA291" s="2" t="inlineStr">
        <is>
          <t>无</t>
        </is>
      </c>
      <c r="AB291" s="2" t="inlineStr">
        <is>
          <t>无</t>
        </is>
      </c>
      <c r="AC291" s="2" t="inlineStr">
        <is>
          <t>B.基本匹配（正常履行）</t>
        </is>
      </c>
      <c r="AD291" s="2" t="inlineStr">
        <is>
          <t>无</t>
        </is>
      </c>
      <c r="AE291" s="2"/>
      <c r="AF291" s="2"/>
      <c r="AG291" s="2"/>
      <c r="AH291" s="2"/>
      <c r="AI291" s="7" t="n">
        <v>40</v>
      </c>
      <c r="AJ291" s="7" t="n">
        <v>80</v>
      </c>
      <c r="AK291" s="7" t="n">
        <v>0</v>
      </c>
      <c r="AL291" s="7" t="n">
        <v>0</v>
      </c>
      <c r="AM291" s="7" t="n">
        <v>0</v>
      </c>
      <c r="AN291" s="7" t="n">
        <v>0</v>
      </c>
      <c r="AO291" s="7" t="n">
        <v>0</v>
      </c>
      <c r="AP291" s="7" t="n">
        <v>0</v>
      </c>
      <c r="AQ291" s="7" t="n">
        <v>0</v>
      </c>
      <c r="AR291" s="7" t="n">
        <v>0</v>
      </c>
      <c r="AS291" s="7" t="n">
        <v>40</v>
      </c>
      <c r="AT291" s="7" t="n">
        <v>80</v>
      </c>
      <c r="AU291" s="7" t="n">
        <v>60</v>
      </c>
      <c r="AV291" s="2" t="inlineStr">
        <is>
          <t>超负荷</t>
        </is>
      </c>
      <c r="AW291" s="2" t="inlineStr">
        <is>
          <t>不一致</t>
        </is>
      </c>
      <c r="AX291" s="2" t="inlineStr">
        <is>
          <t>92c7226f-22a0-41cd-ac2d-702102382f32</t>
        </is>
      </c>
      <c r="AY291" s="2" t="inlineStr">
        <is>
          <t>安装一分公司    彭文</t>
        </is>
      </c>
      <c r="AZ291" s="2" t="inlineStr">
        <is>
          <t>Anonymous</t>
        </is>
      </c>
      <c r="BA291" s="2" t="inlineStr">
        <is>
          <t>Anonymous</t>
        </is>
      </c>
      <c r="BB291" s="2"/>
      <c r="BC291" s="2" t="inlineStr">
        <is>
          <t>2026-05-21 08:43:22</t>
        </is>
      </c>
      <c r="BD291" s="3" t="n">
        <v>1967</v>
      </c>
      <c r="BE291" s="3" t="n">
        <v>59</v>
      </c>
      <c r="BF291" s="2" t="inlineStr">
        <is>
          <t>A.无此需求</t>
        </is>
      </c>
      <c r="BG291" s="2" t="inlineStr">
        <is>
          <t>已生效</t>
        </is>
      </c>
      <c r="BH291" s="2" t="inlineStr">
        <is>
          <t>85de3314-11d0-4623-9a45-842034192429</t>
        </is>
      </c>
      <c r="BI291" s="3" t="n">
        <v>1</v>
      </c>
      <c r="BJ291" s="2"/>
      <c r="BK291" s="2"/>
      <c r="BL291" s="2"/>
      <c r="BM291" s="2"/>
      <c r="BN291" s="2"/>
      <c r="BO291" s="2"/>
      <c r="BP291" s="2"/>
      <c r="BQ291" s="2"/>
      <c r="BR291" s="2"/>
      <c r="BS291" s="2" t="inlineStr">
        <is>
          <t>38f47827-0705-4a03-9514-e73d468ec121</t>
        </is>
      </c>
      <c r="BT291" s="3" t="n">
        <v>1</v>
      </c>
      <c r="BU291" s="2" t="inlineStr">
        <is>
          <t>综合管理类</t>
        </is>
      </c>
      <c r="BV291" s="2" t="inlineStr">
        <is>
          <t>队长</t>
        </is>
      </c>
      <c r="BW291" s="2" t="inlineStr">
        <is>
          <t>10次以上</t>
        </is>
      </c>
      <c r="BX291" s="3" t="n">
        <v>10</v>
      </c>
      <c r="BY291" s="3" t="n">
        <v>10</v>
      </c>
      <c r="BZ291" s="2" t="inlineStr">
        <is>
          <t>D.4-8小时</t>
        </is>
      </c>
      <c r="CA291" s="7" t="n">
        <v>4</v>
      </c>
      <c r="CB291" s="7" t="n">
        <v>8</v>
      </c>
      <c r="CC291" s="7" t="n">
        <v>40</v>
      </c>
      <c r="CD291" s="7" t="n">
        <v>80</v>
      </c>
      <c r="CE291" s="2" t="inlineStr">
        <is>
          <t>综合管理类</t>
        </is>
      </c>
      <c r="CF291" s="2"/>
      <c r="CG291" s="2" t="inlineStr">
        <is>
          <t>综合性汇报组织</t>
        </is>
      </c>
      <c r="CH291" s="2" t="inlineStr">
        <is>
          <t>上级指令</t>
        </is>
      </c>
      <c r="CI291" s="2" t="inlineStr">
        <is>
          <t>重要且紧急</t>
        </is>
      </c>
      <c r="CJ291" s="2" t="inlineStr">
        <is>
          <t>半标准化-有流程框架，需专业经验</t>
        </is>
      </c>
      <c r="CK291" s="2" t="inlineStr">
        <is>
          <t>极少（&lt;5%）</t>
        </is>
      </c>
      <c r="CL291" s="2" t="inlineStr">
        <is>
          <t>沟通/协调负荷</t>
        </is>
      </c>
      <c r="CM291" s="2"/>
      <c r="CN291" s="2" t="inlineStr">
        <is>
          <t>1048b1a8-9341-42b4-95c1-79792dee3c30</t>
        </is>
      </c>
      <c r="CO291" s="3" t="n">
        <v>1</v>
      </c>
      <c r="CP291" s="2"/>
      <c r="CQ291" s="2"/>
      <c r="CR291" s="2"/>
      <c r="CS291" s="3"/>
      <c r="CT291" s="3"/>
      <c r="CU291" s="2"/>
      <c r="CV291" s="3"/>
      <c r="CW291" s="3"/>
      <c r="CX291" s="3"/>
      <c r="CY291" s="3"/>
      <c r="CZ291" s="2"/>
      <c r="DA291" s="2"/>
      <c r="DB291" s="2"/>
      <c r="DC291" s="2"/>
      <c r="DD291" s="2"/>
      <c r="DE291" s="2"/>
      <c r="DF291" s="2"/>
      <c r="DG291" s="2"/>
      <c r="DH291" s="2"/>
      <c r="DI291" s="2" t="inlineStr">
        <is>
          <t>bb38be44-d5d7-4362-b498-00929a53f0e0</t>
        </is>
      </c>
      <c r="DJ291" s="3" t="n">
        <v>1</v>
      </c>
      <c r="DK291" s="2"/>
      <c r="DL291" s="2"/>
      <c r="DM291" s="2"/>
      <c r="DN291" s="3"/>
      <c r="DO291" s="3"/>
      <c r="DP291" s="2"/>
      <c r="DQ291" s="3"/>
      <c r="DR291" s="3"/>
      <c r="DS291" s="3"/>
      <c r="DT291" s="3"/>
      <c r="DU291" s="2"/>
      <c r="DV291" s="2"/>
      <c r="DW291" s="2"/>
      <c r="DX291" s="2"/>
      <c r="DY291" s="2"/>
      <c r="DZ291" s="2"/>
      <c r="EA291" s="2"/>
      <c r="EB291" s="2"/>
      <c r="EC291" s="2"/>
      <c r="ED291" s="2" t="inlineStr">
        <is>
          <t>992be039-85ef-4815-b836-578fe6c73716</t>
        </is>
      </c>
      <c r="EE291" s="3" t="n">
        <v>1</v>
      </c>
      <c r="EF291" s="2"/>
      <c r="EG291" s="2"/>
      <c r="EH291" s="2"/>
      <c r="EI291" s="3"/>
      <c r="EJ291" s="2"/>
      <c r="EK291" s="3"/>
      <c r="EL291" s="3"/>
      <c r="EM291" s="3"/>
      <c r="EN291" s="3"/>
      <c r="EO291" s="2"/>
      <c r="EP291" s="2"/>
      <c r="EQ291" s="2"/>
      <c r="ER291" s="2"/>
      <c r="ES291" s="2"/>
      <c r="ET291" s="2"/>
      <c r="EU291" s="2"/>
      <c r="EV291" s="2"/>
      <c r="EW291" s="2"/>
      <c r="EX291" s="2" t="inlineStr">
        <is>
          <t>da2c42a0-810e-42f2-be90-fd178a4f992d</t>
        </is>
      </c>
      <c r="EY291" s="3" t="n">
        <v>1</v>
      </c>
      <c r="EZ291" s="2"/>
      <c r="FA291" s="2"/>
      <c r="FB291" s="2"/>
      <c r="FC291" s="2"/>
      <c r="FD291" s="3"/>
      <c r="FE291" s="3"/>
      <c r="FF291" s="2"/>
      <c r="FG291" s="3"/>
      <c r="FH291" s="3"/>
      <c r="FI291" s="7" t="n">
        <v>0</v>
      </c>
      <c r="FJ291" s="7" t="n">
        <v>0</v>
      </c>
      <c r="FK291" s="7" t="n">
        <v>0</v>
      </c>
      <c r="FL291" s="7" t="n">
        <v>0</v>
      </c>
      <c r="FM291" s="7" t="n">
        <v>0</v>
      </c>
      <c r="FN291" s="7" t="n">
        <v>0</v>
      </c>
      <c r="FO291" s="2"/>
      <c r="FP291" s="2"/>
      <c r="FQ291" s="2"/>
      <c r="FR291" s="2"/>
      <c r="FS291" s="2"/>
      <c r="FT291" s="2"/>
      <c r="FU291" s="2"/>
      <c r="FV291" s="2"/>
      <c r="FW291" s="2"/>
    </row>
    <row r="292">
      <c r="A292" s="2" t="inlineStr">
        <is>
          <t>2026-05-07 12:17:07</t>
        </is>
      </c>
      <c r="B292" s="2" t="inlineStr">
        <is>
          <t>江晨阳</t>
        </is>
      </c>
      <c r="C292" s="2" t="inlineStr">
        <is>
          <t>南京永利重工制造有限公司</t>
        </is>
      </c>
      <c r="D292" s="2" t="inlineStr">
        <is>
          <t>男</t>
        </is>
      </c>
      <c r="E292" s="2" t="inlineStr">
        <is>
          <t>320682199611205017</t>
        </is>
      </c>
      <c r="F292" s="2" t="inlineStr">
        <is>
          <t>技术助理(一)</t>
        </is>
      </c>
      <c r="G292" s="2" t="inlineStr">
        <is>
          <t>2019-08</t>
        </is>
      </c>
      <c r="H292" s="2" t="inlineStr">
        <is>
          <t>徐州工程学院</t>
        </is>
      </c>
      <c r="I292" s="2" t="inlineStr">
        <is>
          <t>机制</t>
        </is>
      </c>
      <c r="J292" s="2" t="inlineStr">
        <is>
          <t>本科</t>
        </is>
      </c>
      <c r="K292" s="2"/>
      <c r="L292" s="6">
        <f>HYPERLINK("https://www.h3yun.com/Form/Attachments/?schemacode=D1483577de63ede327d4760b10664bd57671d7e&amp;bizObjectId=4876dd6c-51b7-47b9-b23d-91ef2fe7b3aa&amp;name=F0000046","点击查看")</f>
        <v>0</v>
      </c>
      <c r="M292" s="2" t="inlineStr">
        <is>
          <t>无</t>
        </is>
      </c>
      <c r="N292" s="2" t="inlineStr">
        <is>
          <t>每日工作</t>
        </is>
      </c>
      <c r="O292" s="2" t="inlineStr">
        <is>
          <t>26-30岁</t>
        </is>
      </c>
      <c r="P292" s="2" t="inlineStr">
        <is>
          <t>B.已婚未育</t>
        </is>
      </c>
      <c r="Q292" s="2" t="inlineStr">
        <is>
          <t>A.否</t>
        </is>
      </c>
      <c r="R292" s="2" t="inlineStr">
        <is>
          <t>A.否</t>
        </is>
      </c>
      <c r="S292" s="2" t="inlineStr">
        <is>
          <t>C.希望工作压力适中，但职责边界更清晰</t>
        </is>
      </c>
      <c r="T292" s="2" t="inlineStr">
        <is>
          <t>A.基本满意，希望保持</t>
        </is>
      </c>
      <c r="U292" s="2" t="inlineStr">
        <is>
          <t>D.明确职责边界</t>
        </is>
      </c>
      <c r="V292" s="2" t="inlineStr">
        <is>
          <t>A.没有</t>
        </is>
      </c>
      <c r="W292" s="2"/>
      <c r="X292" s="2" t="inlineStr">
        <is>
          <t>B.满负荷 (100%-120%)</t>
        </is>
      </c>
      <c r="Y292" s="2" t="inlineStr">
        <is>
          <t>E.项目服务按照项目作息考勤制加班;G.接收到任务分配单完成周期内要求的加班</t>
        </is>
      </c>
      <c r="Z292" s="2" t="inlineStr">
        <is>
          <t>无</t>
        </is>
      </c>
      <c r="AA292" s="2" t="inlineStr">
        <is>
          <t>无</t>
        </is>
      </c>
      <c r="AB292" s="2" t="inlineStr">
        <is>
          <t>无</t>
        </is>
      </c>
      <c r="AC292" s="2" t="inlineStr">
        <is>
          <t>B.基本匹配（正常履行）</t>
        </is>
      </c>
      <c r="AD292" s="2" t="inlineStr">
        <is>
          <t>无</t>
        </is>
      </c>
      <c r="AE292" s="2"/>
      <c r="AF292" s="2"/>
      <c r="AG292" s="2" t="inlineStr">
        <is>
          <t>D.配偶不是公司家属</t>
        </is>
      </c>
      <c r="AH292" s="2"/>
      <c r="AI292" s="7" t="n">
        <v>8</v>
      </c>
      <c r="AJ292" s="7" t="n">
        <v>20</v>
      </c>
      <c r="AK292" s="7" t="n">
        <v>0</v>
      </c>
      <c r="AL292" s="7" t="n">
        <v>0</v>
      </c>
      <c r="AM292" s="7" t="n">
        <v>0</v>
      </c>
      <c r="AN292" s="7" t="n">
        <v>0</v>
      </c>
      <c r="AO292" s="7" t="n">
        <v>0</v>
      </c>
      <c r="AP292" s="7" t="n">
        <v>0</v>
      </c>
      <c r="AQ292" s="7" t="n">
        <v>0</v>
      </c>
      <c r="AR292" s="7" t="n">
        <v>0</v>
      </c>
      <c r="AS292" s="7" t="n">
        <v>8</v>
      </c>
      <c r="AT292" s="7" t="n">
        <v>20</v>
      </c>
      <c r="AU292" s="7" t="n">
        <v>14</v>
      </c>
      <c r="AV292" s="2" t="inlineStr">
        <is>
          <t>超负荷</t>
        </is>
      </c>
      <c r="AW292" s="2" t="inlineStr">
        <is>
          <t>不一致</t>
        </is>
      </c>
      <c r="AX292" s="2" t="inlineStr">
        <is>
          <t>4876dd6c-51b7-47b9-b23d-91ef2fe7b3aa</t>
        </is>
      </c>
      <c r="AY292" s="2" t="inlineStr">
        <is>
          <t>南京永利重工制造有限公司    江晨阳</t>
        </is>
      </c>
      <c r="AZ292" s="2" t="inlineStr">
        <is>
          <t>Anonymous</t>
        </is>
      </c>
      <c r="BA292" s="2" t="inlineStr">
        <is>
          <t>Anonymous</t>
        </is>
      </c>
      <c r="BB292" s="2"/>
      <c r="BC292" s="2" t="inlineStr">
        <is>
          <t>2026-05-21 08:43:22</t>
        </is>
      </c>
      <c r="BD292" s="3" t="n">
        <v>1996</v>
      </c>
      <c r="BE292" s="3" t="n">
        <v>30</v>
      </c>
      <c r="BF292" s="2" t="inlineStr">
        <is>
          <t>A.无此需求</t>
        </is>
      </c>
      <c r="BG292" s="2" t="inlineStr">
        <is>
          <t>已生效</t>
        </is>
      </c>
      <c r="BH292" s="2" t="inlineStr">
        <is>
          <t>269eac10-9fb4-4502-8747-f99a3afb554d</t>
        </is>
      </c>
      <c r="BI292" s="3" t="n">
        <v>1</v>
      </c>
      <c r="BJ292" s="2"/>
      <c r="BK292" s="2"/>
      <c r="BL292" s="2"/>
      <c r="BM292" s="2"/>
      <c r="BN292" s="2"/>
      <c r="BO292" s="2"/>
      <c r="BP292" s="2"/>
      <c r="BQ292" s="2"/>
      <c r="BR292" s="2"/>
      <c r="BS292" s="2" t="inlineStr">
        <is>
          <t>5620c083-8255-4e81-9f91-30439a6f2195</t>
        </is>
      </c>
      <c r="BT292" s="3" t="n">
        <v>1</v>
      </c>
      <c r="BU292" s="2" t="inlineStr">
        <is>
          <t>专业技术类</t>
        </is>
      </c>
      <c r="BV292" s="2" t="inlineStr">
        <is>
          <t>专业技术类</t>
        </is>
      </c>
      <c r="BW292" s="2" t="inlineStr">
        <is>
          <t>2-5次</t>
        </is>
      </c>
      <c r="BX292" s="3" t="n">
        <v>2</v>
      </c>
      <c r="BY292" s="3" t="n">
        <v>5</v>
      </c>
      <c r="BZ292" s="2" t="inlineStr">
        <is>
          <t>B.2小时以内</t>
        </is>
      </c>
      <c r="CA292" s="7" t="n">
        <v>2</v>
      </c>
      <c r="CB292" s="7" t="n">
        <v>2</v>
      </c>
      <c r="CC292" s="7" t="n">
        <v>4</v>
      </c>
      <c r="CD292" s="7" t="n">
        <v>10</v>
      </c>
      <c r="CE292" s="2" t="inlineStr">
        <is>
          <t>专业技术类</t>
        </is>
      </c>
      <c r="CF292" s="2"/>
      <c r="CG292" s="2" t="inlineStr">
        <is>
          <t>探索研发类工作</t>
        </is>
      </c>
      <c r="CH292" s="2" t="inlineStr">
        <is>
          <t>岗位职责</t>
        </is>
      </c>
      <c r="CI292" s="2" t="inlineStr">
        <is>
          <t>重要且紧急</t>
        </is>
      </c>
      <c r="CJ292" s="2" t="inlineStr">
        <is>
          <t>半标准化-有流程框架，需专业经验</t>
        </is>
      </c>
      <c r="CK292" s="2" t="inlineStr">
        <is>
          <t>低频（5%-10%）</t>
        </is>
      </c>
      <c r="CL292" s="2" t="inlineStr">
        <is>
          <t>时效/强度负荷</t>
        </is>
      </c>
      <c r="CM292" s="2"/>
      <c r="CN292" s="2" t="inlineStr">
        <is>
          <t>808e3cb1-69a0-4f40-9d96-e8cf5b5432e5</t>
        </is>
      </c>
      <c r="CO292" s="3" t="n">
        <v>1</v>
      </c>
      <c r="CP292" s="2"/>
      <c r="CQ292" s="2"/>
      <c r="CR292" s="2"/>
      <c r="CS292" s="3"/>
      <c r="CT292" s="3"/>
      <c r="CU292" s="2"/>
      <c r="CV292" s="3"/>
      <c r="CW292" s="3"/>
      <c r="CX292" s="3"/>
      <c r="CY292" s="3"/>
      <c r="CZ292" s="2"/>
      <c r="DA292" s="2"/>
      <c r="DB292" s="2"/>
      <c r="DC292" s="2"/>
      <c r="DD292" s="2"/>
      <c r="DE292" s="2"/>
      <c r="DF292" s="2"/>
      <c r="DG292" s="2"/>
      <c r="DH292" s="2"/>
      <c r="DI292" s="2" t="inlineStr">
        <is>
          <t>8dbe0182-645c-49e6-b0ce-9ad4a2ccf558</t>
        </is>
      </c>
      <c r="DJ292" s="3" t="n">
        <v>1</v>
      </c>
      <c r="DK292" s="2"/>
      <c r="DL292" s="2"/>
      <c r="DM292" s="2"/>
      <c r="DN292" s="3"/>
      <c r="DO292" s="3"/>
      <c r="DP292" s="2"/>
      <c r="DQ292" s="3"/>
      <c r="DR292" s="3"/>
      <c r="DS292" s="3"/>
      <c r="DT292" s="3"/>
      <c r="DU292" s="2"/>
      <c r="DV292" s="2"/>
      <c r="DW292" s="2"/>
      <c r="DX292" s="2"/>
      <c r="DY292" s="2"/>
      <c r="DZ292" s="2"/>
      <c r="EA292" s="2"/>
      <c r="EB292" s="2"/>
      <c r="EC292" s="2"/>
      <c r="ED292" s="2" t="inlineStr">
        <is>
          <t>9c054958-4a3a-4e9f-a70c-83f74ad6dca2</t>
        </is>
      </c>
      <c r="EE292" s="3" t="n">
        <v>1</v>
      </c>
      <c r="EF292" s="2"/>
      <c r="EG292" s="2"/>
      <c r="EH292" s="2"/>
      <c r="EI292" s="3"/>
      <c r="EJ292" s="2"/>
      <c r="EK292" s="3"/>
      <c r="EL292" s="3"/>
      <c r="EM292" s="3"/>
      <c r="EN292" s="3"/>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t="inlineStr">
        <is>
          <t>53d3020b-aad9-4e1f-9cd0-e6cac5022848</t>
        </is>
      </c>
      <c r="BT293" s="3" t="n">
        <v>2</v>
      </c>
      <c r="BU293" s="2" t="inlineStr">
        <is>
          <t>专业技术类</t>
        </is>
      </c>
      <c r="BV293" s="2" t="inlineStr">
        <is>
          <t>数据报表类</t>
        </is>
      </c>
      <c r="BW293" s="2" t="inlineStr">
        <is>
          <t>2-5次</t>
        </is>
      </c>
      <c r="BX293" s="3" t="n">
        <v>2</v>
      </c>
      <c r="BY293" s="3" t="n">
        <v>5</v>
      </c>
      <c r="BZ293" s="2" t="inlineStr">
        <is>
          <t>B.2小时以内</t>
        </is>
      </c>
      <c r="CA293" s="7" t="n">
        <v>2</v>
      </c>
      <c r="CB293" s="7" t="n">
        <v>2</v>
      </c>
      <c r="CC293" s="7" t="n">
        <v>4</v>
      </c>
      <c r="CD293" s="7" t="n">
        <v>10</v>
      </c>
      <c r="CE293" s="2" t="inlineStr">
        <is>
          <t>专业技术类</t>
        </is>
      </c>
      <c r="CF293" s="2"/>
      <c r="CG293" s="2" t="inlineStr">
        <is>
          <t>标准研究</t>
        </is>
      </c>
      <c r="CH293" s="2" t="inlineStr">
        <is>
          <t>岗位职责</t>
        </is>
      </c>
      <c r="CI293" s="2" t="inlineStr">
        <is>
          <t>重要且紧急</t>
        </is>
      </c>
      <c r="CJ293" s="2" t="inlineStr">
        <is>
          <t>半标准化-有流程框架，需专业经验</t>
        </is>
      </c>
      <c r="CK293" s="2" t="inlineStr">
        <is>
          <t>低频（5%-10%）</t>
        </is>
      </c>
      <c r="CL293" s="2" t="inlineStr">
        <is>
          <t>时效/强度负荷</t>
        </is>
      </c>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row>
    <row r="294">
      <c r="A294" s="2" t="inlineStr">
        <is>
          <t>2026-05-07 12:12:32</t>
        </is>
      </c>
      <c r="B294" s="2" t="inlineStr">
        <is>
          <t>陈永奇</t>
        </is>
      </c>
      <c r="C294" s="2" t="inlineStr">
        <is>
          <t>南京永利重工制造有限公司</t>
        </is>
      </c>
      <c r="D294" s="2" t="inlineStr">
        <is>
          <t>男</t>
        </is>
      </c>
      <c r="E294" s="2" t="inlineStr">
        <is>
          <t>342224199909071111</t>
        </is>
      </c>
      <c r="F294" s="2" t="inlineStr">
        <is>
          <t>技术助理(二)</t>
        </is>
      </c>
      <c r="G294" s="2" t="inlineStr">
        <is>
          <t>2022-08</t>
        </is>
      </c>
      <c r="H294" s="2" t="inlineStr">
        <is>
          <t>铜陵学院</t>
        </is>
      </c>
      <c r="I294" s="2" t="inlineStr">
        <is>
          <t>机电</t>
        </is>
      </c>
      <c r="J294" s="2" t="inlineStr">
        <is>
          <t>本科</t>
        </is>
      </c>
      <c r="K294" s="2"/>
      <c r="L294" s="6">
        <f>HYPERLINK("https://www.h3yun.com/Form/Attachments/?schemacode=D1483577de63ede327d4760b10664bd57671d7e&amp;bizObjectId=e0d36b11-0bdb-401f-a67c-4897493e1f8f&amp;name=F0000046","点击查看")</f>
        <v>0</v>
      </c>
      <c r="M294" s="2" t="inlineStr">
        <is>
          <t>无</t>
        </is>
      </c>
      <c r="N294" s="2" t="inlineStr">
        <is>
          <t>临时/突发工作</t>
        </is>
      </c>
      <c r="O294" s="2" t="inlineStr">
        <is>
          <t>26-30岁</t>
        </is>
      </c>
      <c r="P294" s="2" t="inlineStr">
        <is>
          <t>A.未婚</t>
        </is>
      </c>
      <c r="Q294" s="2" t="inlineStr">
        <is>
          <t>C.是，主要照护老人</t>
        </is>
      </c>
      <c r="R294" s="2" t="inlineStr">
        <is>
          <t>A.否</t>
        </is>
      </c>
      <c r="S294" s="2" t="inlineStr">
        <is>
          <t>E.愿意承担更高挑战和更大压力，以换取更高回报或晋升机会</t>
        </is>
      </c>
      <c r="T294" s="2" t="inlineStr">
        <is>
          <t>B.工作内容可接受，但负荷偏重</t>
        </is>
      </c>
      <c r="U294" s="2" t="inlineStr">
        <is>
          <t>D.明确职责边界</t>
        </is>
      </c>
      <c r="V294" s="2" t="inlineStr">
        <is>
          <t>B.提出过建议，但未推动</t>
        </is>
      </c>
      <c r="W294" s="2" t="inlineStr">
        <is>
          <t>E.缺少人手或时间推进</t>
        </is>
      </c>
      <c r="X294" s="2" t="inlineStr">
        <is>
          <t>A.超负荷 (&gt;120%)</t>
        </is>
      </c>
      <c r="Y294" s="2" t="inlineStr">
        <is>
          <t>A.岗位工作量饱和，已达人效上限;B.上游资料不全，导致反复沟通/返工;C.会议或日常协调过多，压缩产出时间;G.接收到任务分配单完成周期内要求的加班</t>
        </is>
      </c>
      <c r="Z294" s="2" t="inlineStr">
        <is>
          <t>专业问题协调</t>
        </is>
      </c>
      <c r="AA294" s="2" t="inlineStr">
        <is>
          <t>会议安排</t>
        </is>
      </c>
      <c r="AB294" s="2" t="inlineStr">
        <is>
          <t>标准研究</t>
        </is>
      </c>
      <c r="AC294" s="2" t="inlineStr">
        <is>
          <t>A.高度匹配（得心应手）</t>
        </is>
      </c>
      <c r="AD294" s="2" t="inlineStr">
        <is>
          <t>无</t>
        </is>
      </c>
      <c r="AE294" s="2"/>
      <c r="AF294" s="2"/>
      <c r="AG294" s="2"/>
      <c r="AH294" s="2"/>
      <c r="AI294" s="7" t="n">
        <v>0</v>
      </c>
      <c r="AJ294" s="7" t="n">
        <v>0</v>
      </c>
      <c r="AK294" s="7" t="n">
        <v>0</v>
      </c>
      <c r="AL294" s="7" t="n">
        <v>0</v>
      </c>
      <c r="AM294" s="7" t="n">
        <v>0</v>
      </c>
      <c r="AN294" s="7" t="n">
        <v>0</v>
      </c>
      <c r="AO294" s="7" t="n">
        <v>0</v>
      </c>
      <c r="AP294" s="7" t="n">
        <v>0</v>
      </c>
      <c r="AQ294" s="7" t="n">
        <v>0.55</v>
      </c>
      <c r="AR294" s="7" t="n">
        <v>1.09</v>
      </c>
      <c r="AS294" s="7" t="n">
        <v>0.55</v>
      </c>
      <c r="AT294" s="7" t="n">
        <v>1.09</v>
      </c>
      <c r="AU294" s="7" t="n">
        <v>0.82</v>
      </c>
      <c r="AV294" s="2" t="inlineStr">
        <is>
          <t>非饱和</t>
        </is>
      </c>
      <c r="AW294" s="2" t="inlineStr">
        <is>
          <t>不一致</t>
        </is>
      </c>
      <c r="AX294" s="2" t="inlineStr">
        <is>
          <t>e0d36b11-0bdb-401f-a67c-4897493e1f8f</t>
        </is>
      </c>
      <c r="AY294" s="2" t="inlineStr">
        <is>
          <t>南京永利重工制造有限公司    陈永奇</t>
        </is>
      </c>
      <c r="AZ294" s="2" t="inlineStr">
        <is>
          <t>Anonymous</t>
        </is>
      </c>
      <c r="BA294" s="2" t="inlineStr">
        <is>
          <t>Anonymous</t>
        </is>
      </c>
      <c r="BB294" s="2"/>
      <c r="BC294" s="2" t="inlineStr">
        <is>
          <t>2026-05-21 08:43:22</t>
        </is>
      </c>
      <c r="BD294" s="3" t="n">
        <v>1999</v>
      </c>
      <c r="BE294" s="3" t="n">
        <v>27</v>
      </c>
      <c r="BF294" s="2" t="inlineStr">
        <is>
          <t>A.无此需求</t>
        </is>
      </c>
      <c r="BG294" s="2" t="inlineStr">
        <is>
          <t>已生效</t>
        </is>
      </c>
      <c r="BH294" s="2" t="inlineStr">
        <is>
          <t>f6490f1a-0974-402e-9475-88ec4258891b</t>
        </is>
      </c>
      <c r="BI294" s="3" t="n">
        <v>1</v>
      </c>
      <c r="BJ294" s="2"/>
      <c r="BK294" s="2"/>
      <c r="BL294" s="2"/>
      <c r="BM294" s="2"/>
      <c r="BN294" s="2"/>
      <c r="BO294" s="2"/>
      <c r="BP294" s="2"/>
      <c r="BQ294" s="2"/>
      <c r="BR294" s="2"/>
      <c r="BS294" s="2" t="inlineStr">
        <is>
          <t>6b62decf-3b52-4051-9bc6-4a707c6bed73</t>
        </is>
      </c>
      <c r="BT294" s="3" t="n">
        <v>1</v>
      </c>
      <c r="BU294" s="2"/>
      <c r="BV294" s="2"/>
      <c r="BW294" s="2"/>
      <c r="BX294" s="3"/>
      <c r="BY294" s="3"/>
      <c r="BZ294" s="2"/>
      <c r="CA294" s="3"/>
      <c r="CB294" s="3"/>
      <c r="CC294" s="3"/>
      <c r="CD294" s="3"/>
      <c r="CE294" s="2"/>
      <c r="CF294" s="2"/>
      <c r="CG294" s="2"/>
      <c r="CH294" s="2"/>
      <c r="CI294" s="2"/>
      <c r="CJ294" s="2"/>
      <c r="CK294" s="2"/>
      <c r="CL294" s="2"/>
      <c r="CM294" s="2"/>
      <c r="CN294" s="2" t="inlineStr">
        <is>
          <t>338ddaa3-d3de-48d9-a7ed-61865341a611</t>
        </is>
      </c>
      <c r="CO294" s="3" t="n">
        <v>1</v>
      </c>
      <c r="CP294" s="2"/>
      <c r="CQ294" s="2"/>
      <c r="CR294" s="2"/>
      <c r="CS294" s="3"/>
      <c r="CT294" s="3"/>
      <c r="CU294" s="2"/>
      <c r="CV294" s="3"/>
      <c r="CW294" s="3"/>
      <c r="CX294" s="3"/>
      <c r="CY294" s="3"/>
      <c r="CZ294" s="2"/>
      <c r="DA294" s="2"/>
      <c r="DB294" s="2"/>
      <c r="DC294" s="2"/>
      <c r="DD294" s="2"/>
      <c r="DE294" s="2"/>
      <c r="DF294" s="2"/>
      <c r="DG294" s="2"/>
      <c r="DH294" s="2"/>
      <c r="DI294" s="2" t="inlineStr">
        <is>
          <t>cd9efe83-f1f1-42b6-bc02-717a8ba8e9b7</t>
        </is>
      </c>
      <c r="DJ294" s="3" t="n">
        <v>1</v>
      </c>
      <c r="DK294" s="2"/>
      <c r="DL294" s="2"/>
      <c r="DM294" s="2"/>
      <c r="DN294" s="3"/>
      <c r="DO294" s="3"/>
      <c r="DP294" s="2"/>
      <c r="DQ294" s="3"/>
      <c r="DR294" s="3"/>
      <c r="DS294" s="3"/>
      <c r="DT294" s="3"/>
      <c r="DU294" s="2"/>
      <c r="DV294" s="2"/>
      <c r="DW294" s="2"/>
      <c r="DX294" s="2"/>
      <c r="DY294" s="2"/>
      <c r="DZ294" s="2"/>
      <c r="EA294" s="2"/>
      <c r="EB294" s="2"/>
      <c r="EC294" s="2"/>
      <c r="ED294" s="2" t="inlineStr">
        <is>
          <t>128d8af6-c115-4f7a-a414-c984b6969e0d</t>
        </is>
      </c>
      <c r="EE294" s="3" t="n">
        <v>1</v>
      </c>
      <c r="EF294" s="2"/>
      <c r="EG294" s="2"/>
      <c r="EH294" s="2"/>
      <c r="EI294" s="3"/>
      <c r="EJ294" s="2"/>
      <c r="EK294" s="3"/>
      <c r="EL294" s="3"/>
      <c r="EM294" s="3"/>
      <c r="EN294" s="3"/>
      <c r="EO294" s="2"/>
      <c r="EP294" s="2"/>
      <c r="EQ294" s="2"/>
      <c r="ER294" s="2"/>
      <c r="ES294" s="2"/>
      <c r="ET294" s="2"/>
      <c r="EU294" s="2"/>
      <c r="EV294" s="2"/>
      <c r="EW294" s="2"/>
      <c r="EX294" s="2" t="inlineStr">
        <is>
          <t>59496a28-d7cb-4579-9f59-6b5c2b7a8e09</t>
        </is>
      </c>
      <c r="EY294" s="3" t="n">
        <v>1</v>
      </c>
      <c r="EZ294" s="2"/>
      <c r="FA294" s="2" t="inlineStr">
        <is>
          <t>项目数据检查修改</t>
        </is>
      </c>
      <c r="FB294" s="2" t="inlineStr">
        <is>
          <t>每月3次以上</t>
        </is>
      </c>
      <c r="FC294" s="2" t="inlineStr">
        <is>
          <t>月</t>
        </is>
      </c>
      <c r="FD294" s="3" t="n">
        <v>3</v>
      </c>
      <c r="FE294" s="3" t="n">
        <v>3</v>
      </c>
      <c r="FF294" s="2" t="inlineStr">
        <is>
          <t>C.2-4小时</t>
        </is>
      </c>
      <c r="FG294" s="7" t="n">
        <v>2</v>
      </c>
      <c r="FH294" s="7" t="n">
        <v>4</v>
      </c>
      <c r="FI294" s="7" t="n">
        <v>6</v>
      </c>
      <c r="FJ294" s="7" t="n">
        <v>12</v>
      </c>
      <c r="FK294" s="7" t="n">
        <v>0</v>
      </c>
      <c r="FL294" s="7" t="n">
        <v>0</v>
      </c>
      <c r="FM294" s="7" t="n">
        <v>0</v>
      </c>
      <c r="FN294" s="7" t="n">
        <v>0</v>
      </c>
      <c r="FO294" s="2" t="inlineStr">
        <is>
          <t>数据报表类</t>
        </is>
      </c>
      <c r="FP294" s="2"/>
      <c r="FQ294" s="2" t="inlineStr">
        <is>
          <t>专项统计</t>
        </is>
      </c>
      <c r="FR294" s="2" t="inlineStr">
        <is>
          <t>岗位职责</t>
        </is>
      </c>
      <c r="FS294" s="2" t="inlineStr">
        <is>
          <t>重要不紧急</t>
        </is>
      </c>
      <c r="FT294" s="2" t="inlineStr">
        <is>
          <t>非标准化-无先例参考，需创新协调</t>
        </is>
      </c>
      <c r="FU294" s="2" t="inlineStr">
        <is>
          <t>低频（5%-10%）</t>
        </is>
      </c>
      <c r="FV294" s="2" t="inlineStr">
        <is>
          <t>脑力/复杂度负荷</t>
        </is>
      </c>
      <c r="FW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t="inlineStr">
        <is>
          <t>a44e553e-cc7b-415e-b5b7-9a13d5a3c201</t>
        </is>
      </c>
      <c r="EY295" s="3" t="n">
        <v>2</v>
      </c>
      <c r="EZ295" s="2"/>
      <c r="FA295" s="2" t="inlineStr">
        <is>
          <t>项目数据检查修改</t>
        </is>
      </c>
      <c r="FB295" s="2" t="inlineStr">
        <is>
          <t>每月3次以上</t>
        </is>
      </c>
      <c r="FC295" s="2" t="inlineStr">
        <is>
          <t>月</t>
        </is>
      </c>
      <c r="FD295" s="3" t="n">
        <v>3</v>
      </c>
      <c r="FE295" s="3" t="n">
        <v>3</v>
      </c>
      <c r="FF295" s="2" t="inlineStr">
        <is>
          <t>C.2-4小时</t>
        </is>
      </c>
      <c r="FG295" s="7" t="n">
        <v>2</v>
      </c>
      <c r="FH295" s="7" t="n">
        <v>4</v>
      </c>
      <c r="FI295" s="7" t="n">
        <v>6</v>
      </c>
      <c r="FJ295" s="7" t="n">
        <v>12</v>
      </c>
      <c r="FK295" s="7" t="n">
        <v>0</v>
      </c>
      <c r="FL295" s="7" t="n">
        <v>0</v>
      </c>
      <c r="FM295" s="7" t="n">
        <v>0</v>
      </c>
      <c r="FN295" s="7" t="n">
        <v>0</v>
      </c>
      <c r="FO295" s="2" t="inlineStr">
        <is>
          <t>数据报表类</t>
        </is>
      </c>
      <c r="FP295" s="2"/>
      <c r="FQ295" s="2" t="inlineStr">
        <is>
          <t>专项统计</t>
        </is>
      </c>
      <c r="FR295" s="2" t="inlineStr">
        <is>
          <t>上级指令</t>
        </is>
      </c>
      <c r="FS295" s="2" t="inlineStr">
        <is>
          <t>重要且紧急</t>
        </is>
      </c>
      <c r="FT295" s="2" t="inlineStr">
        <is>
          <t>非标准化-无先例参考，需创新协调</t>
        </is>
      </c>
      <c r="FU295" s="2" t="inlineStr">
        <is>
          <t>低频（5%-10%）</t>
        </is>
      </c>
      <c r="FV295" s="2" t="inlineStr">
        <is>
          <t>脑力/复杂度负荷</t>
        </is>
      </c>
      <c r="FW295" s="2"/>
    </row>
    <row r="296">
      <c r="A296" s="2" t="inlineStr">
        <is>
          <t>2026-05-07 12:05:57</t>
        </is>
      </c>
      <c r="B296" s="2" t="inlineStr">
        <is>
          <t>张丽妹</t>
        </is>
      </c>
      <c r="C296" s="2" t="inlineStr">
        <is>
          <t>南京永利重工制造有限公司</t>
        </is>
      </c>
      <c r="D296" s="2" t="inlineStr">
        <is>
          <t>女</t>
        </is>
      </c>
      <c r="E296" s="2" t="inlineStr">
        <is>
          <t>342225198603284941</t>
        </is>
      </c>
      <c r="F296" s="2" t="inlineStr">
        <is>
          <t>数据处理</t>
        </is>
      </c>
      <c r="G296" s="2" t="inlineStr">
        <is>
          <t>2018-03</t>
        </is>
      </c>
      <c r="H296" s="2" t="inlineStr">
        <is>
          <t>江苏中央广播电视大学</t>
        </is>
      </c>
      <c r="I296" s="2" t="inlineStr">
        <is>
          <t>行政管理</t>
        </is>
      </c>
      <c r="J296" s="2" t="inlineStr">
        <is>
          <t>大专</t>
        </is>
      </c>
      <c r="K296" s="2"/>
      <c r="L296" s="6">
        <f>HYPERLINK("https://www.h3yun.com/Form/Attachments/?schemacode=D1483577de63ede327d4760b10664bd57671d7e&amp;bizObjectId=d2ee5c96-1833-4ddc-a53e-c17210cad1f4&amp;name=F0000046","点击查看")</f>
        <v>0</v>
      </c>
      <c r="M296" s="2" t="inlineStr">
        <is>
          <t>无</t>
        </is>
      </c>
      <c r="N296" s="2" t="inlineStr">
        <is>
          <t>每日工作</t>
        </is>
      </c>
      <c r="O296" s="2" t="inlineStr">
        <is>
          <t>30-40岁</t>
        </is>
      </c>
      <c r="P296" s="2" t="inlineStr">
        <is>
          <t>C.已婚已育</t>
        </is>
      </c>
      <c r="Q296" s="2" t="inlineStr">
        <is>
          <t>B.是，主要照护子女</t>
        </is>
      </c>
      <c r="R296" s="2" t="inlineStr">
        <is>
          <t>A.否</t>
        </is>
      </c>
      <c r="S296" s="2" t="inlineStr">
        <is>
          <t>B.希望工作更稳定、更规律，便于兼顾家庭</t>
        </is>
      </c>
      <c r="T296" s="2" t="inlineStr">
        <is>
          <t>A.基本满意，希望保持</t>
        </is>
      </c>
      <c r="U296" s="2" t="inlineStr">
        <is>
          <t>A.减少重复性事务</t>
        </is>
      </c>
      <c r="V296" s="2" t="inlineStr">
        <is>
          <t>A.没有</t>
        </is>
      </c>
      <c r="W296" s="2"/>
      <c r="X296" s="2" t="inlineStr">
        <is>
          <t>C.均衡 (80%-100%)</t>
        </is>
      </c>
      <c r="Y296" s="2" t="inlineStr">
        <is>
          <t>A.岗位工作量饱和，已达人效上限;I.无需加班</t>
        </is>
      </c>
      <c r="Z296" s="2" t="inlineStr">
        <is>
          <t>专业问题协调</t>
        </is>
      </c>
      <c r="AA296" s="2" t="inlineStr">
        <is>
          <t>无</t>
        </is>
      </c>
      <c r="AB296" s="2" t="inlineStr">
        <is>
          <t>无</t>
        </is>
      </c>
      <c r="AC296" s="2" t="inlineStr">
        <is>
          <t>B.基本匹配（正常履行）</t>
        </is>
      </c>
      <c r="AD296" s="2" t="inlineStr">
        <is>
          <t>无</t>
        </is>
      </c>
      <c r="AE296" s="2" t="inlineStr">
        <is>
          <t>无</t>
        </is>
      </c>
      <c r="AF296" s="2" t="inlineStr">
        <is>
          <t>无</t>
        </is>
      </c>
      <c r="AG296" s="2" t="inlineStr">
        <is>
          <t>B.配偶为公司家属，常驻项目，个人承担更多</t>
        </is>
      </c>
      <c r="AH296" s="2" t="inlineStr">
        <is>
          <t>C.无意向</t>
        </is>
      </c>
      <c r="AI296" s="7" t="n">
        <v>20</v>
      </c>
      <c r="AJ296" s="7" t="n">
        <v>20</v>
      </c>
      <c r="AK296" s="7" t="n">
        <v>0</v>
      </c>
      <c r="AL296" s="7" t="n">
        <v>0</v>
      </c>
      <c r="AM296" s="7" t="n">
        <v>0</v>
      </c>
      <c r="AN296" s="7" t="n">
        <v>0</v>
      </c>
      <c r="AO296" s="7" t="n">
        <v>0</v>
      </c>
      <c r="AP296" s="7" t="n">
        <v>0</v>
      </c>
      <c r="AQ296" s="7" t="n">
        <v>0</v>
      </c>
      <c r="AR296" s="7" t="n">
        <v>0</v>
      </c>
      <c r="AS296" s="7" t="n">
        <v>20</v>
      </c>
      <c r="AT296" s="7" t="n">
        <v>20</v>
      </c>
      <c r="AU296" s="7" t="n">
        <v>20</v>
      </c>
      <c r="AV296" s="2" t="inlineStr">
        <is>
          <t>超负荷</t>
        </is>
      </c>
      <c r="AW296" s="2" t="inlineStr">
        <is>
          <t>不一致</t>
        </is>
      </c>
      <c r="AX296" s="2" t="inlineStr">
        <is>
          <t>d2ee5c96-1833-4ddc-a53e-c17210cad1f4</t>
        </is>
      </c>
      <c r="AY296" s="2" t="inlineStr">
        <is>
          <t>南京永利重工制造有限公司    张丽妹</t>
        </is>
      </c>
      <c r="AZ296" s="2" t="inlineStr">
        <is>
          <t>Anonymous</t>
        </is>
      </c>
      <c r="BA296" s="2" t="inlineStr">
        <is>
          <t>Anonymous</t>
        </is>
      </c>
      <c r="BB296" s="2"/>
      <c r="BC296" s="2" t="inlineStr">
        <is>
          <t>2026-05-21 08:43:22</t>
        </is>
      </c>
      <c r="BD296" s="3" t="n">
        <v>1986</v>
      </c>
      <c r="BE296" s="3" t="n">
        <v>40</v>
      </c>
      <c r="BF296" s="2" t="inlineStr">
        <is>
          <t>A.无此需求</t>
        </is>
      </c>
      <c r="BG296" s="2" t="inlineStr">
        <is>
          <t>已生效</t>
        </is>
      </c>
      <c r="BH296" s="2" t="inlineStr">
        <is>
          <t>8e235c87-a619-4027-87fb-57fffbd85140</t>
        </is>
      </c>
      <c r="BI296" s="3" t="n">
        <v>1</v>
      </c>
      <c r="BJ296" s="2"/>
      <c r="BK296" s="2"/>
      <c r="BL296" s="2"/>
      <c r="BM296" s="2"/>
      <c r="BN296" s="2"/>
      <c r="BO296" s="2"/>
      <c r="BP296" s="2"/>
      <c r="BQ296" s="2"/>
      <c r="BR296" s="2"/>
      <c r="BS296" s="2" t="inlineStr">
        <is>
          <t>d8dc79f4-61f5-4d1e-af38-28dc69f0a4e4</t>
        </is>
      </c>
      <c r="BT296" s="3" t="n">
        <v>1</v>
      </c>
      <c r="BU296" s="2" t="inlineStr">
        <is>
          <t>数据报表类</t>
        </is>
      </c>
      <c r="BV296" s="2" t="inlineStr">
        <is>
          <t>数据图纸处理</t>
        </is>
      </c>
      <c r="BW296" s="2" t="inlineStr">
        <is>
          <t>10次以上</t>
        </is>
      </c>
      <c r="BX296" s="3" t="n">
        <v>10</v>
      </c>
      <c r="BY296" s="3" t="n">
        <v>10</v>
      </c>
      <c r="BZ296" s="2" t="inlineStr">
        <is>
          <t>B.2小时以内</t>
        </is>
      </c>
      <c r="CA296" s="7" t="n">
        <v>2</v>
      </c>
      <c r="CB296" s="7" t="n">
        <v>2</v>
      </c>
      <c r="CC296" s="7" t="n">
        <v>20</v>
      </c>
      <c r="CD296" s="7" t="n">
        <v>20</v>
      </c>
      <c r="CE296" s="2" t="inlineStr">
        <is>
          <t>数据报表类</t>
        </is>
      </c>
      <c r="CF296" s="2"/>
      <c r="CG296" s="2" t="inlineStr">
        <is>
          <t>专项统计</t>
        </is>
      </c>
      <c r="CH296" s="2" t="inlineStr">
        <is>
          <t>上级指令</t>
        </is>
      </c>
      <c r="CI296" s="2" t="inlineStr">
        <is>
          <t>重要且紧急</t>
        </is>
      </c>
      <c r="CJ296" s="2" t="inlineStr">
        <is>
          <t>半标准化-有流程框架，需专业经验</t>
        </is>
      </c>
      <c r="CK296" s="2" t="inlineStr">
        <is>
          <t>极少（&lt;5%）</t>
        </is>
      </c>
      <c r="CL296" s="2" t="inlineStr">
        <is>
          <t>时效/强度负荷</t>
        </is>
      </c>
      <c r="CM296" s="2"/>
      <c r="CN296" s="2" t="inlineStr">
        <is>
          <t>b668e62c-863e-4e1c-80f0-0796411b14af</t>
        </is>
      </c>
      <c r="CO296" s="3" t="n">
        <v>1</v>
      </c>
      <c r="CP296" s="2"/>
      <c r="CQ296" s="2"/>
      <c r="CR296" s="2"/>
      <c r="CS296" s="3"/>
      <c r="CT296" s="3"/>
      <c r="CU296" s="2"/>
      <c r="CV296" s="3"/>
      <c r="CW296" s="3"/>
      <c r="CX296" s="3"/>
      <c r="CY296" s="3"/>
      <c r="CZ296" s="2"/>
      <c r="DA296" s="2"/>
      <c r="DB296" s="2"/>
      <c r="DC296" s="2"/>
      <c r="DD296" s="2"/>
      <c r="DE296" s="2"/>
      <c r="DF296" s="2"/>
      <c r="DG296" s="2"/>
      <c r="DH296" s="2"/>
      <c r="DI296" s="2" t="inlineStr">
        <is>
          <t>973e073b-0650-409f-a1c9-156900ad6186</t>
        </is>
      </c>
      <c r="DJ296" s="3" t="n">
        <v>1</v>
      </c>
      <c r="DK296" s="2"/>
      <c r="DL296" s="2"/>
      <c r="DM296" s="2"/>
      <c r="DN296" s="3"/>
      <c r="DO296" s="3"/>
      <c r="DP296" s="2"/>
      <c r="DQ296" s="3"/>
      <c r="DR296" s="3"/>
      <c r="DS296" s="3"/>
      <c r="DT296" s="3"/>
      <c r="DU296" s="2"/>
      <c r="DV296" s="2"/>
      <c r="DW296" s="2"/>
      <c r="DX296" s="2"/>
      <c r="DY296" s="2"/>
      <c r="DZ296" s="2"/>
      <c r="EA296" s="2"/>
      <c r="EB296" s="2"/>
      <c r="EC296" s="2"/>
      <c r="ED296" s="2" t="inlineStr">
        <is>
          <t>9532b808-825f-4273-99e1-90fe2142c705</t>
        </is>
      </c>
      <c r="EE296" s="3" t="n">
        <v>1</v>
      </c>
      <c r="EF296" s="2"/>
      <c r="EG296" s="2"/>
      <c r="EH296" s="2"/>
      <c r="EI296" s="3"/>
      <c r="EJ296" s="2"/>
      <c r="EK296" s="3"/>
      <c r="EL296" s="3"/>
      <c r="EM296" s="3"/>
      <c r="EN296" s="3"/>
      <c r="EO296" s="2"/>
      <c r="EP296" s="2"/>
      <c r="EQ296" s="2"/>
      <c r="ER296" s="2"/>
      <c r="ES296" s="2"/>
      <c r="ET296" s="2"/>
      <c r="EU296" s="2"/>
      <c r="EV296" s="2"/>
      <c r="EW296" s="2"/>
      <c r="EX296" s="2" t="inlineStr">
        <is>
          <t>1aa423d2-f85d-4d4f-88d9-0c63374ba52a</t>
        </is>
      </c>
      <c r="EY296" s="3" t="n">
        <v>1</v>
      </c>
      <c r="EZ296" s="2"/>
      <c r="FA296" s="2"/>
      <c r="FB296" s="2"/>
      <c r="FC296" s="2"/>
      <c r="FD296" s="3"/>
      <c r="FE296" s="3"/>
      <c r="FF296" s="2"/>
      <c r="FG296" s="3"/>
      <c r="FH296" s="3"/>
      <c r="FI296" s="7" t="n">
        <v>0</v>
      </c>
      <c r="FJ296" s="7" t="n">
        <v>0</v>
      </c>
      <c r="FK296" s="7" t="n">
        <v>0</v>
      </c>
      <c r="FL296" s="7" t="n">
        <v>0</v>
      </c>
      <c r="FM296" s="7" t="n">
        <v>0</v>
      </c>
      <c r="FN296" s="7" t="n">
        <v>0</v>
      </c>
      <c r="FO296" s="2"/>
      <c r="FP296" s="2"/>
      <c r="FQ296" s="2"/>
      <c r="FR296" s="2"/>
      <c r="FS296" s="2"/>
      <c r="FT296" s="2"/>
      <c r="FU296" s="2"/>
      <c r="FV296" s="2"/>
      <c r="FW296" s="2"/>
    </row>
    <row r="297">
      <c r="A297" s="2" t="inlineStr">
        <is>
          <t>2026-05-07 12:03:54</t>
        </is>
      </c>
      <c r="B297" s="2" t="inlineStr">
        <is>
          <t>陈玉忠</t>
        </is>
      </c>
      <c r="C297" s="2" t="inlineStr">
        <is>
          <t>安装一分公司</t>
        </is>
      </c>
      <c r="D297" s="2" t="inlineStr">
        <is>
          <t>男</t>
        </is>
      </c>
      <c r="E297" s="2" t="inlineStr">
        <is>
          <t>320111197009164433</t>
        </is>
      </c>
      <c r="F297" s="2" t="inlineStr">
        <is>
          <t>技师</t>
        </is>
      </c>
      <c r="G297" s="2" t="inlineStr">
        <is>
          <t>1990-12</t>
        </is>
      </c>
      <c r="H297" s="2" t="inlineStr">
        <is>
          <t>南京市十七中</t>
        </is>
      </c>
      <c r="I297" s="2" t="inlineStr">
        <is>
          <t>铆工</t>
        </is>
      </c>
      <c r="J297" s="2" t="inlineStr">
        <is>
          <t>高中</t>
        </is>
      </c>
      <c r="K297" s="2"/>
      <c r="L297" s="6">
        <f>HYPERLINK("https://www.h3yun.com/Form/Attachments/?schemacode=D1483577de63ede327d4760b10664bd57671d7e&amp;bizObjectId=30f4ceb4-1af7-4f62-8da0-c518fcb36ce5&amp;name=F0000046","点击查看")</f>
        <v>0</v>
      </c>
      <c r="M297" s="2" t="inlineStr">
        <is>
          <t>无</t>
        </is>
      </c>
      <c r="N297" s="2" t="inlineStr">
        <is>
          <t>每日工作</t>
        </is>
      </c>
      <c r="O297" s="2" t="inlineStr">
        <is>
          <t>55岁及以上</t>
        </is>
      </c>
      <c r="P297" s="2" t="inlineStr">
        <is>
          <t>C.已婚已育</t>
        </is>
      </c>
      <c r="Q297" s="2" t="inlineStr">
        <is>
          <t>C.是，主要照护老人</t>
        </is>
      </c>
      <c r="R297" s="2" t="inlineStr">
        <is>
          <t>A.否</t>
        </is>
      </c>
      <c r="S297" s="2" t="inlineStr">
        <is>
          <t>B.希望工作更稳定、更规律，便于兼顾家庭</t>
        </is>
      </c>
      <c r="T297" s="2" t="inlineStr">
        <is>
          <t>A.基本满意，希望保持</t>
        </is>
      </c>
      <c r="U297" s="2" t="inlineStr">
        <is>
          <t>B.减少无效流转和返工</t>
        </is>
      </c>
      <c r="V297" s="2" t="inlineStr">
        <is>
          <t>A.没有</t>
        </is>
      </c>
      <c r="W297" s="2"/>
      <c r="X297" s="2" t="inlineStr">
        <is>
          <t>C.均衡 (80%-100%)</t>
        </is>
      </c>
      <c r="Y297" s="2" t="inlineStr">
        <is>
          <t>A.岗位工作量饱和，已达人效上限</t>
        </is>
      </c>
      <c r="Z297" s="2" t="inlineStr">
        <is>
          <t>专项检查</t>
        </is>
      </c>
      <c r="AA297" s="2" t="inlineStr">
        <is>
          <t>无</t>
        </is>
      </c>
      <c r="AB297" s="2" t="inlineStr">
        <is>
          <t>专项检查</t>
        </is>
      </c>
      <c r="AC297" s="2" t="inlineStr">
        <is>
          <t>B.基本匹配（正常履行）</t>
        </is>
      </c>
      <c r="AD297" s="2" t="inlineStr">
        <is>
          <t>无</t>
        </is>
      </c>
      <c r="AE297" s="2"/>
      <c r="AF297" s="2"/>
      <c r="AG297" s="2"/>
      <c r="AH297" s="2"/>
      <c r="AI297" s="7" t="n">
        <v>12</v>
      </c>
      <c r="AJ297" s="7" t="n">
        <v>40</v>
      </c>
      <c r="AK297" s="7" t="n">
        <v>0</v>
      </c>
      <c r="AL297" s="7" t="n">
        <v>0</v>
      </c>
      <c r="AM297" s="7" t="n">
        <v>0</v>
      </c>
      <c r="AN297" s="7" t="n">
        <v>0</v>
      </c>
      <c r="AO297" s="7" t="n">
        <v>0</v>
      </c>
      <c r="AP297" s="7" t="n">
        <v>0</v>
      </c>
      <c r="AQ297" s="7" t="n">
        <v>0</v>
      </c>
      <c r="AR297" s="7" t="n">
        <v>0</v>
      </c>
      <c r="AS297" s="7" t="n">
        <v>12</v>
      </c>
      <c r="AT297" s="7" t="n">
        <v>40</v>
      </c>
      <c r="AU297" s="7" t="n">
        <v>26</v>
      </c>
      <c r="AV297" s="2" t="inlineStr">
        <is>
          <t>超负荷</t>
        </is>
      </c>
      <c r="AW297" s="2" t="inlineStr">
        <is>
          <t>不一致</t>
        </is>
      </c>
      <c r="AX297" s="2" t="inlineStr">
        <is>
          <t>30f4ceb4-1af7-4f62-8da0-c518fcb36ce5</t>
        </is>
      </c>
      <c r="AY297" s="2" t="inlineStr">
        <is>
          <t>安装一分公司    陈玉忠</t>
        </is>
      </c>
      <c r="AZ297" s="2" t="inlineStr">
        <is>
          <t>Anonymous</t>
        </is>
      </c>
      <c r="BA297" s="2" t="inlineStr">
        <is>
          <t>Anonymous</t>
        </is>
      </c>
      <c r="BB297" s="2"/>
      <c r="BC297" s="2" t="inlineStr">
        <is>
          <t>2026-05-21 08:43:22</t>
        </is>
      </c>
      <c r="BD297" s="3" t="n">
        <v>1970</v>
      </c>
      <c r="BE297" s="3" t="n">
        <v>56</v>
      </c>
      <c r="BF297" s="2" t="inlineStr">
        <is>
          <t>A.无此需求</t>
        </is>
      </c>
      <c r="BG297" s="2" t="inlineStr">
        <is>
          <t>已生效</t>
        </is>
      </c>
      <c r="BH297" s="2" t="inlineStr">
        <is>
          <t>a0b3412e-90e5-4c8a-8806-c476bf14011c</t>
        </is>
      </c>
      <c r="BI297" s="3" t="n">
        <v>1</v>
      </c>
      <c r="BJ297" s="2"/>
      <c r="BK297" s="2"/>
      <c r="BL297" s="2"/>
      <c r="BM297" s="2"/>
      <c r="BN297" s="2"/>
      <c r="BO297" s="2"/>
      <c r="BP297" s="2"/>
      <c r="BQ297" s="2"/>
      <c r="BR297" s="2"/>
      <c r="BS297" s="2" t="inlineStr">
        <is>
          <t>9b530802-58f5-44c8-b41a-3877c9f0afbe</t>
        </is>
      </c>
      <c r="BT297" s="3" t="n">
        <v>1</v>
      </c>
      <c r="BU297" s="2" t="inlineStr">
        <is>
          <t>专业技术类</t>
        </is>
      </c>
      <c r="BV297" s="2" t="inlineStr">
        <is>
          <t>赛鼎项目质量检查</t>
        </is>
      </c>
      <c r="BW297" s="2" t="inlineStr">
        <is>
          <t>6-10次</t>
        </is>
      </c>
      <c r="BX297" s="3" t="n">
        <v>6</v>
      </c>
      <c r="BY297" s="3" t="n">
        <v>10</v>
      </c>
      <c r="BZ297" s="2" t="inlineStr">
        <is>
          <t>C.2-4小时</t>
        </is>
      </c>
      <c r="CA297" s="7" t="n">
        <v>2</v>
      </c>
      <c r="CB297" s="7" t="n">
        <v>4</v>
      </c>
      <c r="CC297" s="7" t="n">
        <v>12</v>
      </c>
      <c r="CD297" s="7" t="n">
        <v>40</v>
      </c>
      <c r="CE297" s="2" t="inlineStr">
        <is>
          <t>专业技术类</t>
        </is>
      </c>
      <c r="CF297" s="2"/>
      <c r="CG297" s="2" t="inlineStr">
        <is>
          <t>专业问题协调</t>
        </is>
      </c>
      <c r="CH297" s="2" t="inlineStr">
        <is>
          <t>岗位职责</t>
        </is>
      </c>
      <c r="CI297" s="2" t="inlineStr">
        <is>
          <t>重要且紧急</t>
        </is>
      </c>
      <c r="CJ297" s="2" t="inlineStr">
        <is>
          <t>半标准化-有流程框架，需专业经验</t>
        </is>
      </c>
      <c r="CK297" s="2" t="inlineStr">
        <is>
          <t>极少（&lt;5%）</t>
        </is>
      </c>
      <c r="CL297" s="2" t="inlineStr">
        <is>
          <t>沟通/协调负荷</t>
        </is>
      </c>
      <c r="CM297" s="2"/>
      <c r="CN297" s="2" t="inlineStr">
        <is>
          <t>228d1230-a64a-4607-9ab4-3ce4b8428a1a</t>
        </is>
      </c>
      <c r="CO297" s="3" t="n">
        <v>1</v>
      </c>
      <c r="CP297" s="2"/>
      <c r="CQ297" s="2"/>
      <c r="CR297" s="2"/>
      <c r="CS297" s="3"/>
      <c r="CT297" s="3"/>
      <c r="CU297" s="2"/>
      <c r="CV297" s="3"/>
      <c r="CW297" s="3"/>
      <c r="CX297" s="3"/>
      <c r="CY297" s="3"/>
      <c r="CZ297" s="2"/>
      <c r="DA297" s="2"/>
      <c r="DB297" s="2"/>
      <c r="DC297" s="2"/>
      <c r="DD297" s="2"/>
      <c r="DE297" s="2"/>
      <c r="DF297" s="2"/>
      <c r="DG297" s="2"/>
      <c r="DH297" s="2"/>
      <c r="DI297" s="2" t="inlineStr">
        <is>
          <t>54f3c661-77c6-443f-ab5f-89b95a562e37</t>
        </is>
      </c>
      <c r="DJ297" s="3" t="n">
        <v>1</v>
      </c>
      <c r="DK297" s="2"/>
      <c r="DL297" s="2"/>
      <c r="DM297" s="2"/>
      <c r="DN297" s="3"/>
      <c r="DO297" s="3"/>
      <c r="DP297" s="2"/>
      <c r="DQ297" s="3"/>
      <c r="DR297" s="3"/>
      <c r="DS297" s="3"/>
      <c r="DT297" s="3"/>
      <c r="DU297" s="2"/>
      <c r="DV297" s="2"/>
      <c r="DW297" s="2"/>
      <c r="DX297" s="2"/>
      <c r="DY297" s="2"/>
      <c r="DZ297" s="2"/>
      <c r="EA297" s="2"/>
      <c r="EB297" s="2"/>
      <c r="EC297" s="2"/>
      <c r="ED297" s="2" t="inlineStr">
        <is>
          <t>97872ccf-66f5-4b90-9c0a-2f7220968c24</t>
        </is>
      </c>
      <c r="EE297" s="3" t="n">
        <v>1</v>
      </c>
      <c r="EF297" s="2"/>
      <c r="EG297" s="2"/>
      <c r="EH297" s="2"/>
      <c r="EI297" s="3"/>
      <c r="EJ297" s="2"/>
      <c r="EK297" s="3"/>
      <c r="EL297" s="3"/>
      <c r="EM297" s="3"/>
      <c r="EN297" s="3"/>
      <c r="EO297" s="2"/>
      <c r="EP297" s="2"/>
      <c r="EQ297" s="2"/>
      <c r="ER297" s="2"/>
      <c r="ES297" s="2"/>
      <c r="ET297" s="2"/>
      <c r="EU297" s="2"/>
      <c r="EV297" s="2"/>
      <c r="EW297" s="2"/>
      <c r="EX297" s="2" t="inlineStr">
        <is>
          <t>1e922004-62aa-4453-a6dd-44bb5359d490</t>
        </is>
      </c>
      <c r="EY297" s="3" t="n">
        <v>1</v>
      </c>
      <c r="EZ297" s="2"/>
      <c r="FA297" s="2"/>
      <c r="FB297" s="2"/>
      <c r="FC297" s="2"/>
      <c r="FD297" s="3"/>
      <c r="FE297" s="3"/>
      <c r="FF297" s="2"/>
      <c r="FG297" s="3"/>
      <c r="FH297" s="3"/>
      <c r="FI297" s="7" t="n">
        <v>0</v>
      </c>
      <c r="FJ297" s="7" t="n">
        <v>0</v>
      </c>
      <c r="FK297" s="7" t="n">
        <v>0</v>
      </c>
      <c r="FL297" s="7" t="n">
        <v>0</v>
      </c>
      <c r="FM297" s="7" t="n">
        <v>0</v>
      </c>
      <c r="FN297" s="7" t="n">
        <v>0</v>
      </c>
      <c r="FO297" s="2"/>
      <c r="FP297" s="2"/>
      <c r="FQ297" s="2"/>
      <c r="FR297" s="2"/>
      <c r="FS297" s="2"/>
      <c r="FT297" s="2"/>
      <c r="FU297" s="2"/>
      <c r="FV297" s="2"/>
      <c r="FW297" s="2"/>
    </row>
    <row r="298">
      <c r="A298" s="2" t="inlineStr">
        <is>
          <t>2026-05-07 12:02:59</t>
        </is>
      </c>
      <c r="B298" s="2" t="inlineStr">
        <is>
          <t>周勋禹</t>
        </is>
      </c>
      <c r="C298" s="2" t="inlineStr">
        <is>
          <t>物资部</t>
        </is>
      </c>
      <c r="D298" s="2" t="inlineStr">
        <is>
          <t>男</t>
        </is>
      </c>
      <c r="E298" s="2" t="inlineStr">
        <is>
          <t>340111200101085031</t>
        </is>
      </c>
      <c r="F298" s="2" t="inlineStr">
        <is>
          <t>技术助理(二)</t>
        </is>
      </c>
      <c r="G298" s="2" t="inlineStr">
        <is>
          <t>2023-08</t>
        </is>
      </c>
      <c r="H298" s="2" t="inlineStr">
        <is>
          <t>宿州学院</t>
        </is>
      </c>
      <c r="I298" s="2" t="inlineStr">
        <is>
          <t>材料员</t>
        </is>
      </c>
      <c r="J298" s="2" t="inlineStr">
        <is>
          <t>本科</t>
        </is>
      </c>
      <c r="K298" s="2"/>
      <c r="L298" s="6">
        <f>HYPERLINK("https://www.h3yun.com/Form/Attachments/?schemacode=D1483577de63ede327d4760b10664bd57671d7e&amp;bizObjectId=f9d21835-1dd5-4798-ae3f-5fc439f51c85&amp;name=F0000046","点击查看")</f>
        <v>0</v>
      </c>
      <c r="M298" s="2" t="inlineStr">
        <is>
          <t>人工智能编辑材料代码，数据用的是老数据，AI训练犯得错误基本是多次修改的仍就犯的错误，靠人为总结规律给AI，什么AI这么低能，算力不够不换设备缩减模型质量吗？材料描述动不动一个人几千条一天的过滤给AI，量大管饱，质量堪忧。</t>
        </is>
      </c>
      <c r="N298" s="2" t="inlineStr">
        <is>
          <t>每日工作;每周工作</t>
        </is>
      </c>
      <c r="O298" s="2" t="inlineStr">
        <is>
          <t>25岁及以下</t>
        </is>
      </c>
      <c r="P298" s="2" t="inlineStr">
        <is>
          <t>A.未婚</t>
        </is>
      </c>
      <c r="Q298" s="2" t="inlineStr">
        <is>
          <t>A.否</t>
        </is>
      </c>
      <c r="R298" s="2" t="inlineStr">
        <is>
          <t>A.否</t>
        </is>
      </c>
      <c r="S298" s="2" t="inlineStr">
        <is>
          <t>D.希望承担更有挑战性的工作，并争取更大发展空间</t>
        </is>
      </c>
      <c r="T298" s="2" t="inlineStr">
        <is>
          <t>B.工作内容可接受，但负荷偏重</t>
        </is>
      </c>
      <c r="U298" s="2" t="inlineStr">
        <is>
          <t>D.明确职责边界</t>
        </is>
      </c>
      <c r="V298" s="2" t="inlineStr">
        <is>
          <t>B.提出过建议，但未推动</t>
        </is>
      </c>
      <c r="W298" s="2" t="inlineStr">
        <is>
          <t>H.其他</t>
        </is>
      </c>
      <c r="X298" s="2" t="inlineStr">
        <is>
          <t>B.满负荷 (100%-120%)</t>
        </is>
      </c>
      <c r="Y298" s="2" t="inlineStr">
        <is>
          <t>C.会议或日常协调过多，压缩产出时间;H.研发探索性质，保持研究不间断的主动加班</t>
        </is>
      </c>
      <c r="Z298" s="2" t="inlineStr">
        <is>
          <t>探索研发类工作</t>
        </is>
      </c>
      <c r="AA298" s="2" t="inlineStr">
        <is>
          <t>综合性汇报组织</t>
        </is>
      </c>
      <c r="AB298" s="2" t="inlineStr">
        <is>
          <t>技术交底</t>
        </is>
      </c>
      <c r="AC298" s="2" t="inlineStr">
        <is>
          <t>D.完全不匹配（需调岗）</t>
        </is>
      </c>
      <c r="AD298" s="2" t="inlineStr">
        <is>
          <t>曾耗时两天结合业主材料仓库管理的经验写的预制场材料追溯与来材摆放建议，用AI帮忙梳理行文的建议，被领导批语AI写方案扣个应付了事的帽子，建议里材料保养部分公司仅对C钢不锈钢做区分，使用不锈钢专用记号笔专门提过，没有采纳。
领导要求职工掌握多维表这一记录数据的工具挺好的，但是氚云与ERP系统并列执行会增加很多没有意义的工作量，历史数据割裂不开，断不了多维表的就很容易被拖垮
氚云组织架构，与ERP组织架构不统一这也是提了多次没果的。
技术中心大部分精力是花费在数据清洗达成所谓统一上，统一系统，统一工具，统一材料代码描述上，但统一是要流血的公司范围内的统一，纯内耗，施工系统物资管理行业早在2001年就有了SPMAT这一行业标杆，嫌贵不引用，最起码弄的专业点吧，借鉴一下吧，搭的系统，超发不考虑，质量问题不考虑，管线分配材料跟玩一样，系统的管线BOM表是没有的，应对突发情况的虚拟变更是没有的，氚云是好工具但是是适普的，专业的东西它替代不了，做个四不像纯纯招笑。
再说说编码，一长串一长串的一点普适性都没，接过这么多项目第一次见把规格壁厚如此直白的写到材料代码里的，描述式的材料代码又臭又长，真推广了现场作业人抄个代码的时间，磨光机都把钢管切开了。</t>
        </is>
      </c>
      <c r="AE298" s="2" t="inlineStr">
        <is>
          <t>不够直白</t>
        </is>
      </c>
      <c r="AF298" s="2" t="inlineStr">
        <is>
          <t>没有对领导要求跨岗工作但一堆理由不发奖金的强烈谴责。</t>
        </is>
      </c>
      <c r="AG298" s="2"/>
      <c r="AH298" s="2"/>
      <c r="AI298" s="7" t="n">
        <v>4</v>
      </c>
      <c r="AJ298" s="7" t="n">
        <v>8</v>
      </c>
      <c r="AK298" s="7" t="n">
        <v>3.2</v>
      </c>
      <c r="AL298" s="7" t="n">
        <v>8</v>
      </c>
      <c r="AM298" s="7" t="n">
        <v>0</v>
      </c>
      <c r="AN298" s="7" t="n">
        <v>0</v>
      </c>
      <c r="AO298" s="7" t="n">
        <v>0</v>
      </c>
      <c r="AP298" s="7" t="n">
        <v>0</v>
      </c>
      <c r="AQ298" s="7" t="n">
        <v>0</v>
      </c>
      <c r="AR298" s="7" t="n">
        <v>0</v>
      </c>
      <c r="AS298" s="7" t="n">
        <v>7.2</v>
      </c>
      <c r="AT298" s="7" t="n">
        <v>16</v>
      </c>
      <c r="AU298" s="7" t="n">
        <v>11.6</v>
      </c>
      <c r="AV298" s="2" t="inlineStr">
        <is>
          <t>超负荷</t>
        </is>
      </c>
      <c r="AW298" s="2" t="inlineStr">
        <is>
          <t>不一致</t>
        </is>
      </c>
      <c r="AX298" s="2" t="inlineStr">
        <is>
          <t>f9d21835-1dd5-4798-ae3f-5fc439f51c85</t>
        </is>
      </c>
      <c r="AY298" s="2" t="inlineStr">
        <is>
          <t>物资部    周勋禹</t>
        </is>
      </c>
      <c r="AZ298" s="2" t="inlineStr">
        <is>
          <t>Anonymous</t>
        </is>
      </c>
      <c r="BA298" s="2" t="inlineStr">
        <is>
          <t>Anonymous</t>
        </is>
      </c>
      <c r="BB298" s="2"/>
      <c r="BC298" s="2" t="inlineStr">
        <is>
          <t>2026-05-21 08:43:22</t>
        </is>
      </c>
      <c r="BD298" s="3" t="n">
        <v>2001</v>
      </c>
      <c r="BE298" s="3" t="n">
        <v>25</v>
      </c>
      <c r="BF298" s="2" t="inlineStr">
        <is>
          <t>A.无此需求</t>
        </is>
      </c>
      <c r="BG298" s="2" t="inlineStr">
        <is>
          <t>已生效</t>
        </is>
      </c>
      <c r="BH298" s="2" t="inlineStr">
        <is>
          <t>4c537b57-0a77-4bee-981a-52fca207cb20</t>
        </is>
      </c>
      <c r="BI298" s="3" t="n">
        <v>1</v>
      </c>
      <c r="BJ298" s="2"/>
      <c r="BK298" s="2"/>
      <c r="BL298" s="2"/>
      <c r="BM298" s="2"/>
      <c r="BN298" s="2"/>
      <c r="BO298" s="2"/>
      <c r="BP298" s="2"/>
      <c r="BQ298" s="2"/>
      <c r="BR298" s="2"/>
      <c r="BS298" s="2" t="inlineStr">
        <is>
          <t>f22723e6-7cd7-4a01-9786-1cd08c6ff189</t>
        </is>
      </c>
      <c r="BT298" s="3" t="n">
        <v>1</v>
      </c>
      <c r="BU298" s="2" t="inlineStr">
        <is>
          <t>其他</t>
        </is>
      </c>
      <c r="BV298" s="2" t="inlineStr">
        <is>
          <t>材料代码核对</t>
        </is>
      </c>
      <c r="BW298" s="2" t="inlineStr">
        <is>
          <t>1次</t>
        </is>
      </c>
      <c r="BX298" s="3" t="n">
        <v>1</v>
      </c>
      <c r="BY298" s="3" t="n">
        <v>1</v>
      </c>
      <c r="BZ298" s="2" t="inlineStr">
        <is>
          <t>D.4-8小时</t>
        </is>
      </c>
      <c r="CA298" s="7" t="n">
        <v>4</v>
      </c>
      <c r="CB298" s="7" t="n">
        <v>8</v>
      </c>
      <c r="CC298" s="7" t="n">
        <v>4</v>
      </c>
      <c r="CD298" s="7" t="n">
        <v>8</v>
      </c>
      <c r="CE298" s="2" t="inlineStr">
        <is>
          <t>其他</t>
        </is>
      </c>
      <c r="CF298" s="2" t="inlineStr">
        <is>
          <t>数据核对</t>
        </is>
      </c>
      <c r="CG298" s="2"/>
      <c r="CH298" s="2" t="inlineStr">
        <is>
          <t>跨部门协同</t>
        </is>
      </c>
      <c r="CI298" s="2" t="inlineStr">
        <is>
          <t>重要不紧急</t>
        </is>
      </c>
      <c r="CJ298" s="2" t="inlineStr">
        <is>
          <t>高度标准化-有成熟SOP，照做即可</t>
        </is>
      </c>
      <c r="CK298" s="2" t="inlineStr">
        <is>
          <t>极少（&lt;5%）</t>
        </is>
      </c>
      <c r="CL298" s="2" t="inlineStr">
        <is>
          <t>时效/强度负荷</t>
        </is>
      </c>
      <c r="CM298" s="2" t="inlineStr">
        <is>
          <t>全程盯很伤眼</t>
        </is>
      </c>
      <c r="CN298" s="2" t="inlineStr">
        <is>
          <t>78a95baa-a1de-4847-bf1b-cb1a9a16d059</t>
        </is>
      </c>
      <c r="CO298" s="3" t="n">
        <v>1</v>
      </c>
      <c r="CP298" s="2"/>
      <c r="CQ298" s="2" t="inlineStr">
        <is>
          <t>物资部固定资产数字化</t>
        </is>
      </c>
      <c r="CR298" s="2" t="inlineStr">
        <is>
          <t>4-5次</t>
        </is>
      </c>
      <c r="CS298" s="3" t="n">
        <v>4</v>
      </c>
      <c r="CT298" s="3" t="n">
        <v>5</v>
      </c>
      <c r="CU298" s="2" t="inlineStr">
        <is>
          <t>D.4-8小时</t>
        </is>
      </c>
      <c r="CV298" s="7" t="n">
        <v>4</v>
      </c>
      <c r="CW298" s="7" t="n">
        <v>8</v>
      </c>
      <c r="CX298" s="7" t="n">
        <v>16</v>
      </c>
      <c r="CY298" s="7" t="n">
        <v>40</v>
      </c>
      <c r="CZ298" s="2" t="inlineStr">
        <is>
          <t>专业技术类</t>
        </is>
      </c>
      <c r="DA298" s="2"/>
      <c r="DB298" s="2" t="inlineStr">
        <is>
          <t>探索研发类工作</t>
        </is>
      </c>
      <c r="DC298" s="2" t="inlineStr">
        <is>
          <t>部门计划</t>
        </is>
      </c>
      <c r="DD298" s="2" t="inlineStr">
        <is>
          <t>重要且紧急</t>
        </is>
      </c>
      <c r="DE298" s="2" t="inlineStr">
        <is>
          <t>非标准化-无先例参考，需创新协调</t>
        </is>
      </c>
      <c r="DF298" s="2" t="inlineStr">
        <is>
          <t>中频（10%-30%）</t>
        </is>
      </c>
      <c r="DG298" s="2" t="inlineStr">
        <is>
          <t>脑力/复杂度负荷</t>
        </is>
      </c>
      <c r="DH298" s="2" t="inlineStr">
        <is>
          <t>每周四会议汇报展示进度，领导工作安排</t>
        </is>
      </c>
      <c r="DI298" s="2" t="inlineStr">
        <is>
          <t>49be5111-904f-470c-a1e9-b02923c8a040</t>
        </is>
      </c>
      <c r="DJ298" s="3" t="n">
        <v>1</v>
      </c>
      <c r="DK298" s="2"/>
      <c r="DL298" s="2"/>
      <c r="DM298" s="2"/>
      <c r="DN298" s="3"/>
      <c r="DO298" s="3"/>
      <c r="DP298" s="2"/>
      <c r="DQ298" s="3"/>
      <c r="DR298" s="3"/>
      <c r="DS298" s="3"/>
      <c r="DT298" s="3"/>
      <c r="DU298" s="2"/>
      <c r="DV298" s="2"/>
      <c r="DW298" s="2"/>
      <c r="DX298" s="2"/>
      <c r="DY298" s="2"/>
      <c r="DZ298" s="2"/>
      <c r="EA298" s="2"/>
      <c r="EB298" s="2"/>
      <c r="EC298" s="2"/>
      <c r="ED298" s="2" t="inlineStr">
        <is>
          <t>a69d2e9b-1f89-42d5-8b74-1bba85a88e67</t>
        </is>
      </c>
      <c r="EE298" s="3" t="n">
        <v>1</v>
      </c>
      <c r="EF298" s="2"/>
      <c r="EG298" s="2"/>
      <c r="EH298" s="2"/>
      <c r="EI298" s="3"/>
      <c r="EJ298" s="2"/>
      <c r="EK298" s="3"/>
      <c r="EL298" s="3"/>
      <c r="EM298" s="3"/>
      <c r="EN298" s="3"/>
      <c r="EO298" s="2"/>
      <c r="EP298" s="2"/>
      <c r="EQ298" s="2"/>
      <c r="ER298" s="2"/>
      <c r="ES298" s="2"/>
      <c r="ET298" s="2"/>
      <c r="EU298" s="2"/>
      <c r="EV298" s="2"/>
      <c r="EW298" s="2"/>
      <c r="EX298" s="2" t="inlineStr">
        <is>
          <t>03547183-6ccd-440a-a847-62a9f0c87cb1</t>
        </is>
      </c>
      <c r="EY298" s="3" t="n">
        <v>1</v>
      </c>
      <c r="EZ298" s="2"/>
      <c r="FA298" s="2"/>
      <c r="FB298" s="2"/>
      <c r="FC298" s="2"/>
      <c r="FD298" s="3"/>
      <c r="FE298" s="3"/>
      <c r="FF298" s="2"/>
      <c r="FG298" s="3"/>
      <c r="FH298" s="3"/>
      <c r="FI298" s="7" t="n">
        <v>0</v>
      </c>
      <c r="FJ298" s="7" t="n">
        <v>0</v>
      </c>
      <c r="FK298" s="7" t="n">
        <v>0</v>
      </c>
      <c r="FL298" s="7" t="n">
        <v>0</v>
      </c>
      <c r="FM298" s="7" t="n">
        <v>0</v>
      </c>
      <c r="FN298" s="7" t="n">
        <v>0</v>
      </c>
      <c r="FO298" s="2"/>
      <c r="FP298" s="2"/>
      <c r="FQ298" s="2"/>
      <c r="FR298" s="2"/>
      <c r="FS298" s="2"/>
      <c r="FT298" s="2"/>
      <c r="FU298" s="2"/>
      <c r="FV298" s="2"/>
      <c r="FW298" s="2"/>
    </row>
    <row r="299">
      <c r="A299" s="2" t="inlineStr">
        <is>
          <t>2026-05-07 11:52:27</t>
        </is>
      </c>
      <c r="B299" s="2" t="inlineStr">
        <is>
          <t>杨志伟</t>
        </is>
      </c>
      <c r="C299" s="2" t="inlineStr">
        <is>
          <t>安装一分公司</t>
        </is>
      </c>
      <c r="D299" s="2" t="inlineStr">
        <is>
          <t>男</t>
        </is>
      </c>
      <c r="E299" s="2" t="inlineStr">
        <is>
          <t>321284200110217017</t>
        </is>
      </c>
      <c r="F299" s="2" t="inlineStr">
        <is>
          <t>技术助理(四)</t>
        </is>
      </c>
      <c r="G299" s="2" t="inlineStr">
        <is>
          <t>2024-08</t>
        </is>
      </c>
      <c r="H299" s="2" t="inlineStr">
        <is>
          <t>江苏海事职业技术学院</t>
        </is>
      </c>
      <c r="I299" s="2" t="inlineStr">
        <is>
          <t>电气</t>
        </is>
      </c>
      <c r="J299" s="2" t="inlineStr">
        <is>
          <t>大专</t>
        </is>
      </c>
      <c r="K299" s="2"/>
      <c r="L299" s="6">
        <f>HYPERLINK("https://www.h3yun.com/Form/Attachments/?schemacode=D1483577de63ede327d4760b10664bd57671d7e&amp;bizObjectId=e6bac00c-2ac9-48bf-8664-076c187ea871&amp;name=F0000046","点击查看")</f>
        <v>0</v>
      </c>
      <c r="M299" s="2" t="inlineStr">
        <is>
          <t>无</t>
        </is>
      </c>
      <c r="N299" s="2" t="inlineStr">
        <is>
          <t>每日工作</t>
        </is>
      </c>
      <c r="O299" s="2" t="inlineStr">
        <is>
          <t>25岁及以下</t>
        </is>
      </c>
      <c r="P299" s="2" t="inlineStr">
        <is>
          <t>A.未婚</t>
        </is>
      </c>
      <c r="Q299" s="2" t="inlineStr">
        <is>
          <t>A.否</t>
        </is>
      </c>
      <c r="R299" s="2" t="inlineStr">
        <is>
          <t>A.否</t>
        </is>
      </c>
      <c r="S299" s="2" t="inlineStr">
        <is>
          <t>A.保持当前工作内容和节奏，收入相对稳定即可</t>
        </is>
      </c>
      <c r="T299" s="2" t="inlineStr">
        <is>
          <t>A.基本满意，希望保持</t>
        </is>
      </c>
      <c r="U299" s="2" t="inlineStr">
        <is>
          <t>A.减少重复性事务</t>
        </is>
      </c>
      <c r="V299" s="2" t="inlineStr">
        <is>
          <t>A.没有</t>
        </is>
      </c>
      <c r="W299" s="2"/>
      <c r="X299" s="2" t="inlineStr">
        <is>
          <t>C.均衡 (80%-100%)</t>
        </is>
      </c>
      <c r="Y299" s="2" t="inlineStr">
        <is>
          <t>A.岗位工作量饱和，已达人效上限;E.项目服务按照项目作息考勤制加班</t>
        </is>
      </c>
      <c r="Z299" s="2" t="inlineStr">
        <is>
          <t>无</t>
        </is>
      </c>
      <c r="AA299" s="2" t="inlineStr">
        <is>
          <t>无</t>
        </is>
      </c>
      <c r="AB299" s="2" t="inlineStr">
        <is>
          <t>无</t>
        </is>
      </c>
      <c r="AC299" s="2" t="inlineStr">
        <is>
          <t>B.基本匹配（正常履行）</t>
        </is>
      </c>
      <c r="AD299" s="2" t="inlineStr">
        <is>
          <t>无</t>
        </is>
      </c>
      <c r="AE299" s="2"/>
      <c r="AF299" s="2"/>
      <c r="AG299" s="2"/>
      <c r="AH299" s="2"/>
      <c r="AI299" s="7" t="n">
        <v>12</v>
      </c>
      <c r="AJ299" s="7" t="n">
        <v>40</v>
      </c>
      <c r="AK299" s="7" t="n">
        <v>0</v>
      </c>
      <c r="AL299" s="7" t="n">
        <v>0</v>
      </c>
      <c r="AM299" s="7" t="n">
        <v>0</v>
      </c>
      <c r="AN299" s="7" t="n">
        <v>0</v>
      </c>
      <c r="AO299" s="7" t="n">
        <v>0</v>
      </c>
      <c r="AP299" s="7" t="n">
        <v>0</v>
      </c>
      <c r="AQ299" s="7" t="n">
        <v>0</v>
      </c>
      <c r="AR299" s="7" t="n">
        <v>0</v>
      </c>
      <c r="AS299" s="7" t="n">
        <v>12</v>
      </c>
      <c r="AT299" s="7" t="n">
        <v>40</v>
      </c>
      <c r="AU299" s="7" t="n">
        <v>26</v>
      </c>
      <c r="AV299" s="2" t="inlineStr">
        <is>
          <t>超负荷</t>
        </is>
      </c>
      <c r="AW299" s="2" t="inlineStr">
        <is>
          <t>不一致</t>
        </is>
      </c>
      <c r="AX299" s="2" t="inlineStr">
        <is>
          <t>e6bac00c-2ac9-48bf-8664-076c187ea871</t>
        </is>
      </c>
      <c r="AY299" s="2" t="inlineStr">
        <is>
          <t>安装一分公司    杨志伟</t>
        </is>
      </c>
      <c r="AZ299" s="2" t="inlineStr">
        <is>
          <t>Anonymous</t>
        </is>
      </c>
      <c r="BA299" s="2" t="inlineStr">
        <is>
          <t>Anonymous</t>
        </is>
      </c>
      <c r="BB299" s="2"/>
      <c r="BC299" s="2" t="inlineStr">
        <is>
          <t>2026-05-21 08:43:22</t>
        </is>
      </c>
      <c r="BD299" s="3" t="n">
        <v>2001</v>
      </c>
      <c r="BE299" s="3" t="n">
        <v>25</v>
      </c>
      <c r="BF299" s="2" t="inlineStr">
        <is>
          <t>A.无此需求</t>
        </is>
      </c>
      <c r="BG299" s="2" t="inlineStr">
        <is>
          <t>已生效</t>
        </is>
      </c>
      <c r="BH299" s="2" t="inlineStr">
        <is>
          <t>c59888ae-2c36-4ea3-9c83-c0bab5443758</t>
        </is>
      </c>
      <c r="BI299" s="3" t="n">
        <v>1</v>
      </c>
      <c r="BJ299" s="2"/>
      <c r="BK299" s="2"/>
      <c r="BL299" s="2"/>
      <c r="BM299" s="2"/>
      <c r="BN299" s="2"/>
      <c r="BO299" s="2"/>
      <c r="BP299" s="2"/>
      <c r="BQ299" s="2"/>
      <c r="BR299" s="2"/>
      <c r="BS299" s="2" t="inlineStr">
        <is>
          <t>629acf9b-212c-477d-9906-d5340d8a716b</t>
        </is>
      </c>
      <c r="BT299" s="3" t="n">
        <v>1</v>
      </c>
      <c r="BU299" s="2" t="inlineStr">
        <is>
          <t>专业技术类</t>
        </is>
      </c>
      <c r="BV299" s="2" t="inlineStr">
        <is>
          <t>山西兰花项目</t>
        </is>
      </c>
      <c r="BW299" s="2" t="inlineStr">
        <is>
          <t>6-10次</t>
        </is>
      </c>
      <c r="BX299" s="3" t="n">
        <v>6</v>
      </c>
      <c r="BY299" s="3" t="n">
        <v>10</v>
      </c>
      <c r="BZ299" s="2" t="inlineStr">
        <is>
          <t>C.2-4小时</t>
        </is>
      </c>
      <c r="CA299" s="7" t="n">
        <v>2</v>
      </c>
      <c r="CB299" s="7" t="n">
        <v>4</v>
      </c>
      <c r="CC299" s="7" t="n">
        <v>12</v>
      </c>
      <c r="CD299" s="7" t="n">
        <v>40</v>
      </c>
      <c r="CE299" s="2" t="inlineStr">
        <is>
          <t>专业技术类</t>
        </is>
      </c>
      <c r="CF299" s="2"/>
      <c r="CG299" s="2" t="inlineStr">
        <is>
          <t>专业问题协调</t>
        </is>
      </c>
      <c r="CH299" s="2" t="inlineStr">
        <is>
          <t>上级指令</t>
        </is>
      </c>
      <c r="CI299" s="2" t="inlineStr">
        <is>
          <t>重要且紧急</t>
        </is>
      </c>
      <c r="CJ299" s="2" t="inlineStr">
        <is>
          <t>半标准化-有流程框架，需专业经验</t>
        </is>
      </c>
      <c r="CK299" s="2" t="inlineStr">
        <is>
          <t>低频（5%-10%）</t>
        </is>
      </c>
      <c r="CL299" s="2" t="inlineStr">
        <is>
          <t>时效/强度负荷</t>
        </is>
      </c>
      <c r="CM299" s="2"/>
      <c r="CN299" s="2" t="inlineStr">
        <is>
          <t>404a1e83-f5f9-4b2a-83c5-bad39558c23d</t>
        </is>
      </c>
      <c r="CO299" s="3" t="n">
        <v>1</v>
      </c>
      <c r="CP299" s="2"/>
      <c r="CQ299" s="2"/>
      <c r="CR299" s="2"/>
      <c r="CS299" s="3"/>
      <c r="CT299" s="3"/>
      <c r="CU299" s="2"/>
      <c r="CV299" s="3"/>
      <c r="CW299" s="3"/>
      <c r="CX299" s="3"/>
      <c r="CY299" s="3"/>
      <c r="CZ299" s="2"/>
      <c r="DA299" s="2"/>
      <c r="DB299" s="2"/>
      <c r="DC299" s="2"/>
      <c r="DD299" s="2"/>
      <c r="DE299" s="2"/>
      <c r="DF299" s="2"/>
      <c r="DG299" s="2"/>
      <c r="DH299" s="2"/>
      <c r="DI299" s="2" t="inlineStr">
        <is>
          <t>d9cdc0e7-1710-4f5c-805e-29e6b6b7a959</t>
        </is>
      </c>
      <c r="DJ299" s="3" t="n">
        <v>1</v>
      </c>
      <c r="DK299" s="2"/>
      <c r="DL299" s="2"/>
      <c r="DM299" s="2"/>
      <c r="DN299" s="3"/>
      <c r="DO299" s="3"/>
      <c r="DP299" s="2"/>
      <c r="DQ299" s="3"/>
      <c r="DR299" s="3"/>
      <c r="DS299" s="3"/>
      <c r="DT299" s="3"/>
      <c r="DU299" s="2"/>
      <c r="DV299" s="2"/>
      <c r="DW299" s="2"/>
      <c r="DX299" s="2"/>
      <c r="DY299" s="2"/>
      <c r="DZ299" s="2"/>
      <c r="EA299" s="2"/>
      <c r="EB299" s="2"/>
      <c r="EC299" s="2"/>
      <c r="ED299" s="2" t="inlineStr">
        <is>
          <t>cbd09c6e-5e8f-42f8-903d-93bde62e975a</t>
        </is>
      </c>
      <c r="EE299" s="3" t="n">
        <v>1</v>
      </c>
      <c r="EF299" s="2"/>
      <c r="EG299" s="2"/>
      <c r="EH299" s="2"/>
      <c r="EI299" s="3"/>
      <c r="EJ299" s="2"/>
      <c r="EK299" s="3"/>
      <c r="EL299" s="3"/>
      <c r="EM299" s="3"/>
      <c r="EN299" s="3"/>
      <c r="EO299" s="2"/>
      <c r="EP299" s="2"/>
      <c r="EQ299" s="2"/>
      <c r="ER299" s="2"/>
      <c r="ES299" s="2"/>
      <c r="ET299" s="2"/>
      <c r="EU299" s="2"/>
      <c r="EV299" s="2"/>
      <c r="EW299" s="2"/>
      <c r="EX299" s="2" t="inlineStr">
        <is>
          <t>38f1622d-31fb-40b1-a8c9-3650eaa0f5e5</t>
        </is>
      </c>
      <c r="EY299" s="3" t="n">
        <v>1</v>
      </c>
      <c r="EZ299" s="2"/>
      <c r="FA299" s="2"/>
      <c r="FB299" s="2"/>
      <c r="FC299" s="2"/>
      <c r="FD299" s="3"/>
      <c r="FE299" s="3"/>
      <c r="FF299" s="2"/>
      <c r="FG299" s="3"/>
      <c r="FH299" s="3"/>
      <c r="FI299" s="7" t="n">
        <v>0</v>
      </c>
      <c r="FJ299" s="7" t="n">
        <v>0</v>
      </c>
      <c r="FK299" s="7" t="n">
        <v>0</v>
      </c>
      <c r="FL299" s="7" t="n">
        <v>0</v>
      </c>
      <c r="FM299" s="7" t="n">
        <v>0</v>
      </c>
      <c r="FN299" s="7" t="n">
        <v>0</v>
      </c>
      <c r="FO299" s="2"/>
      <c r="FP299" s="2"/>
      <c r="FQ299" s="2"/>
      <c r="FR299" s="2"/>
      <c r="FS299" s="2"/>
      <c r="FT299" s="2"/>
      <c r="FU299" s="2"/>
      <c r="FV299" s="2"/>
      <c r="FW299" s="2"/>
    </row>
    <row r="300">
      <c r="A300" s="2" t="inlineStr">
        <is>
          <t>2026-05-07 11:47:52</t>
        </is>
      </c>
      <c r="B300" s="2" t="inlineStr">
        <is>
          <t>殷玉善</t>
        </is>
      </c>
      <c r="C300" s="2" t="inlineStr">
        <is>
          <t>南京永利重工制造有限公司</t>
        </is>
      </c>
      <c r="D300" s="2" t="inlineStr">
        <is>
          <t>女</t>
        </is>
      </c>
      <c r="E300" s="2" t="inlineStr">
        <is>
          <t>410481198612118521</t>
        </is>
      </c>
      <c r="F300" s="2" t="inlineStr">
        <is>
          <t>辅助工种初级工</t>
        </is>
      </c>
      <c r="G300" s="2" t="inlineStr">
        <is>
          <t>2021-05</t>
        </is>
      </c>
      <c r="H300" s="2" t="inlineStr">
        <is>
          <t>中央广播电视大学</t>
        </is>
      </c>
      <c r="I300" s="2" t="inlineStr">
        <is>
          <t>其他</t>
        </is>
      </c>
      <c r="J300" s="2" t="inlineStr">
        <is>
          <t>大专</t>
        </is>
      </c>
      <c r="K300" s="2"/>
      <c r="L300" s="6">
        <f>HYPERLINK("https://www.h3yun.com/Form/Attachments/?schemacode=D1483577de63ede327d4760b10664bd57671d7e&amp;bizObjectId=4f0a6778-4459-4c81-b108-48d03522da61&amp;name=F0000046","点击查看")</f>
        <v>0</v>
      </c>
      <c r="M300" s="2" t="inlineStr">
        <is>
          <t>无</t>
        </is>
      </c>
      <c r="N300" s="2" t="inlineStr">
        <is>
          <t>每日工作;每月工作</t>
        </is>
      </c>
      <c r="O300" s="2" t="inlineStr">
        <is>
          <t>30-40岁</t>
        </is>
      </c>
      <c r="P300" s="2" t="inlineStr">
        <is>
          <t>C.已婚已育</t>
        </is>
      </c>
      <c r="Q300" s="2" t="inlineStr">
        <is>
          <t>B.是，主要照护子女</t>
        </is>
      </c>
      <c r="R300" s="2" t="inlineStr">
        <is>
          <t>A.否</t>
        </is>
      </c>
      <c r="S300" s="2" t="inlineStr">
        <is>
          <t>D.希望承担更有挑战性的工作，并争取更大发展空间</t>
        </is>
      </c>
      <c r="T300" s="2" t="inlineStr">
        <is>
          <t>E.希望承担更重要、更有挑战的职责</t>
        </is>
      </c>
      <c r="U300" s="2" t="inlineStr">
        <is>
          <t>B.减少无效流转和返工</t>
        </is>
      </c>
      <c r="V300" s="2" t="inlineStr">
        <is>
          <t>C.推动过局部优化</t>
        </is>
      </c>
      <c r="W300" s="2" t="inlineStr">
        <is>
          <t>H.其他</t>
        </is>
      </c>
      <c r="X300" s="2" t="inlineStr">
        <is>
          <t>B.满负荷 (100%-120%)</t>
        </is>
      </c>
      <c r="Y300" s="2" t="inlineStr">
        <is>
          <t>E.项目服务按照项目作息考勤制加班;G.接收到任务分配单完成周期内要求的加班</t>
        </is>
      </c>
      <c r="Z300" s="2" t="inlineStr">
        <is>
          <t>专题工作推进</t>
        </is>
      </c>
      <c r="AA300" s="2" t="inlineStr">
        <is>
          <t>无</t>
        </is>
      </c>
      <c r="AB300" s="2" t="inlineStr">
        <is>
          <t>无</t>
        </is>
      </c>
      <c r="AC300" s="2" t="inlineStr">
        <is>
          <t>B.基本匹配（正常履行）</t>
        </is>
      </c>
      <c r="AD300" s="2" t="inlineStr">
        <is>
          <t>无</t>
        </is>
      </c>
      <c r="AE300" s="2"/>
      <c r="AF300" s="2"/>
      <c r="AG300" s="2" t="inlineStr">
        <is>
          <t>E.未婚，无配偶</t>
        </is>
      </c>
      <c r="AH300" s="2" t="inlineStr">
        <is>
          <t>C.无意向</t>
        </is>
      </c>
      <c r="AI300" s="7" t="n">
        <v>12</v>
      </c>
      <c r="AJ300" s="7" t="n">
        <v>20</v>
      </c>
      <c r="AK300" s="7" t="n">
        <v>0</v>
      </c>
      <c r="AL300" s="7" t="n">
        <v>0</v>
      </c>
      <c r="AM300" s="7" t="n">
        <v>0.03</v>
      </c>
      <c r="AN300" s="7" t="n">
        <v>0.05</v>
      </c>
      <c r="AO300" s="7" t="n">
        <v>0</v>
      </c>
      <c r="AP300" s="7" t="n">
        <v>0</v>
      </c>
      <c r="AQ300" s="7" t="n">
        <v>0</v>
      </c>
      <c r="AR300" s="7" t="n">
        <v>0</v>
      </c>
      <c r="AS300" s="7" t="n">
        <v>12.03</v>
      </c>
      <c r="AT300" s="7" t="n">
        <v>20.05</v>
      </c>
      <c r="AU300" s="7" t="n">
        <v>16.04</v>
      </c>
      <c r="AV300" s="2" t="inlineStr">
        <is>
          <t>超负荷</t>
        </is>
      </c>
      <c r="AW300" s="2" t="inlineStr">
        <is>
          <t>不一致</t>
        </is>
      </c>
      <c r="AX300" s="2" t="inlineStr">
        <is>
          <t>4f0a6778-4459-4c81-b108-48d03522da61</t>
        </is>
      </c>
      <c r="AY300" s="2" t="inlineStr">
        <is>
          <t>南京永利重工制造有限公司    殷玉善</t>
        </is>
      </c>
      <c r="AZ300" s="2" t="inlineStr">
        <is>
          <t>Anonymous</t>
        </is>
      </c>
      <c r="BA300" s="2" t="inlineStr">
        <is>
          <t>Anonymous</t>
        </is>
      </c>
      <c r="BB300" s="2"/>
      <c r="BC300" s="2" t="inlineStr">
        <is>
          <t>2026-05-21 08:43:22</t>
        </is>
      </c>
      <c r="BD300" s="3" t="n">
        <v>1986</v>
      </c>
      <c r="BE300" s="3" t="n">
        <v>40</v>
      </c>
      <c r="BF300" s="2" t="inlineStr">
        <is>
          <t>A.无此需求</t>
        </is>
      </c>
      <c r="BG300" s="2" t="inlineStr">
        <is>
          <t>已生效</t>
        </is>
      </c>
      <c r="BH300" s="2" t="inlineStr">
        <is>
          <t>223c4337-16fa-45aa-803d-ea2dd8f33269</t>
        </is>
      </c>
      <c r="BI300" s="3" t="n">
        <v>1</v>
      </c>
      <c r="BJ300" s="2"/>
      <c r="BK300" s="2"/>
      <c r="BL300" s="2"/>
      <c r="BM300" s="2"/>
      <c r="BN300" s="2"/>
      <c r="BO300" s="2"/>
      <c r="BP300" s="2"/>
      <c r="BQ300" s="2"/>
      <c r="BR300" s="2"/>
      <c r="BS300" s="2" t="inlineStr">
        <is>
          <t>af53fd1b-b8e4-4b01-87aa-7de72f523157</t>
        </is>
      </c>
      <c r="BT300" s="3" t="n">
        <v>1</v>
      </c>
      <c r="BU300" s="2" t="inlineStr">
        <is>
          <t>数据报表类</t>
        </is>
      </c>
      <c r="BV300" s="2" t="inlineStr">
        <is>
          <t>焊接数据录入及维护相关</t>
        </is>
      </c>
      <c r="BW300" s="2" t="inlineStr">
        <is>
          <t>6-10次</t>
        </is>
      </c>
      <c r="BX300" s="3" t="n">
        <v>6</v>
      </c>
      <c r="BY300" s="3" t="n">
        <v>10</v>
      </c>
      <c r="BZ300" s="2" t="inlineStr">
        <is>
          <t>B.2小时以内</t>
        </is>
      </c>
      <c r="CA300" s="7" t="n">
        <v>2</v>
      </c>
      <c r="CB300" s="7" t="n">
        <v>2</v>
      </c>
      <c r="CC300" s="7" t="n">
        <v>12</v>
      </c>
      <c r="CD300" s="7" t="n">
        <v>20</v>
      </c>
      <c r="CE300" s="2" t="inlineStr">
        <is>
          <t>数据报表类</t>
        </is>
      </c>
      <c r="CF300" s="2"/>
      <c r="CG300" s="2" t="inlineStr">
        <is>
          <t>经营数据汇总</t>
        </is>
      </c>
      <c r="CH300" s="2" t="inlineStr">
        <is>
          <t>岗位职责</t>
        </is>
      </c>
      <c r="CI300" s="2" t="inlineStr">
        <is>
          <t>重要不紧急</t>
        </is>
      </c>
      <c r="CJ300" s="2" t="inlineStr">
        <is>
          <t>半标准化-有流程框架，需专业经验</t>
        </is>
      </c>
      <c r="CK300" s="2" t="inlineStr">
        <is>
          <t>极少（&lt;5%）</t>
        </is>
      </c>
      <c r="CL300" s="2" t="inlineStr">
        <is>
          <t>沟通/协调负荷</t>
        </is>
      </c>
      <c r="CM300" s="2"/>
      <c r="CN300" s="2" t="inlineStr">
        <is>
          <t>00b629e1-255a-425f-b68c-1a965941227e</t>
        </is>
      </c>
      <c r="CO300" s="3" t="n">
        <v>1</v>
      </c>
      <c r="CP300" s="2"/>
      <c r="CQ300" s="2"/>
      <c r="CR300" s="2"/>
      <c r="CS300" s="3"/>
      <c r="CT300" s="3"/>
      <c r="CU300" s="2"/>
      <c r="CV300" s="3"/>
      <c r="CW300" s="3"/>
      <c r="CX300" s="3"/>
      <c r="CY300" s="3"/>
      <c r="CZ300" s="2"/>
      <c r="DA300" s="2"/>
      <c r="DB300" s="2"/>
      <c r="DC300" s="2"/>
      <c r="DD300" s="2"/>
      <c r="DE300" s="2"/>
      <c r="DF300" s="2"/>
      <c r="DG300" s="2"/>
      <c r="DH300" s="2"/>
      <c r="DI300" s="2" t="inlineStr">
        <is>
          <t>e7e4a050-9fc1-4347-89e6-a3f5b9f6b487</t>
        </is>
      </c>
      <c r="DJ300" s="3" t="n">
        <v>1</v>
      </c>
      <c r="DK300" s="2"/>
      <c r="DL300" s="2" t="inlineStr">
        <is>
          <t>单线图处理工作</t>
        </is>
      </c>
      <c r="DM300" s="2" t="inlineStr">
        <is>
          <t>2-3次</t>
        </is>
      </c>
      <c r="DN300" s="3" t="n">
        <v>2</v>
      </c>
      <c r="DO300" s="3" t="n">
        <v>3</v>
      </c>
      <c r="DP300" s="2" t="inlineStr">
        <is>
          <t>A.20分钟以内</t>
        </is>
      </c>
      <c r="DQ300" s="7" t="n">
        <v>0.33</v>
      </c>
      <c r="DR300" s="7" t="n">
        <v>0.33</v>
      </c>
      <c r="DS300" s="7" t="n">
        <v>0.66</v>
      </c>
      <c r="DT300" s="7" t="n">
        <v>0.99</v>
      </c>
      <c r="DU300" s="2" t="inlineStr">
        <is>
          <t>专业技术类</t>
        </is>
      </c>
      <c r="DV300" s="2"/>
      <c r="DW300" s="2" t="inlineStr">
        <is>
          <t>专业问题协调</t>
        </is>
      </c>
      <c r="DX300" s="2" t="inlineStr">
        <is>
          <t>岗位职责</t>
        </is>
      </c>
      <c r="DY300" s="2" t="inlineStr">
        <is>
          <t>重要且紧急</t>
        </is>
      </c>
      <c r="DZ300" s="2" t="inlineStr">
        <is>
          <t>半标准化-有流程框架，需专业经验</t>
        </is>
      </c>
      <c r="EA300" s="2" t="inlineStr">
        <is>
          <t>极少（&lt;5%）</t>
        </is>
      </c>
      <c r="EB300" s="2" t="inlineStr">
        <is>
          <t>时效/强度负荷</t>
        </is>
      </c>
      <c r="EC300" s="2"/>
      <c r="ED300" s="2" t="inlineStr">
        <is>
          <t>093e33ae-0100-4515-8347-5914b97f05ea</t>
        </is>
      </c>
      <c r="EE300" s="3" t="n">
        <v>1</v>
      </c>
      <c r="EF300" s="2"/>
      <c r="EG300" s="2"/>
      <c r="EH300" s="2"/>
      <c r="EI300" s="3"/>
      <c r="EJ300" s="2"/>
      <c r="EK300" s="3"/>
      <c r="EL300" s="3"/>
      <c r="EM300" s="3"/>
      <c r="EN300" s="3"/>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row>
    <row r="301">
      <c r="A301" s="2" t="inlineStr">
        <is>
          <t>2026-05-07 11:44:34</t>
        </is>
      </c>
      <c r="B301" s="2" t="inlineStr">
        <is>
          <t>董如明</t>
        </is>
      </c>
      <c r="C301" s="2" t="inlineStr">
        <is>
          <t>南京永利重工制造有限公司</t>
        </is>
      </c>
      <c r="D301" s="2" t="inlineStr">
        <is>
          <t>男</t>
        </is>
      </c>
      <c r="E301" s="2" t="inlineStr">
        <is>
          <t>341125199608121293</t>
        </is>
      </c>
      <c r="F301" s="2" t="inlineStr">
        <is>
          <t>专业工程师</t>
        </is>
      </c>
      <c r="G301" s="2" t="inlineStr">
        <is>
          <t>2018-12</t>
        </is>
      </c>
      <c r="H301" s="2" t="inlineStr">
        <is>
          <t>安徽大学</t>
        </is>
      </c>
      <c r="I301" s="2" t="inlineStr">
        <is>
          <t>化机</t>
        </is>
      </c>
      <c r="J301" s="2" t="inlineStr">
        <is>
          <t>本科</t>
        </is>
      </c>
      <c r="K301" s="2"/>
      <c r="L301" s="6">
        <f>HYPERLINK("https://www.h3yun.com/Form/Attachments/?schemacode=D1483577de63ede327d4760b10664bd57671d7e&amp;bizObjectId=e10fa38b-b74a-4cf4-b1f6-99ad3f99809c&amp;name=F0000046","点击查看")</f>
        <v>0</v>
      </c>
      <c r="M301" s="2" t="inlineStr">
        <is>
          <t>工作日志与工作任务重复度比较高，可以合并优化</t>
        </is>
      </c>
      <c r="N301" s="2" t="inlineStr">
        <is>
          <t>每日工作;每周工作;每月工作;临时/突发工作</t>
        </is>
      </c>
      <c r="O301" s="2" t="inlineStr">
        <is>
          <t>26-30岁</t>
        </is>
      </c>
      <c r="P301" s="2" t="inlineStr">
        <is>
          <t>A.未婚</t>
        </is>
      </c>
      <c r="Q301" s="2" t="inlineStr">
        <is>
          <t>A.否</t>
        </is>
      </c>
      <c r="R301" s="2" t="inlineStr">
        <is>
          <t>A.否</t>
        </is>
      </c>
      <c r="S301" s="2" t="inlineStr">
        <is>
          <t>A.保持当前工作内容和节奏，收入相对稳定即可</t>
        </is>
      </c>
      <c r="T301" s="2" t="inlineStr">
        <is>
          <t>B.工作内容可接受，但负荷偏重</t>
        </is>
      </c>
      <c r="U301" s="2" t="inlineStr">
        <is>
          <t>D.明确职责边界</t>
        </is>
      </c>
      <c r="V301" s="2" t="inlineStr">
        <is>
          <t>C.推动过局部优化</t>
        </is>
      </c>
      <c r="W301" s="2" t="inlineStr">
        <is>
          <t>C.现有制度流程限制</t>
        </is>
      </c>
      <c r="X301" s="2" t="inlineStr">
        <is>
          <t>B.满负荷 (100%-120%)</t>
        </is>
      </c>
      <c r="Y301" s="2" t="inlineStr">
        <is>
          <t>A.岗位工作量饱和，已达人效上限;C.会议或日常协调过多，压缩产出时间;E.项目服务按照项目作息考勤制加班;E.临时差旅、突发事件、会议加班;G.接收到任务分配单完成周期内要求的加班</t>
        </is>
      </c>
      <c r="Z301" s="2" t="inlineStr">
        <is>
          <t>专题工作推进</t>
        </is>
      </c>
      <c r="AA301" s="2" t="inlineStr">
        <is>
          <t>会议安排</t>
        </is>
      </c>
      <c r="AB301" s="2" t="inlineStr">
        <is>
          <t>专题工作推进</t>
        </is>
      </c>
      <c r="AC301" s="2" t="inlineStr">
        <is>
          <t>A.高度匹配（得心应手）</t>
        </is>
      </c>
      <c r="AD301" s="2" t="inlineStr">
        <is>
          <t>暂无</t>
        </is>
      </c>
      <c r="AE301" s="2"/>
      <c r="AF301" s="2" t="inlineStr">
        <is>
          <t>流程审批类工作性质只有4个下拉选项不够</t>
        </is>
      </c>
      <c r="AG301" s="2"/>
      <c r="AH301" s="2"/>
      <c r="AI301" s="7" t="n">
        <v>7.63</v>
      </c>
      <c r="AJ301" s="7" t="n">
        <v>16.93</v>
      </c>
      <c r="AK301" s="7" t="n">
        <v>0.4</v>
      </c>
      <c r="AL301" s="7" t="n">
        <v>0.8</v>
      </c>
      <c r="AM301" s="7" t="n">
        <v>0.33</v>
      </c>
      <c r="AN301" s="7" t="n">
        <v>0.33</v>
      </c>
      <c r="AO301" s="7" t="n">
        <v>0</v>
      </c>
      <c r="AP301" s="7" t="n">
        <v>0</v>
      </c>
      <c r="AQ301" s="7" t="n">
        <v>0.27</v>
      </c>
      <c r="AR301" s="7" t="n">
        <v>0.27</v>
      </c>
      <c r="AS301" s="7" t="n">
        <v>8.63</v>
      </c>
      <c r="AT301" s="7" t="n">
        <v>18.33</v>
      </c>
      <c r="AU301" s="7" t="n">
        <v>13.48</v>
      </c>
      <c r="AV301" s="2" t="inlineStr">
        <is>
          <t>超负荷</t>
        </is>
      </c>
      <c r="AW301" s="2" t="inlineStr">
        <is>
          <t>不一致</t>
        </is>
      </c>
      <c r="AX301" s="2" t="inlineStr">
        <is>
          <t>e10fa38b-b74a-4cf4-b1f6-99ad3f99809c</t>
        </is>
      </c>
      <c r="AY301" s="2" t="inlineStr">
        <is>
          <t>南京永利重工制造有限公司    董如明</t>
        </is>
      </c>
      <c r="AZ301" s="2" t="inlineStr">
        <is>
          <t>Anonymous</t>
        </is>
      </c>
      <c r="BA301" s="2" t="inlineStr">
        <is>
          <t>Anonymous</t>
        </is>
      </c>
      <c r="BB301" s="2"/>
      <c r="BC301" s="2" t="inlineStr">
        <is>
          <t>2026-05-21 08:43:22</t>
        </is>
      </c>
      <c r="BD301" s="3" t="n">
        <v>1996</v>
      </c>
      <c r="BE301" s="3" t="n">
        <v>30</v>
      </c>
      <c r="BF301" s="2" t="inlineStr">
        <is>
          <t>A.无此需求</t>
        </is>
      </c>
      <c r="BG301" s="2" t="inlineStr">
        <is>
          <t>已生效</t>
        </is>
      </c>
      <c r="BH301" s="2" t="inlineStr">
        <is>
          <t>f4593f63-7bc9-49c1-8166-fa8c0efba396</t>
        </is>
      </c>
      <c r="BI301" s="3" t="n">
        <v>1</v>
      </c>
      <c r="BJ301" s="2"/>
      <c r="BK301" s="2"/>
      <c r="BL301" s="2"/>
      <c r="BM301" s="2"/>
      <c r="BN301" s="2"/>
      <c r="BO301" s="2"/>
      <c r="BP301" s="2"/>
      <c r="BQ301" s="2"/>
      <c r="BR301" s="2"/>
      <c r="BS301" s="2" t="inlineStr">
        <is>
          <t>12a55bd0-7a45-4274-bd91-6fc55f21c36a</t>
        </is>
      </c>
      <c r="BT301" s="3" t="n">
        <v>1</v>
      </c>
      <c r="BU301" s="2" t="inlineStr">
        <is>
          <t>协调沟通类</t>
        </is>
      </c>
      <c r="BV301" s="2" t="inlineStr">
        <is>
          <t>项目服务对外沟通</t>
        </is>
      </c>
      <c r="BW301" s="2" t="inlineStr">
        <is>
          <t>2-5次</t>
        </is>
      </c>
      <c r="BX301" s="3" t="n">
        <v>2</v>
      </c>
      <c r="BY301" s="3" t="n">
        <v>5</v>
      </c>
      <c r="BZ301" s="2" t="inlineStr">
        <is>
          <t>B.2小时以内</t>
        </is>
      </c>
      <c r="CA301" s="7" t="n">
        <v>2</v>
      </c>
      <c r="CB301" s="7" t="n">
        <v>2</v>
      </c>
      <c r="CC301" s="7" t="n">
        <v>4</v>
      </c>
      <c r="CD301" s="7" t="n">
        <v>10</v>
      </c>
      <c r="CE301" s="2" t="inlineStr">
        <is>
          <t>协调沟通类</t>
        </is>
      </c>
      <c r="CF301" s="2"/>
      <c r="CG301" s="2" t="inlineStr">
        <is>
          <t>外部联络</t>
        </is>
      </c>
      <c r="CH301" s="2" t="inlineStr">
        <is>
          <t>岗位职责</t>
        </is>
      </c>
      <c r="CI301" s="2" t="inlineStr">
        <is>
          <t>重要且紧急</t>
        </is>
      </c>
      <c r="CJ301" s="2" t="inlineStr">
        <is>
          <t>非标准化-无先例参考，需创新协调</t>
        </is>
      </c>
      <c r="CK301" s="2" t="inlineStr">
        <is>
          <t>极少（&lt;5%）</t>
        </is>
      </c>
      <c r="CL301" s="2" t="inlineStr">
        <is>
          <t>沟通/协调负荷</t>
        </is>
      </c>
      <c r="CM301" s="2"/>
      <c r="CN301" s="2" t="inlineStr">
        <is>
          <t>22c41bc7-5d4c-4788-bb75-0536d7705176</t>
        </is>
      </c>
      <c r="CO301" s="3" t="n">
        <v>1</v>
      </c>
      <c r="CP301" s="2"/>
      <c r="CQ301" s="2" t="inlineStr">
        <is>
          <t>组织召开项目服务周会</t>
        </is>
      </c>
      <c r="CR301" s="2" t="inlineStr">
        <is>
          <t>1次</t>
        </is>
      </c>
      <c r="CS301" s="3" t="n">
        <v>1</v>
      </c>
      <c r="CT301" s="3" t="n">
        <v>1</v>
      </c>
      <c r="CU301" s="2" t="inlineStr">
        <is>
          <t>C.2-4小时</t>
        </is>
      </c>
      <c r="CV301" s="7" t="n">
        <v>2</v>
      </c>
      <c r="CW301" s="7" t="n">
        <v>4</v>
      </c>
      <c r="CX301" s="7" t="n">
        <v>2</v>
      </c>
      <c r="CY301" s="7" t="n">
        <v>4</v>
      </c>
      <c r="CZ301" s="2" t="inlineStr">
        <is>
          <t>综合管理类</t>
        </is>
      </c>
      <c r="DA301" s="2"/>
      <c r="DB301" s="2" t="inlineStr">
        <is>
          <t>专题工作推进</t>
        </is>
      </c>
      <c r="DC301" s="2" t="inlineStr">
        <is>
          <t>部门计划</t>
        </is>
      </c>
      <c r="DD301" s="2" t="inlineStr">
        <is>
          <t>重要不紧急</t>
        </is>
      </c>
      <c r="DE301" s="2" t="inlineStr">
        <is>
          <t>半标准化-有流程框架，需专业经验</t>
        </is>
      </c>
      <c r="DF301" s="2" t="inlineStr">
        <is>
          <t>极少（&lt;5%）</t>
        </is>
      </c>
      <c r="DG301" s="2" t="inlineStr">
        <is>
          <t>沟通/协调负荷</t>
        </is>
      </c>
      <c r="DH301" s="2"/>
      <c r="DI301" s="2" t="inlineStr">
        <is>
          <t>f795d5cd-4c42-4988-baa4-ca474adf6ef0</t>
        </is>
      </c>
      <c r="DJ301" s="3" t="n">
        <v>1</v>
      </c>
      <c r="DK301" s="2"/>
      <c r="DL301" s="2" t="inlineStr">
        <is>
          <t>技术中心月报完善</t>
        </is>
      </c>
      <c r="DM301" s="2" t="inlineStr">
        <is>
          <t>1次</t>
        </is>
      </c>
      <c r="DN301" s="3" t="n">
        <v>1</v>
      </c>
      <c r="DO301" s="3" t="n">
        <v>1</v>
      </c>
      <c r="DP301" s="2" t="inlineStr">
        <is>
          <t>B.2小时以内</t>
        </is>
      </c>
      <c r="DQ301" s="7" t="n">
        <v>2</v>
      </c>
      <c r="DR301" s="7" t="n">
        <v>2</v>
      </c>
      <c r="DS301" s="7" t="n">
        <v>2</v>
      </c>
      <c r="DT301" s="7" t="n">
        <v>2</v>
      </c>
      <c r="DU301" s="2" t="inlineStr">
        <is>
          <t>数据报表类</t>
        </is>
      </c>
      <c r="DV301" s="2"/>
      <c r="DW301" s="2" t="inlineStr">
        <is>
          <t>月报</t>
        </is>
      </c>
      <c r="DX301" s="2" t="inlineStr">
        <is>
          <t>部门计划</t>
        </is>
      </c>
      <c r="DY301" s="2" t="inlineStr">
        <is>
          <t>重要且紧急</t>
        </is>
      </c>
      <c r="DZ301" s="2" t="inlineStr">
        <is>
          <t>半标准化-有流程框架，需专业经验</t>
        </is>
      </c>
      <c r="EA301" s="2" t="inlineStr">
        <is>
          <t>极少（&lt;5%）</t>
        </is>
      </c>
      <c r="EB301" s="2" t="inlineStr">
        <is>
          <t>脑力/复杂度负荷</t>
        </is>
      </c>
      <c r="EC301" s="2"/>
      <c r="ED301" s="2" t="inlineStr">
        <is>
          <t>72c7d51d-25b9-4955-ba15-f85db63f815c</t>
        </is>
      </c>
      <c r="EE301" s="3" t="n">
        <v>1</v>
      </c>
      <c r="EF301" s="2"/>
      <c r="EG301" s="2"/>
      <c r="EH301" s="2"/>
      <c r="EI301" s="3"/>
      <c r="EJ301" s="2"/>
      <c r="EK301" s="3"/>
      <c r="EL301" s="3"/>
      <c r="EM301" s="3"/>
      <c r="EN301" s="3"/>
      <c r="EO301" s="2"/>
      <c r="EP301" s="2"/>
      <c r="EQ301" s="2"/>
      <c r="ER301" s="2"/>
      <c r="ES301" s="2"/>
      <c r="ET301" s="2"/>
      <c r="EU301" s="2"/>
      <c r="EV301" s="2"/>
      <c r="EW301" s="2"/>
      <c r="EX301" s="2" t="inlineStr">
        <is>
          <t>19a41dfe-a9ec-48fb-b444-1ed4c73678e3</t>
        </is>
      </c>
      <c r="EY301" s="3" t="n">
        <v>1</v>
      </c>
      <c r="EZ301" s="2"/>
      <c r="FA301" s="2" t="inlineStr">
        <is>
          <t>各类对外会议参会</t>
        </is>
      </c>
      <c r="FB301" s="2" t="inlineStr">
        <is>
          <t>每月3次以上</t>
        </is>
      </c>
      <c r="FC301" s="2" t="inlineStr">
        <is>
          <t>月</t>
        </is>
      </c>
      <c r="FD301" s="3" t="n">
        <v>3</v>
      </c>
      <c r="FE301" s="3" t="n">
        <v>3</v>
      </c>
      <c r="FF301" s="2" t="inlineStr">
        <is>
          <t>B.2小时以内</t>
        </is>
      </c>
      <c r="FG301" s="7" t="n">
        <v>2</v>
      </c>
      <c r="FH301" s="7" t="n">
        <v>2</v>
      </c>
      <c r="FI301" s="7" t="n">
        <v>6</v>
      </c>
      <c r="FJ301" s="7" t="n">
        <v>6</v>
      </c>
      <c r="FK301" s="7" t="n">
        <v>0</v>
      </c>
      <c r="FL301" s="7" t="n">
        <v>0</v>
      </c>
      <c r="FM301" s="7" t="n">
        <v>0</v>
      </c>
      <c r="FN301" s="7" t="n">
        <v>0</v>
      </c>
      <c r="FO301" s="2" t="inlineStr">
        <is>
          <t>协调沟通类</t>
        </is>
      </c>
      <c r="FP301" s="2"/>
      <c r="FQ301" s="2" t="inlineStr">
        <is>
          <t>外部联络</t>
        </is>
      </c>
      <c r="FR301" s="2" t="inlineStr">
        <is>
          <t>上级指令</t>
        </is>
      </c>
      <c r="FS301" s="2" t="inlineStr">
        <is>
          <t>重要且紧急</t>
        </is>
      </c>
      <c r="FT301" s="2" t="inlineStr">
        <is>
          <t>非标准化-无先例参考，需创新协调</t>
        </is>
      </c>
      <c r="FU301" s="2" t="inlineStr">
        <is>
          <t>极少（&lt;5%）</t>
        </is>
      </c>
      <c r="FV301" s="2" t="inlineStr">
        <is>
          <t>沟通/协调负荷</t>
        </is>
      </c>
      <c r="FW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t="inlineStr">
        <is>
          <t>ff41066a-c49e-44bd-af6d-554be3a96841</t>
        </is>
      </c>
      <c r="BT302" s="3" t="n">
        <v>2</v>
      </c>
      <c r="BU302" s="2" t="inlineStr">
        <is>
          <t>综合管理类</t>
        </is>
      </c>
      <c r="BV302" s="2" t="inlineStr">
        <is>
          <t>项目服务工作安排</t>
        </is>
      </c>
      <c r="BW302" s="2" t="inlineStr">
        <is>
          <t>2-5次</t>
        </is>
      </c>
      <c r="BX302" s="3" t="n">
        <v>2</v>
      </c>
      <c r="BY302" s="3" t="n">
        <v>5</v>
      </c>
      <c r="BZ302" s="2" t="inlineStr">
        <is>
          <t>A.20分钟以内</t>
        </is>
      </c>
      <c r="CA302" s="7" t="n">
        <v>0.33</v>
      </c>
      <c r="CB302" s="7" t="n">
        <v>0.33</v>
      </c>
      <c r="CC302" s="7" t="n">
        <v>0.66</v>
      </c>
      <c r="CD302" s="7" t="n">
        <v>1.65</v>
      </c>
      <c r="CE302" s="2" t="inlineStr">
        <is>
          <t>综合管理类</t>
        </is>
      </c>
      <c r="CF302" s="2"/>
      <c r="CG302" s="2" t="inlineStr">
        <is>
          <t>专题工作推进</t>
        </is>
      </c>
      <c r="CH302" s="2" t="inlineStr">
        <is>
          <t>岗位职责</t>
        </is>
      </c>
      <c r="CI302" s="2" t="inlineStr">
        <is>
          <t>重要且紧急</t>
        </is>
      </c>
      <c r="CJ302" s="2" t="inlineStr">
        <is>
          <t>半标准化-有流程框架，需专业经验</t>
        </is>
      </c>
      <c r="CK302" s="2" t="inlineStr">
        <is>
          <t>极少（&lt;5%）</t>
        </is>
      </c>
      <c r="CL302" s="2" t="inlineStr">
        <is>
          <t>脑力/复杂度负荷</t>
        </is>
      </c>
      <c r="CM302" s="2"/>
      <c r="CN302" s="2"/>
      <c r="CO302" s="2"/>
      <c r="CP302" s="2"/>
      <c r="CQ302" s="2"/>
      <c r="CR302" s="2"/>
      <c r="CS302" s="2"/>
      <c r="CT302" s="2"/>
      <c r="CU302" s="2"/>
      <c r="CV302" s="2"/>
      <c r="CW302" s="2"/>
      <c r="CX302" s="2"/>
      <c r="CY302" s="2"/>
      <c r="CZ302" s="2"/>
      <c r="DA302" s="2"/>
      <c r="DB302" s="2"/>
      <c r="DC302" s="2"/>
      <c r="DD302" s="2"/>
      <c r="DE302" s="2"/>
      <c r="DF302" s="2"/>
      <c r="DG302" s="2"/>
      <c r="DH302" s="2"/>
      <c r="DI302" s="2" t="inlineStr">
        <is>
          <t>37671ca4-3eec-4333-9d7a-aa1c24fbaf96</t>
        </is>
      </c>
      <c r="DJ302" s="3" t="n">
        <v>2</v>
      </c>
      <c r="DK302" s="2"/>
      <c r="DL302" s="2" t="inlineStr">
        <is>
          <t>分管人员任务布置</t>
        </is>
      </c>
      <c r="DM302" s="2" t="inlineStr">
        <is>
          <t>8次以上</t>
        </is>
      </c>
      <c r="DN302" s="3" t="n">
        <v>8</v>
      </c>
      <c r="DO302" s="3" t="n">
        <v>8</v>
      </c>
      <c r="DP302" s="2" t="inlineStr">
        <is>
          <t>A.20分钟以内</t>
        </is>
      </c>
      <c r="DQ302" s="7" t="n">
        <v>0.33</v>
      </c>
      <c r="DR302" s="7" t="n">
        <v>0.33</v>
      </c>
      <c r="DS302" s="7" t="n">
        <v>2.64</v>
      </c>
      <c r="DT302" s="7" t="n">
        <v>2.64</v>
      </c>
      <c r="DU302" s="2" t="inlineStr">
        <is>
          <t>综合管理类</t>
        </is>
      </c>
      <c r="DV302" s="2"/>
      <c r="DW302" s="2" t="inlineStr">
        <is>
          <t>重点任务督办</t>
        </is>
      </c>
      <c r="DX302" s="2" t="inlineStr">
        <is>
          <t>部门计划</t>
        </is>
      </c>
      <c r="DY302" s="2" t="inlineStr">
        <is>
          <t>重要不紧急</t>
        </is>
      </c>
      <c r="DZ302" s="2" t="inlineStr">
        <is>
          <t>半标准化-有流程框架，需专业经验</t>
        </is>
      </c>
      <c r="EA302" s="2" t="inlineStr">
        <is>
          <t>极少（&lt;5%）</t>
        </is>
      </c>
      <c r="EB302" s="2" t="inlineStr">
        <is>
          <t>时效/强度负荷</t>
        </is>
      </c>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t="inlineStr">
        <is>
          <t>f24a69cf-d189-425f-a035-a5244aac1a79</t>
        </is>
      </c>
      <c r="BT303" s="3" t="n">
        <v>3</v>
      </c>
      <c r="BU303" s="2" t="inlineStr">
        <is>
          <t>专业技术类</t>
        </is>
      </c>
      <c r="BV303" s="2" t="inlineStr">
        <is>
          <t>分管人员工作指导</t>
        </is>
      </c>
      <c r="BW303" s="2" t="inlineStr">
        <is>
          <t>2-5次</t>
        </is>
      </c>
      <c r="BX303" s="3" t="n">
        <v>2</v>
      </c>
      <c r="BY303" s="3" t="n">
        <v>5</v>
      </c>
      <c r="BZ303" s="2" t="inlineStr">
        <is>
          <t>A.20分钟以内</t>
        </is>
      </c>
      <c r="CA303" s="7" t="n">
        <v>0.33</v>
      </c>
      <c r="CB303" s="7" t="n">
        <v>0.33</v>
      </c>
      <c r="CC303" s="7" t="n">
        <v>0.66</v>
      </c>
      <c r="CD303" s="7" t="n">
        <v>1.65</v>
      </c>
      <c r="CE303" s="2" t="inlineStr">
        <is>
          <t>专业技术类</t>
        </is>
      </c>
      <c r="CF303" s="2"/>
      <c r="CG303" s="2" t="inlineStr">
        <is>
          <t>专业问题协调</t>
        </is>
      </c>
      <c r="CH303" s="2" t="inlineStr">
        <is>
          <t>岗位职责</t>
        </is>
      </c>
      <c r="CI303" s="2" t="inlineStr">
        <is>
          <t>重要且紧急</t>
        </is>
      </c>
      <c r="CJ303" s="2" t="inlineStr">
        <is>
          <t>半标准化-有流程框架，需专业经验</t>
        </is>
      </c>
      <c r="CK303" s="2" t="inlineStr">
        <is>
          <t>极少（&lt;5%）</t>
        </is>
      </c>
      <c r="CL303" s="2" t="inlineStr">
        <is>
          <t>脑力/复杂度负荷</t>
        </is>
      </c>
      <c r="CM303" s="2"/>
      <c r="CN303" s="2"/>
      <c r="CO303" s="2"/>
      <c r="CP303" s="2"/>
      <c r="CQ303" s="2"/>
      <c r="CR303" s="2"/>
      <c r="CS303" s="2"/>
      <c r="CT303" s="2"/>
      <c r="CU303" s="2"/>
      <c r="CV303" s="2"/>
      <c r="CW303" s="2"/>
      <c r="CX303" s="2"/>
      <c r="CY303" s="2"/>
      <c r="CZ303" s="2"/>
      <c r="DA303" s="2"/>
      <c r="DB303" s="2"/>
      <c r="DC303" s="2"/>
      <c r="DD303" s="2"/>
      <c r="DE303" s="2"/>
      <c r="DF303" s="2"/>
      <c r="DG303" s="2"/>
      <c r="DH303" s="2"/>
      <c r="DI303" s="2" t="inlineStr">
        <is>
          <t>bcb5297d-fef7-4b4a-a8e2-d48a1377a60c</t>
        </is>
      </c>
      <c r="DJ303" s="3" t="n">
        <v>3</v>
      </c>
      <c r="DK303" s="2"/>
      <c r="DL303" s="2" t="inlineStr">
        <is>
          <t>个人任务提交</t>
        </is>
      </c>
      <c r="DM303" s="2" t="inlineStr">
        <is>
          <t>8次以上</t>
        </is>
      </c>
      <c r="DN303" s="3" t="n">
        <v>8</v>
      </c>
      <c r="DO303" s="3" t="n">
        <v>8</v>
      </c>
      <c r="DP303" s="2" t="inlineStr">
        <is>
          <t>A.20分钟以内</t>
        </is>
      </c>
      <c r="DQ303" s="7" t="n">
        <v>0.33</v>
      </c>
      <c r="DR303" s="7" t="n">
        <v>0.33</v>
      </c>
      <c r="DS303" s="7" t="n">
        <v>2.64</v>
      </c>
      <c r="DT303" s="7" t="n">
        <v>2.64</v>
      </c>
      <c r="DU303" s="2" t="inlineStr">
        <is>
          <t>综合管理类</t>
        </is>
      </c>
      <c r="DV303" s="2"/>
      <c r="DW303" s="2" t="inlineStr">
        <is>
          <t>重点任务督办</t>
        </is>
      </c>
      <c r="DX303" s="2" t="inlineStr">
        <is>
          <t>部门计划</t>
        </is>
      </c>
      <c r="DY303" s="2" t="inlineStr">
        <is>
          <t>重要不紧急</t>
        </is>
      </c>
      <c r="DZ303" s="2" t="inlineStr">
        <is>
          <t>半标准化-有流程框架，需专业经验</t>
        </is>
      </c>
      <c r="EA303" s="2" t="inlineStr">
        <is>
          <t>极少（&lt;5%）</t>
        </is>
      </c>
      <c r="EB303" s="2" t="inlineStr">
        <is>
          <t>时效/强度负荷</t>
        </is>
      </c>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t="inlineStr">
        <is>
          <t>9d5dd611-5bd8-4d94-9fff-608d11d1af4e</t>
        </is>
      </c>
      <c r="BT304" s="3" t="n">
        <v>4</v>
      </c>
      <c r="BU304" s="2" t="inlineStr">
        <is>
          <t>流程审批类</t>
        </is>
      </c>
      <c r="BV304" s="2" t="inlineStr">
        <is>
          <t>各类流程审批</t>
        </is>
      </c>
      <c r="BW304" s="2" t="inlineStr">
        <is>
          <t>6-10次</t>
        </is>
      </c>
      <c r="BX304" s="3" t="n">
        <v>6</v>
      </c>
      <c r="BY304" s="3" t="n">
        <v>10</v>
      </c>
      <c r="BZ304" s="2" t="inlineStr">
        <is>
          <t>A.20分钟以内</t>
        </is>
      </c>
      <c r="CA304" s="7" t="n">
        <v>0.33</v>
      </c>
      <c r="CB304" s="7" t="n">
        <v>0.33</v>
      </c>
      <c r="CC304" s="7" t="n">
        <v>1.98</v>
      </c>
      <c r="CD304" s="7" t="n">
        <v>3.3</v>
      </c>
      <c r="CE304" s="2" t="inlineStr">
        <is>
          <t>流程审批类</t>
        </is>
      </c>
      <c r="CF304" s="2"/>
      <c r="CG304" s="2" t="inlineStr">
        <is>
          <t>请假审批</t>
        </is>
      </c>
      <c r="CH304" s="2" t="inlineStr">
        <is>
          <t>岗位职责</t>
        </is>
      </c>
      <c r="CI304" s="2" t="inlineStr">
        <is>
          <t>重要不紧急</t>
        </is>
      </c>
      <c r="CJ304" s="2" t="inlineStr">
        <is>
          <t>高度标准化-有成熟SOP，照做即可</t>
        </is>
      </c>
      <c r="CK304" s="2" t="inlineStr">
        <is>
          <t>极少（&lt;5%）</t>
        </is>
      </c>
      <c r="CL304" s="2" t="inlineStr">
        <is>
          <t>责任/风险负荷</t>
        </is>
      </c>
      <c r="CM304" s="2" t="inlineStr">
        <is>
          <t>包含：加班、请假、发文、任务提交等审批</t>
        </is>
      </c>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t="inlineStr">
        <is>
          <t>c92ca627-9e18-44b1-bd07-adb632c1612c</t>
        </is>
      </c>
      <c r="BT305" s="3" t="n">
        <v>5</v>
      </c>
      <c r="BU305" s="2" t="inlineStr">
        <is>
          <t>数据报表类</t>
        </is>
      </c>
      <c r="BV305" s="2" t="inlineStr">
        <is>
          <t>工作日志撰写</t>
        </is>
      </c>
      <c r="BW305" s="2" t="inlineStr">
        <is>
          <t>1次</t>
        </is>
      </c>
      <c r="BX305" s="3" t="n">
        <v>1</v>
      </c>
      <c r="BY305" s="3" t="n">
        <v>1</v>
      </c>
      <c r="BZ305" s="2" t="inlineStr">
        <is>
          <t>A.20分钟以内</t>
        </is>
      </c>
      <c r="CA305" s="7" t="n">
        <v>0.33</v>
      </c>
      <c r="CB305" s="7" t="n">
        <v>0.33</v>
      </c>
      <c r="CC305" s="7" t="n">
        <v>0.33</v>
      </c>
      <c r="CD305" s="7" t="n">
        <v>0.33</v>
      </c>
      <c r="CE305" s="2" t="inlineStr">
        <is>
          <t>数据报表类</t>
        </is>
      </c>
      <c r="CF305" s="2"/>
      <c r="CG305" s="2" t="inlineStr">
        <is>
          <t>专项统计</t>
        </is>
      </c>
      <c r="CH305" s="2" t="inlineStr">
        <is>
          <t>部门计划</t>
        </is>
      </c>
      <c r="CI305" s="2" t="inlineStr">
        <is>
          <t>重要不紧急</t>
        </is>
      </c>
      <c r="CJ305" s="2" t="inlineStr">
        <is>
          <t>半标准化-有流程框架，需专业经验</t>
        </is>
      </c>
      <c r="CK305" s="2" t="inlineStr">
        <is>
          <t>极少（&lt;5%）</t>
        </is>
      </c>
      <c r="CL305" s="2" t="inlineStr">
        <is>
          <t>责任/风险负荷</t>
        </is>
      </c>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row>
    <row r="306">
      <c r="A306" s="2" t="inlineStr">
        <is>
          <t>2026-05-07 11:31:27</t>
        </is>
      </c>
      <c r="B306" s="2" t="inlineStr">
        <is>
          <t>宋志清</t>
        </is>
      </c>
      <c r="C306" s="2" t="inlineStr">
        <is>
          <t>安装一分公司</t>
        </is>
      </c>
      <c r="D306" s="2" t="inlineStr">
        <is>
          <t>男</t>
        </is>
      </c>
      <c r="E306" s="2" t="inlineStr">
        <is>
          <t>320123196610202614</t>
        </is>
      </c>
      <c r="F306" s="2" t="inlineStr">
        <is>
          <t>辅助工种初级工</t>
        </is>
      </c>
      <c r="G306" s="2" t="inlineStr">
        <is>
          <t>2017-07</t>
        </is>
      </c>
      <c r="H306" s="2"/>
      <c r="I306" s="2" t="inlineStr">
        <is>
          <t>焊接</t>
        </is>
      </c>
      <c r="J306" s="2" t="inlineStr">
        <is>
          <t>高中</t>
        </is>
      </c>
      <c r="K306" s="2"/>
      <c r="L306" s="6">
        <f>HYPERLINK("https://www.h3yun.com/Form/Attachments/?schemacode=D1483577de63ede327d4760b10664bd57671d7e&amp;bizObjectId=80c17616-5be1-4ff3-97b3-d382cd703d5f&amp;name=F0000046","点击查看")</f>
        <v>0</v>
      </c>
      <c r="M306" s="2" t="inlineStr">
        <is>
          <t>听领导安排</t>
        </is>
      </c>
      <c r="N306" s="2" t="inlineStr">
        <is>
          <t>每日工作</t>
        </is>
      </c>
      <c r="O306" s="2" t="inlineStr">
        <is>
          <t>46岁及以上</t>
        </is>
      </c>
      <c r="P306" s="2" t="inlineStr">
        <is>
          <t>C.已婚已育</t>
        </is>
      </c>
      <c r="Q306" s="2" t="inlineStr">
        <is>
          <t>A.否</t>
        </is>
      </c>
      <c r="R306" s="2" t="inlineStr">
        <is>
          <t>A.否</t>
        </is>
      </c>
      <c r="S306" s="2" t="inlineStr">
        <is>
          <t>B.希望工作更稳定、更规律，便于兼顾家庭</t>
        </is>
      </c>
      <c r="T306" s="2" t="inlineStr">
        <is>
          <t>B.工作内容可接受，但负荷偏重</t>
        </is>
      </c>
      <c r="U306" s="2" t="inlineStr">
        <is>
          <t>A.减少重复性事务</t>
        </is>
      </c>
      <c r="V306" s="2" t="inlineStr">
        <is>
          <t>A.没有</t>
        </is>
      </c>
      <c r="W306" s="2"/>
      <c r="X306" s="2" t="inlineStr">
        <is>
          <t>B.满负荷 (100%-120%)</t>
        </is>
      </c>
      <c r="Y306" s="2" t="inlineStr">
        <is>
          <t>I.无需加班</t>
        </is>
      </c>
      <c r="Z306" s="2" t="inlineStr">
        <is>
          <t>通知起草</t>
        </is>
      </c>
      <c r="AA306" s="2" t="inlineStr">
        <is>
          <t>专项检查</t>
        </is>
      </c>
      <c r="AB306" s="2" t="inlineStr">
        <is>
          <t>专业问题协调</t>
        </is>
      </c>
      <c r="AC306" s="2" t="inlineStr">
        <is>
          <t>B.基本匹配（正常履行）</t>
        </is>
      </c>
      <c r="AD306" s="2" t="inlineStr">
        <is>
          <t>听领导安排</t>
        </is>
      </c>
      <c r="AE306" s="2" t="inlineStr">
        <is>
          <t>一切正常，听领导安排</t>
        </is>
      </c>
      <c r="AF306" s="2" t="inlineStr">
        <is>
          <t>都很好</t>
        </is>
      </c>
      <c r="AG306" s="2" t="inlineStr">
        <is>
          <t>D.配偶不是公司家属</t>
        </is>
      </c>
      <c r="AH306" s="2"/>
      <c r="AI306" s="7" t="n">
        <v>20</v>
      </c>
      <c r="AJ306" s="7" t="n">
        <v>20</v>
      </c>
      <c r="AK306" s="7" t="n">
        <v>0</v>
      </c>
      <c r="AL306" s="7" t="n">
        <v>0</v>
      </c>
      <c r="AM306" s="7" t="n">
        <v>0</v>
      </c>
      <c r="AN306" s="7" t="n">
        <v>0</v>
      </c>
      <c r="AO306" s="7" t="n">
        <v>0</v>
      </c>
      <c r="AP306" s="7" t="n">
        <v>0</v>
      </c>
      <c r="AQ306" s="7" t="n">
        <v>0</v>
      </c>
      <c r="AR306" s="7" t="n">
        <v>0</v>
      </c>
      <c r="AS306" s="7" t="n">
        <v>20</v>
      </c>
      <c r="AT306" s="7" t="n">
        <v>20</v>
      </c>
      <c r="AU306" s="7" t="n">
        <v>20</v>
      </c>
      <c r="AV306" s="2" t="inlineStr">
        <is>
          <t>超负荷</t>
        </is>
      </c>
      <c r="AW306" s="2" t="inlineStr">
        <is>
          <t>不一致</t>
        </is>
      </c>
      <c r="AX306" s="2" t="inlineStr">
        <is>
          <t>80c17616-5be1-4ff3-97b3-d382cd703d5f</t>
        </is>
      </c>
      <c r="AY306" s="2" t="inlineStr">
        <is>
          <t>安装一分公司    宋志清</t>
        </is>
      </c>
      <c r="AZ306" s="2" t="inlineStr">
        <is>
          <t>Anonymous</t>
        </is>
      </c>
      <c r="BA306" s="2" t="inlineStr">
        <is>
          <t>Anonymous</t>
        </is>
      </c>
      <c r="BB306" s="2"/>
      <c r="BC306" s="2" t="inlineStr">
        <is>
          <t>2026-05-21 08:43:22</t>
        </is>
      </c>
      <c r="BD306" s="3" t="n">
        <v>1966</v>
      </c>
      <c r="BE306" s="3" t="n">
        <v>60</v>
      </c>
      <c r="BF306" s="2" t="inlineStr">
        <is>
          <t>A.无此需求</t>
        </is>
      </c>
      <c r="BG306" s="2" t="inlineStr">
        <is>
          <t>已生效</t>
        </is>
      </c>
      <c r="BH306" s="2" t="inlineStr">
        <is>
          <t>3275f381-e8b5-4f6c-8e11-7c1dec809a1e</t>
        </is>
      </c>
      <c r="BI306" s="3" t="n">
        <v>1</v>
      </c>
      <c r="BJ306" s="2"/>
      <c r="BK306" s="2"/>
      <c r="BL306" s="2"/>
      <c r="BM306" s="2"/>
      <c r="BN306" s="2"/>
      <c r="BO306" s="2"/>
      <c r="BP306" s="2"/>
      <c r="BQ306" s="2"/>
      <c r="BR306" s="2"/>
      <c r="BS306" s="2" t="inlineStr">
        <is>
          <t>172a2c2c-3d43-4282-a61c-b7fbab77c7bc</t>
        </is>
      </c>
      <c r="BT306" s="3" t="n">
        <v>1</v>
      </c>
      <c r="BU306" s="2" t="inlineStr">
        <is>
          <t>专业技术类</t>
        </is>
      </c>
      <c r="BV306" s="2" t="inlineStr">
        <is>
          <t>行车工</t>
        </is>
      </c>
      <c r="BW306" s="2" t="inlineStr">
        <is>
          <t>10次以上</t>
        </is>
      </c>
      <c r="BX306" s="3" t="n">
        <v>10</v>
      </c>
      <c r="BY306" s="3" t="n">
        <v>10</v>
      </c>
      <c r="BZ306" s="2" t="inlineStr">
        <is>
          <t>B.2小时以内</t>
        </is>
      </c>
      <c r="CA306" s="7" t="n">
        <v>2</v>
      </c>
      <c r="CB306" s="7" t="n">
        <v>2</v>
      </c>
      <c r="CC306" s="7" t="n">
        <v>20</v>
      </c>
      <c r="CD306" s="7" t="n">
        <v>20</v>
      </c>
      <c r="CE306" s="2" t="inlineStr">
        <is>
          <t>专业技术类</t>
        </is>
      </c>
      <c r="CF306" s="2"/>
      <c r="CG306" s="2" t="inlineStr">
        <is>
          <t>探索研发类工作</t>
        </is>
      </c>
      <c r="CH306" s="2" t="inlineStr">
        <is>
          <t>岗位职责</t>
        </is>
      </c>
      <c r="CI306" s="2" t="inlineStr">
        <is>
          <t>不重要不紧急</t>
        </is>
      </c>
      <c r="CJ306" s="2" t="inlineStr">
        <is>
          <t>非标准化-无先例参考，需创新协调</t>
        </is>
      </c>
      <c r="CK306" s="2" t="inlineStr">
        <is>
          <t>低频（5%-10%）</t>
        </is>
      </c>
      <c r="CL306" s="2" t="inlineStr">
        <is>
          <t>时效/强度负荷</t>
        </is>
      </c>
      <c r="CM306" s="2" t="inlineStr">
        <is>
          <t>听领导安排</t>
        </is>
      </c>
      <c r="CN306" s="2" t="inlineStr">
        <is>
          <t>1d60dfa1-4af1-460d-9ec3-81a4eeb122fa</t>
        </is>
      </c>
      <c r="CO306" s="3" t="n">
        <v>1</v>
      </c>
      <c r="CP306" s="2"/>
      <c r="CQ306" s="2"/>
      <c r="CR306" s="2"/>
      <c r="CS306" s="3"/>
      <c r="CT306" s="3"/>
      <c r="CU306" s="2"/>
      <c r="CV306" s="3"/>
      <c r="CW306" s="3"/>
      <c r="CX306" s="3"/>
      <c r="CY306" s="3"/>
      <c r="CZ306" s="2"/>
      <c r="DA306" s="2"/>
      <c r="DB306" s="2"/>
      <c r="DC306" s="2"/>
      <c r="DD306" s="2"/>
      <c r="DE306" s="2"/>
      <c r="DF306" s="2"/>
      <c r="DG306" s="2"/>
      <c r="DH306" s="2"/>
      <c r="DI306" s="2" t="inlineStr">
        <is>
          <t>4f3ff894-36a2-435d-984a-e8c382ad2a4d</t>
        </is>
      </c>
      <c r="DJ306" s="3" t="n">
        <v>1</v>
      </c>
      <c r="DK306" s="2"/>
      <c r="DL306" s="2"/>
      <c r="DM306" s="2"/>
      <c r="DN306" s="3"/>
      <c r="DO306" s="3"/>
      <c r="DP306" s="2"/>
      <c r="DQ306" s="3"/>
      <c r="DR306" s="3"/>
      <c r="DS306" s="3"/>
      <c r="DT306" s="3"/>
      <c r="DU306" s="2"/>
      <c r="DV306" s="2"/>
      <c r="DW306" s="2"/>
      <c r="DX306" s="2"/>
      <c r="DY306" s="2"/>
      <c r="DZ306" s="2"/>
      <c r="EA306" s="2"/>
      <c r="EB306" s="2"/>
      <c r="EC306" s="2"/>
      <c r="ED306" s="2" t="inlineStr">
        <is>
          <t>aae56f8a-e516-40fe-afea-29798750bc72</t>
        </is>
      </c>
      <c r="EE306" s="3" t="n">
        <v>1</v>
      </c>
      <c r="EF306" s="2"/>
      <c r="EG306" s="2"/>
      <c r="EH306" s="2"/>
      <c r="EI306" s="3"/>
      <c r="EJ306" s="2"/>
      <c r="EK306" s="3"/>
      <c r="EL306" s="3"/>
      <c r="EM306" s="3"/>
      <c r="EN306" s="3"/>
      <c r="EO306" s="2"/>
      <c r="EP306" s="2"/>
      <c r="EQ306" s="2"/>
      <c r="ER306" s="2"/>
      <c r="ES306" s="2"/>
      <c r="ET306" s="2"/>
      <c r="EU306" s="2"/>
      <c r="EV306" s="2"/>
      <c r="EW306" s="2"/>
      <c r="EX306" s="2" t="inlineStr">
        <is>
          <t>3b21cd41-ac55-4b61-94ec-2753b4743345</t>
        </is>
      </c>
      <c r="EY306" s="3" t="n">
        <v>1</v>
      </c>
      <c r="EZ306" s="2"/>
      <c r="FA306" s="2"/>
      <c r="FB306" s="2"/>
      <c r="FC306" s="2"/>
      <c r="FD306" s="3"/>
      <c r="FE306" s="3"/>
      <c r="FF306" s="2"/>
      <c r="FG306" s="3"/>
      <c r="FH306" s="3"/>
      <c r="FI306" s="7" t="n">
        <v>0</v>
      </c>
      <c r="FJ306" s="7" t="n">
        <v>0</v>
      </c>
      <c r="FK306" s="7" t="n">
        <v>0</v>
      </c>
      <c r="FL306" s="7" t="n">
        <v>0</v>
      </c>
      <c r="FM306" s="7" t="n">
        <v>0</v>
      </c>
      <c r="FN306" s="7" t="n">
        <v>0</v>
      </c>
      <c r="FO306" s="2"/>
      <c r="FP306" s="2"/>
      <c r="FQ306" s="2"/>
      <c r="FR306" s="2"/>
      <c r="FS306" s="2"/>
      <c r="FT306" s="2"/>
      <c r="FU306" s="2"/>
      <c r="FV306" s="2"/>
      <c r="FW306" s="2"/>
    </row>
    <row r="307">
      <c r="A307" s="2" t="inlineStr">
        <is>
          <t>2026-05-07 11:19:19</t>
        </is>
      </c>
      <c r="B307" s="2" t="inlineStr">
        <is>
          <t>王仁斌</t>
        </is>
      </c>
      <c r="C307" s="2" t="inlineStr">
        <is>
          <t>物资部</t>
        </is>
      </c>
      <c r="D307" s="2" t="inlineStr">
        <is>
          <t>男</t>
        </is>
      </c>
      <c r="E307" s="2" t="inlineStr">
        <is>
          <t>320112196710260417</t>
        </is>
      </c>
      <c r="F307" s="2" t="inlineStr">
        <is>
          <t>主要工种高级工</t>
        </is>
      </c>
      <c r="G307" s="2" t="inlineStr">
        <is>
          <t>1986-05</t>
        </is>
      </c>
      <c r="H307" s="2" t="inlineStr">
        <is>
          <t>李姚中学</t>
        </is>
      </c>
      <c r="I307" s="2" t="inlineStr">
        <is>
          <t>电焊工</t>
        </is>
      </c>
      <c r="J307" s="2" t="inlineStr">
        <is>
          <t>初中</t>
        </is>
      </c>
      <c r="K307" s="2"/>
      <c r="L307" s="6">
        <f>HYPERLINK("https://www.h3yun.com/Form/Attachments/?schemacode=D1483577de63ede327d4760b10664bd57671d7e&amp;bizObjectId=9d1d4d7b-26d6-44e4-9e69-fd6f3c091759&amp;name=F0000046","点击查看")</f>
        <v>0</v>
      </c>
      <c r="M307" s="2" t="inlineStr">
        <is>
          <t>催办</t>
        </is>
      </c>
      <c r="N307" s="2" t="inlineStr">
        <is>
          <t>每日工作</t>
        </is>
      </c>
      <c r="O307" s="2" t="inlineStr">
        <is>
          <t>46岁及以上</t>
        </is>
      </c>
      <c r="P307" s="2" t="inlineStr">
        <is>
          <t>C.已婚已育</t>
        </is>
      </c>
      <c r="Q307" s="2" t="inlineStr">
        <is>
          <t>C.是，主要照护老人</t>
        </is>
      </c>
      <c r="R307" s="2" t="inlineStr">
        <is>
          <t>A.否</t>
        </is>
      </c>
      <c r="S307" s="2" t="inlineStr">
        <is>
          <t>A.保持当前工作内容和节奏，收入相对稳定即可</t>
        </is>
      </c>
      <c r="T307" s="2" t="inlineStr">
        <is>
          <t>A.基本满意，希望保持</t>
        </is>
      </c>
      <c r="U307" s="2" t="inlineStr">
        <is>
          <t>A.减少重复性事务</t>
        </is>
      </c>
      <c r="V307" s="2" t="inlineStr">
        <is>
          <t>A.没有</t>
        </is>
      </c>
      <c r="W307" s="2"/>
      <c r="X307" s="2" t="inlineStr">
        <is>
          <t>C.均衡 (80%-100%)</t>
        </is>
      </c>
      <c r="Y307" s="2" t="inlineStr">
        <is>
          <t>E.项目服务按照项目作息考勤制加班</t>
        </is>
      </c>
      <c r="Z307" s="2" t="inlineStr">
        <is>
          <t>专业问题协调</t>
        </is>
      </c>
      <c r="AA307" s="2" t="inlineStr">
        <is>
          <t>专业问题协调</t>
        </is>
      </c>
      <c r="AB307" s="2" t="inlineStr">
        <is>
          <t>专业问题协调</t>
        </is>
      </c>
      <c r="AC307" s="2" t="inlineStr">
        <is>
          <t>A.高度匹配（得心应手）</t>
        </is>
      </c>
      <c r="AD307" s="2" t="inlineStr">
        <is>
          <t>无</t>
        </is>
      </c>
      <c r="AE307" s="2"/>
      <c r="AF307" s="2"/>
      <c r="AG307" s="2" t="inlineStr">
        <is>
          <t>D.配偶不是公司家属</t>
        </is>
      </c>
      <c r="AH307" s="2" t="inlineStr">
        <is>
          <t>C.无意向</t>
        </is>
      </c>
      <c r="AI307" s="7" t="n">
        <v>20</v>
      </c>
      <c r="AJ307" s="7" t="n">
        <v>40</v>
      </c>
      <c r="AK307" s="7" t="n">
        <v>0</v>
      </c>
      <c r="AL307" s="7" t="n">
        <v>0</v>
      </c>
      <c r="AM307" s="7" t="n">
        <v>0</v>
      </c>
      <c r="AN307" s="7" t="n">
        <v>0</v>
      </c>
      <c r="AO307" s="7" t="n">
        <v>0</v>
      </c>
      <c r="AP307" s="7" t="n">
        <v>0</v>
      </c>
      <c r="AQ307" s="7" t="n">
        <v>0</v>
      </c>
      <c r="AR307" s="7" t="n">
        <v>0</v>
      </c>
      <c r="AS307" s="7" t="n">
        <v>20</v>
      </c>
      <c r="AT307" s="7" t="n">
        <v>40</v>
      </c>
      <c r="AU307" s="7" t="n">
        <v>30</v>
      </c>
      <c r="AV307" s="2" t="inlineStr">
        <is>
          <t>超负荷</t>
        </is>
      </c>
      <c r="AW307" s="2" t="inlineStr">
        <is>
          <t>不一致</t>
        </is>
      </c>
      <c r="AX307" s="2" t="inlineStr">
        <is>
          <t>9d1d4d7b-26d6-44e4-9e69-fd6f3c091759</t>
        </is>
      </c>
      <c r="AY307" s="2" t="inlineStr">
        <is>
          <t>物资部    王仁斌</t>
        </is>
      </c>
      <c r="AZ307" s="2" t="inlineStr">
        <is>
          <t>Anonymous</t>
        </is>
      </c>
      <c r="BA307" s="2" t="inlineStr">
        <is>
          <t>Anonymous</t>
        </is>
      </c>
      <c r="BB307" s="2"/>
      <c r="BC307" s="2" t="inlineStr">
        <is>
          <t>2026-05-21 08:43:22</t>
        </is>
      </c>
      <c r="BD307" s="3" t="n">
        <v>1967</v>
      </c>
      <c r="BE307" s="3" t="n">
        <v>59</v>
      </c>
      <c r="BF307" s="2" t="inlineStr">
        <is>
          <t>A.无此需求</t>
        </is>
      </c>
      <c r="BG307" s="2" t="inlineStr">
        <is>
          <t>已生效</t>
        </is>
      </c>
      <c r="BH307" s="2" t="inlineStr">
        <is>
          <t>d27ea423-befd-4454-be38-0b61f630c76c</t>
        </is>
      </c>
      <c r="BI307" s="3" t="n">
        <v>1</v>
      </c>
      <c r="BJ307" s="2"/>
      <c r="BK307" s="2"/>
      <c r="BL307" s="2"/>
      <c r="BM307" s="2"/>
      <c r="BN307" s="2"/>
      <c r="BO307" s="2"/>
      <c r="BP307" s="2"/>
      <c r="BQ307" s="2"/>
      <c r="BR307" s="2"/>
      <c r="BS307" s="2" t="inlineStr">
        <is>
          <t>14080ac1-7f0d-4116-8b0c-3fefb04b2566</t>
        </is>
      </c>
      <c r="BT307" s="3" t="n">
        <v>1</v>
      </c>
      <c r="BU307" s="2" t="inlineStr">
        <is>
          <t>专业技术类</t>
        </is>
      </c>
      <c r="BV307" s="2" t="inlineStr">
        <is>
          <t>设备保管</t>
        </is>
      </c>
      <c r="BW307" s="2" t="inlineStr">
        <is>
          <t>10次以上</t>
        </is>
      </c>
      <c r="BX307" s="3" t="n">
        <v>10</v>
      </c>
      <c r="BY307" s="3" t="n">
        <v>10</v>
      </c>
      <c r="BZ307" s="2" t="inlineStr">
        <is>
          <t>C.2-4小时</t>
        </is>
      </c>
      <c r="CA307" s="7" t="n">
        <v>2</v>
      </c>
      <c r="CB307" s="7" t="n">
        <v>4</v>
      </c>
      <c r="CC307" s="7" t="n">
        <v>20</v>
      </c>
      <c r="CD307" s="7" t="n">
        <v>40</v>
      </c>
      <c r="CE307" s="2" t="inlineStr">
        <is>
          <t>专业技术类</t>
        </is>
      </c>
      <c r="CF307" s="2"/>
      <c r="CG307" s="2" t="inlineStr">
        <is>
          <t>专业问题协调</t>
        </is>
      </c>
      <c r="CH307" s="2" t="inlineStr">
        <is>
          <t>岗位职责</t>
        </is>
      </c>
      <c r="CI307" s="2" t="inlineStr">
        <is>
          <t>重要且紧急</t>
        </is>
      </c>
      <c r="CJ307" s="2" t="inlineStr">
        <is>
          <t>高度标准化-有成熟SOP，照做即可</t>
        </is>
      </c>
      <c r="CK307" s="2" t="inlineStr">
        <is>
          <t>极少（&lt;5%）</t>
        </is>
      </c>
      <c r="CL307" s="2" t="inlineStr">
        <is>
          <t>责任/风险负荷</t>
        </is>
      </c>
      <c r="CM307" s="2"/>
      <c r="CN307" s="2" t="inlineStr">
        <is>
          <t>93c5e06c-e8e7-41ab-97e6-d9791d037e84</t>
        </is>
      </c>
      <c r="CO307" s="3" t="n">
        <v>1</v>
      </c>
      <c r="CP307" s="2"/>
      <c r="CQ307" s="2"/>
      <c r="CR307" s="2"/>
      <c r="CS307" s="3"/>
      <c r="CT307" s="3"/>
      <c r="CU307" s="2"/>
      <c r="CV307" s="3"/>
      <c r="CW307" s="3"/>
      <c r="CX307" s="3"/>
      <c r="CY307" s="3"/>
      <c r="CZ307" s="2"/>
      <c r="DA307" s="2"/>
      <c r="DB307" s="2"/>
      <c r="DC307" s="2"/>
      <c r="DD307" s="2"/>
      <c r="DE307" s="2"/>
      <c r="DF307" s="2"/>
      <c r="DG307" s="2"/>
      <c r="DH307" s="2"/>
      <c r="DI307" s="2" t="inlineStr">
        <is>
          <t>ae0eb2a4-a264-425a-9149-ea69d4bd26d7</t>
        </is>
      </c>
      <c r="DJ307" s="3" t="n">
        <v>1</v>
      </c>
      <c r="DK307" s="2"/>
      <c r="DL307" s="2"/>
      <c r="DM307" s="2"/>
      <c r="DN307" s="3"/>
      <c r="DO307" s="3"/>
      <c r="DP307" s="2"/>
      <c r="DQ307" s="3"/>
      <c r="DR307" s="3"/>
      <c r="DS307" s="3"/>
      <c r="DT307" s="3"/>
      <c r="DU307" s="2"/>
      <c r="DV307" s="2"/>
      <c r="DW307" s="2"/>
      <c r="DX307" s="2"/>
      <c r="DY307" s="2"/>
      <c r="DZ307" s="2"/>
      <c r="EA307" s="2"/>
      <c r="EB307" s="2"/>
      <c r="EC307" s="2"/>
      <c r="ED307" s="2" t="inlineStr">
        <is>
          <t>77fbe31e-c9a8-4c78-a57e-fe66fa6eb45a</t>
        </is>
      </c>
      <c r="EE307" s="3" t="n">
        <v>1</v>
      </c>
      <c r="EF307" s="2"/>
      <c r="EG307" s="2"/>
      <c r="EH307" s="2"/>
      <c r="EI307" s="3"/>
      <c r="EJ307" s="2"/>
      <c r="EK307" s="3"/>
      <c r="EL307" s="3"/>
      <c r="EM307" s="3"/>
      <c r="EN307" s="3"/>
      <c r="EO307" s="2"/>
      <c r="EP307" s="2"/>
      <c r="EQ307" s="2"/>
      <c r="ER307" s="2"/>
      <c r="ES307" s="2"/>
      <c r="ET307" s="2"/>
      <c r="EU307" s="2"/>
      <c r="EV307" s="2"/>
      <c r="EW307" s="2"/>
      <c r="EX307" s="2" t="inlineStr">
        <is>
          <t>9ef328a4-3663-4239-8e5e-bcc0c7e6e16e</t>
        </is>
      </c>
      <c r="EY307" s="3" t="n">
        <v>1</v>
      </c>
      <c r="EZ307" s="2"/>
      <c r="FA307" s="2"/>
      <c r="FB307" s="2"/>
      <c r="FC307" s="2"/>
      <c r="FD307" s="3"/>
      <c r="FE307" s="3"/>
      <c r="FF307" s="2"/>
      <c r="FG307" s="3"/>
      <c r="FH307" s="3"/>
      <c r="FI307" s="7" t="n">
        <v>0</v>
      </c>
      <c r="FJ307" s="7" t="n">
        <v>0</v>
      </c>
      <c r="FK307" s="7" t="n">
        <v>0</v>
      </c>
      <c r="FL307" s="7" t="n">
        <v>0</v>
      </c>
      <c r="FM307" s="7" t="n">
        <v>0</v>
      </c>
      <c r="FN307" s="7" t="n">
        <v>0</v>
      </c>
      <c r="FO307" s="2"/>
      <c r="FP307" s="2"/>
      <c r="FQ307" s="2"/>
      <c r="FR307" s="2"/>
      <c r="FS307" s="2"/>
      <c r="FT307" s="2"/>
      <c r="FU307" s="2"/>
      <c r="FV307" s="2"/>
      <c r="FW307" s="2"/>
    </row>
    <row r="308">
      <c r="A308" s="2" t="inlineStr">
        <is>
          <t>2026-05-07 11:16:43</t>
        </is>
      </c>
      <c r="B308" s="2" t="inlineStr">
        <is>
          <t>林威</t>
        </is>
      </c>
      <c r="C308" s="2" t="inlineStr">
        <is>
          <t>技术中心</t>
        </is>
      </c>
      <c r="D308" s="2" t="inlineStr">
        <is>
          <t>男</t>
        </is>
      </c>
      <c r="E308" s="2" t="inlineStr">
        <is>
          <t>350922200302060177</t>
        </is>
      </c>
      <c r="F308" s="2" t="inlineStr">
        <is>
          <t>技术助理(三)</t>
        </is>
      </c>
      <c r="G308" s="2" t="inlineStr">
        <is>
          <t>2025-08</t>
        </is>
      </c>
      <c r="H308" s="2" t="inlineStr">
        <is>
          <t>南京林业大学</t>
        </is>
      </c>
      <c r="I308" s="2" t="inlineStr">
        <is>
          <t>自动化</t>
        </is>
      </c>
      <c r="J308" s="2" t="inlineStr">
        <is>
          <t>本科</t>
        </is>
      </c>
      <c r="K308" s="2"/>
      <c r="L308" s="6">
        <f>HYPERLINK("https://www.h3yun.com/Form/Attachments/?schemacode=D1483577de63ede327d4760b10664bd57671d7e&amp;bizObjectId=efc3100c-1464-4384-87c1-1ffa45b19c5f&amp;name=F0000046","点击查看")</f>
        <v>0</v>
      </c>
      <c r="M308" s="2" t="inlineStr">
        <is>
          <t>重复性事务、繁琐的人工复核</t>
        </is>
      </c>
      <c r="N308" s="2" t="inlineStr">
        <is>
          <t>每日工作</t>
        </is>
      </c>
      <c r="O308" s="2" t="inlineStr">
        <is>
          <t>25岁及以下</t>
        </is>
      </c>
      <c r="P308" s="2" t="inlineStr">
        <is>
          <t>A.未婚</t>
        </is>
      </c>
      <c r="Q308" s="2" t="inlineStr">
        <is>
          <t>A.否</t>
        </is>
      </c>
      <c r="R308" s="2" t="inlineStr">
        <is>
          <t>A.否</t>
        </is>
      </c>
      <c r="S308" s="2" t="inlineStr">
        <is>
          <t>E.愿意承担更高挑战和更大压力，以换取更高回报或晋升机会</t>
        </is>
      </c>
      <c r="T308" s="2" t="inlineStr">
        <is>
          <t>E.希望承担更重要、更有挑战的职责</t>
        </is>
      </c>
      <c r="U308" s="2" t="inlineStr">
        <is>
          <t>E.增加成长性和挑战性</t>
        </is>
      </c>
      <c r="V308" s="2" t="inlineStr">
        <is>
          <t>A.没有</t>
        </is>
      </c>
      <c r="W308" s="2"/>
      <c r="X308" s="2" t="inlineStr">
        <is>
          <t>C.均衡 (80%-100%)</t>
        </is>
      </c>
      <c r="Y308" s="2" t="inlineStr">
        <is>
          <t>I.无需加班</t>
        </is>
      </c>
      <c r="Z308" s="2" t="inlineStr">
        <is>
          <t>探索研发类工作</t>
        </is>
      </c>
      <c r="AA308" s="2" t="inlineStr">
        <is>
          <t>无</t>
        </is>
      </c>
      <c r="AB308" s="2" t="inlineStr">
        <is>
          <t>探索研发类工作</t>
        </is>
      </c>
      <c r="AC308" s="2" t="inlineStr">
        <is>
          <t>B.基本匹配（正常履行）</t>
        </is>
      </c>
      <c r="AD308" s="2" t="inlineStr">
        <is>
          <t>增加AI使用率</t>
        </is>
      </c>
      <c r="AE308" s="2" t="inlineStr">
        <is>
          <t>无</t>
        </is>
      </c>
      <c r="AF308" s="2" t="inlineStr">
        <is>
          <t>无</t>
        </is>
      </c>
      <c r="AG308" s="2"/>
      <c r="AH308" s="2"/>
      <c r="AI308" s="7" t="n">
        <v>8</v>
      </c>
      <c r="AJ308" s="7" t="n">
        <v>16</v>
      </c>
      <c r="AK308" s="7" t="n">
        <v>0</v>
      </c>
      <c r="AL308" s="7" t="n">
        <v>0</v>
      </c>
      <c r="AM308" s="7" t="n">
        <v>0</v>
      </c>
      <c r="AN308" s="7" t="n">
        <v>0</v>
      </c>
      <c r="AO308" s="7" t="n">
        <v>0</v>
      </c>
      <c r="AP308" s="7" t="n">
        <v>0</v>
      </c>
      <c r="AQ308" s="7" t="n">
        <v>0</v>
      </c>
      <c r="AR308" s="7" t="n">
        <v>0</v>
      </c>
      <c r="AS308" s="7" t="n">
        <v>8</v>
      </c>
      <c r="AT308" s="7" t="n">
        <v>16</v>
      </c>
      <c r="AU308" s="7" t="n">
        <v>12</v>
      </c>
      <c r="AV308" s="2" t="inlineStr">
        <is>
          <t>超负荷</t>
        </is>
      </c>
      <c r="AW308" s="2" t="inlineStr">
        <is>
          <t>不一致</t>
        </is>
      </c>
      <c r="AX308" s="2" t="inlineStr">
        <is>
          <t>efc3100c-1464-4384-87c1-1ffa45b19c5f</t>
        </is>
      </c>
      <c r="AY308" s="2" t="inlineStr">
        <is>
          <t>技术中心    林威</t>
        </is>
      </c>
      <c r="AZ308" s="2" t="inlineStr">
        <is>
          <t>Anonymous</t>
        </is>
      </c>
      <c r="BA308" s="2" t="inlineStr">
        <is>
          <t>Anonymous</t>
        </is>
      </c>
      <c r="BB308" s="2"/>
      <c r="BC308" s="2" t="inlineStr">
        <is>
          <t>2026-05-21 08:43:22</t>
        </is>
      </c>
      <c r="BD308" s="3" t="n">
        <v>2003</v>
      </c>
      <c r="BE308" s="3" t="n">
        <v>23</v>
      </c>
      <c r="BF308" s="2" t="inlineStr">
        <is>
          <t>A.无此需求</t>
        </is>
      </c>
      <c r="BG308" s="2" t="inlineStr">
        <is>
          <t>已生效</t>
        </is>
      </c>
      <c r="BH308" s="2" t="inlineStr">
        <is>
          <t>6447744e-32f3-4abf-9ebd-68ac5581018d</t>
        </is>
      </c>
      <c r="BI308" s="3" t="n">
        <v>1</v>
      </c>
      <c r="BJ308" s="2"/>
      <c r="BK308" s="2"/>
      <c r="BL308" s="2"/>
      <c r="BM308" s="2"/>
      <c r="BN308" s="2"/>
      <c r="BO308" s="2"/>
      <c r="BP308" s="2"/>
      <c r="BQ308" s="2"/>
      <c r="BR308" s="2"/>
      <c r="BS308" s="2" t="inlineStr">
        <is>
          <t>cb27c433-9d1b-461c-b0f7-16c8c0995f5c</t>
        </is>
      </c>
      <c r="BT308" s="3" t="n">
        <v>1</v>
      </c>
      <c r="BU308" s="2" t="inlineStr">
        <is>
          <t>专业技术类</t>
        </is>
      </c>
      <c r="BV308" s="2" t="inlineStr">
        <is>
          <t>马来利安隆项目材料询价数据分析</t>
        </is>
      </c>
      <c r="BW308" s="2" t="inlineStr">
        <is>
          <t>1次</t>
        </is>
      </c>
      <c r="BX308" s="3" t="n">
        <v>1</v>
      </c>
      <c r="BY308" s="3" t="n">
        <v>1</v>
      </c>
      <c r="BZ308" s="2" t="inlineStr">
        <is>
          <t>D.4-8小时</t>
        </is>
      </c>
      <c r="CA308" s="7" t="n">
        <v>4</v>
      </c>
      <c r="CB308" s="7" t="n">
        <v>8</v>
      </c>
      <c r="CC308" s="7" t="n">
        <v>4</v>
      </c>
      <c r="CD308" s="7" t="n">
        <v>8</v>
      </c>
      <c r="CE308" s="2" t="inlineStr">
        <is>
          <t>专业技术类</t>
        </is>
      </c>
      <c r="CF308" s="2"/>
      <c r="CG308" s="2" t="inlineStr">
        <is>
          <t>探索研发类工作</t>
        </is>
      </c>
      <c r="CH308" s="2" t="inlineStr">
        <is>
          <t>上级指令</t>
        </is>
      </c>
      <c r="CI308" s="2" t="inlineStr">
        <is>
          <t>重要不紧急</t>
        </is>
      </c>
      <c r="CJ308" s="2" t="inlineStr">
        <is>
          <t>半标准化-有流程框架，需专业经验</t>
        </is>
      </c>
      <c r="CK308" s="2" t="inlineStr">
        <is>
          <t>中频（10%-30%）</t>
        </is>
      </c>
      <c r="CL308" s="2" t="inlineStr">
        <is>
          <t>脑力/复杂度负荷</t>
        </is>
      </c>
      <c r="CM308" s="2"/>
      <c r="CN308" s="2" t="inlineStr">
        <is>
          <t>8df7fb17-a460-4b9e-9268-71ad78cbfd1d</t>
        </is>
      </c>
      <c r="CO308" s="3" t="n">
        <v>1</v>
      </c>
      <c r="CP308" s="2"/>
      <c r="CQ308" s="2"/>
      <c r="CR308" s="2"/>
      <c r="CS308" s="3"/>
      <c r="CT308" s="3"/>
      <c r="CU308" s="2"/>
      <c r="CV308" s="3"/>
      <c r="CW308" s="3"/>
      <c r="CX308" s="3"/>
      <c r="CY308" s="3"/>
      <c r="CZ308" s="2"/>
      <c r="DA308" s="2"/>
      <c r="DB308" s="2"/>
      <c r="DC308" s="2"/>
      <c r="DD308" s="2"/>
      <c r="DE308" s="2"/>
      <c r="DF308" s="2"/>
      <c r="DG308" s="2"/>
      <c r="DH308" s="2"/>
      <c r="DI308" s="2" t="inlineStr">
        <is>
          <t>5a57948d-2f8c-4ccc-802a-897b264fc164</t>
        </is>
      </c>
      <c r="DJ308" s="3" t="n">
        <v>1</v>
      </c>
      <c r="DK308" s="2"/>
      <c r="DL308" s="2"/>
      <c r="DM308" s="2"/>
      <c r="DN308" s="3"/>
      <c r="DO308" s="3"/>
      <c r="DP308" s="2"/>
      <c r="DQ308" s="3"/>
      <c r="DR308" s="3"/>
      <c r="DS308" s="3"/>
      <c r="DT308" s="3"/>
      <c r="DU308" s="2"/>
      <c r="DV308" s="2"/>
      <c r="DW308" s="2"/>
      <c r="DX308" s="2"/>
      <c r="DY308" s="2"/>
      <c r="DZ308" s="2"/>
      <c r="EA308" s="2"/>
      <c r="EB308" s="2"/>
      <c r="EC308" s="2"/>
      <c r="ED308" s="2" t="inlineStr">
        <is>
          <t>b2f16341-2da3-45f5-8d10-83e6fad3dd7f</t>
        </is>
      </c>
      <c r="EE308" s="3" t="n">
        <v>1</v>
      </c>
      <c r="EF308" s="2"/>
      <c r="EG308" s="2"/>
      <c r="EH308" s="2"/>
      <c r="EI308" s="3"/>
      <c r="EJ308" s="2"/>
      <c r="EK308" s="3"/>
      <c r="EL308" s="3"/>
      <c r="EM308" s="3"/>
      <c r="EN308" s="3"/>
      <c r="EO308" s="2"/>
      <c r="EP308" s="2"/>
      <c r="EQ308" s="2"/>
      <c r="ER308" s="2"/>
      <c r="ES308" s="2"/>
      <c r="ET308" s="2"/>
      <c r="EU308" s="2"/>
      <c r="EV308" s="2"/>
      <c r="EW308" s="2"/>
      <c r="EX308" s="2" t="inlineStr">
        <is>
          <t>6b71b7cf-b995-4aea-bdf7-3d8cad1c9c9e</t>
        </is>
      </c>
      <c r="EY308" s="3" t="n">
        <v>1</v>
      </c>
      <c r="EZ308" s="2"/>
      <c r="FA308" s="2"/>
      <c r="FB308" s="2"/>
      <c r="FC308" s="2"/>
      <c r="FD308" s="3"/>
      <c r="FE308" s="3"/>
      <c r="FF308" s="2"/>
      <c r="FG308" s="3"/>
      <c r="FH308" s="3"/>
      <c r="FI308" s="7" t="n">
        <v>0</v>
      </c>
      <c r="FJ308" s="7" t="n">
        <v>0</v>
      </c>
      <c r="FK308" s="7" t="n">
        <v>0</v>
      </c>
      <c r="FL308" s="7" t="n">
        <v>0</v>
      </c>
      <c r="FM308" s="7" t="n">
        <v>0</v>
      </c>
      <c r="FN308" s="7" t="n">
        <v>0</v>
      </c>
      <c r="FO308" s="2"/>
      <c r="FP308" s="2"/>
      <c r="FQ308" s="2"/>
      <c r="FR308" s="2"/>
      <c r="FS308" s="2"/>
      <c r="FT308" s="2"/>
      <c r="FU308" s="2"/>
      <c r="FV308" s="2"/>
      <c r="FW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t="inlineStr">
        <is>
          <t>af0654d5-14bc-4610-8380-a70c5b567ba4</t>
        </is>
      </c>
      <c r="BT309" s="3" t="n">
        <v>2</v>
      </c>
      <c r="BU309" s="2" t="inlineStr">
        <is>
          <t>专业技术类</t>
        </is>
      </c>
      <c r="BV309" s="2" t="inlineStr">
        <is>
          <t>PDF单线图焊口标注工具</t>
        </is>
      </c>
      <c r="BW309" s="2" t="inlineStr">
        <is>
          <t>1次</t>
        </is>
      </c>
      <c r="BX309" s="3" t="n">
        <v>1</v>
      </c>
      <c r="BY309" s="3" t="n">
        <v>1</v>
      </c>
      <c r="BZ309" s="2" t="inlineStr">
        <is>
          <t>D.4-8小时</t>
        </is>
      </c>
      <c r="CA309" s="7" t="n">
        <v>4</v>
      </c>
      <c r="CB309" s="7" t="n">
        <v>8</v>
      </c>
      <c r="CC309" s="7" t="n">
        <v>4</v>
      </c>
      <c r="CD309" s="7" t="n">
        <v>8</v>
      </c>
      <c r="CE309" s="2" t="inlineStr">
        <is>
          <t>专业技术类</t>
        </is>
      </c>
      <c r="CF309" s="2"/>
      <c r="CG309" s="2" t="inlineStr">
        <is>
          <t>探索研发类工作</t>
        </is>
      </c>
      <c r="CH309" s="2" t="inlineStr">
        <is>
          <t>上级指令</t>
        </is>
      </c>
      <c r="CI309" s="2" t="inlineStr">
        <is>
          <t>重要不紧急</t>
        </is>
      </c>
      <c r="CJ309" s="2" t="inlineStr">
        <is>
          <t>半标准化-有流程框架，需专业经验</t>
        </is>
      </c>
      <c r="CK309" s="2" t="inlineStr">
        <is>
          <t>中频（10%-30%）</t>
        </is>
      </c>
      <c r="CL309" s="2" t="inlineStr">
        <is>
          <t>脑力/复杂度负荷</t>
        </is>
      </c>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row>
    <row r="310">
      <c r="A310" s="2" t="inlineStr">
        <is>
          <t>2026-05-07 11:13:31</t>
        </is>
      </c>
      <c r="B310" s="2" t="inlineStr">
        <is>
          <t>张鑫</t>
        </is>
      </c>
      <c r="C310" s="2"/>
      <c r="D310" s="2" t="inlineStr">
        <is>
          <t>男</t>
        </is>
      </c>
      <c r="E310" s="2" t="inlineStr">
        <is>
          <t>321011200311302438</t>
        </is>
      </c>
      <c r="F310" s="2"/>
      <c r="G310" s="2"/>
      <c r="H310" s="2"/>
      <c r="I310" s="2"/>
      <c r="J310" s="2"/>
      <c r="K310" s="2"/>
      <c r="L310" s="6">
        <f>HYPERLINK("https://www.h3yun.com/Form/Attachments/?schemacode=D1483577de63ede327d4760b10664bd57671d7e&amp;bizObjectId=3bb670f4-7d5e-4fe4-89fd-2ef326b366a4&amp;name=F0000046","点击查看")</f>
        <v>0</v>
      </c>
      <c r="M310" s="2" t="inlineStr">
        <is>
          <t>当前报销事项，询问常无反馈且相互推诿，最终仍需部门经理出面解决</t>
        </is>
      </c>
      <c r="N310" s="2" t="inlineStr">
        <is>
          <t>每日工作</t>
        </is>
      </c>
      <c r="O310" s="2" t="inlineStr">
        <is>
          <t>25岁及以下</t>
        </is>
      </c>
      <c r="P310" s="2" t="inlineStr">
        <is>
          <t>A.未婚</t>
        </is>
      </c>
      <c r="Q310" s="2" t="inlineStr">
        <is>
          <t>A.否</t>
        </is>
      </c>
      <c r="R310" s="2" t="inlineStr">
        <is>
          <t>A.否</t>
        </is>
      </c>
      <c r="S310" s="2" t="inlineStr">
        <is>
          <t>A.保持当前工作内容和节奏，收入相对稳定即可</t>
        </is>
      </c>
      <c r="T310" s="2" t="inlineStr">
        <is>
          <t>A.基本满意，希望保持</t>
        </is>
      </c>
      <c r="U310" s="2" t="inlineStr">
        <is>
          <t>A.减少重复性事务</t>
        </is>
      </c>
      <c r="V310" s="2" t="inlineStr">
        <is>
          <t>A.没有</t>
        </is>
      </c>
      <c r="W310" s="2"/>
      <c r="X310" s="2" t="inlineStr">
        <is>
          <t>C.均衡 (80%-100%)</t>
        </is>
      </c>
      <c r="Y310" s="2" t="inlineStr">
        <is>
          <t>G.接收到任务分配单完成周期内要求的加班</t>
        </is>
      </c>
      <c r="Z310" s="2" t="inlineStr">
        <is>
          <t>专题工作推进</t>
        </is>
      </c>
      <c r="AA310" s="2" t="inlineStr">
        <is>
          <t>合同流程</t>
        </is>
      </c>
      <c r="AB310" s="2" t="inlineStr">
        <is>
          <t>专业问题协调</t>
        </is>
      </c>
      <c r="AC310" s="2" t="inlineStr">
        <is>
          <t>B.基本匹配（正常履行）</t>
        </is>
      </c>
      <c r="AD310" s="2" t="inlineStr">
        <is>
          <t>建立统一的标准化提交流程与责任清单，明确各环节唯一对接人及模板，避免跨部门重复询问与经理兜底。</t>
        </is>
      </c>
      <c r="AE310" s="2"/>
      <c r="AF310" s="2"/>
      <c r="AG310" s="2"/>
      <c r="AH310" s="2"/>
      <c r="AI310" s="7" t="n">
        <v>2</v>
      </c>
      <c r="AJ310" s="7" t="n">
        <v>2</v>
      </c>
      <c r="AK310" s="7" t="n">
        <v>0</v>
      </c>
      <c r="AL310" s="7" t="n">
        <v>0</v>
      </c>
      <c r="AM310" s="7" t="n">
        <v>0</v>
      </c>
      <c r="AN310" s="7" t="n">
        <v>0</v>
      </c>
      <c r="AO310" s="7" t="n">
        <v>0</v>
      </c>
      <c r="AP310" s="7" t="n">
        <v>0</v>
      </c>
      <c r="AQ310" s="7" t="n">
        <v>0</v>
      </c>
      <c r="AR310" s="7" t="n">
        <v>0</v>
      </c>
      <c r="AS310" s="7" t="n">
        <v>2</v>
      </c>
      <c r="AT310" s="7" t="n">
        <v>2</v>
      </c>
      <c r="AU310" s="7" t="n">
        <v>2</v>
      </c>
      <c r="AV310" s="2" t="inlineStr">
        <is>
          <t>非饱和</t>
        </is>
      </c>
      <c r="AW310" s="2" t="inlineStr">
        <is>
          <t>不一致</t>
        </is>
      </c>
      <c r="AX310" s="2" t="inlineStr">
        <is>
          <t>3bb670f4-7d5e-4fe4-89fd-2ef326b366a4</t>
        </is>
      </c>
      <c r="AY310" s="2" t="inlineStr">
        <is>
          <t>张鑫</t>
        </is>
      </c>
      <c r="AZ310" s="2" t="inlineStr">
        <is>
          <t>Anonymous</t>
        </is>
      </c>
      <c r="BA310" s="2" t="inlineStr">
        <is>
          <t>Anonymous</t>
        </is>
      </c>
      <c r="BB310" s="2"/>
      <c r="BC310" s="2" t="inlineStr">
        <is>
          <t>2026-05-21 08:43:22</t>
        </is>
      </c>
      <c r="BD310" s="3" t="n">
        <v>2003</v>
      </c>
      <c r="BE310" s="3" t="n">
        <v>23</v>
      </c>
      <c r="BF310" s="2" t="inlineStr">
        <is>
          <t>A.无此需求</t>
        </is>
      </c>
      <c r="BG310" s="2" t="inlineStr">
        <is>
          <t>已生效</t>
        </is>
      </c>
      <c r="BH310" s="2" t="inlineStr">
        <is>
          <t>c5d9284b-5458-4985-a455-a7507a231904</t>
        </is>
      </c>
      <c r="BI310" s="3" t="n">
        <v>1</v>
      </c>
      <c r="BJ310" s="2"/>
      <c r="BK310" s="2"/>
      <c r="BL310" s="2"/>
      <c r="BM310" s="2"/>
      <c r="BN310" s="2"/>
      <c r="BO310" s="2"/>
      <c r="BP310" s="2"/>
      <c r="BQ310" s="2"/>
      <c r="BR310" s="2"/>
      <c r="BS310" s="2" t="inlineStr">
        <is>
          <t>3d642830-b764-4cc7-b4e2-9b7eafb18af3</t>
        </is>
      </c>
      <c r="BT310" s="3" t="n">
        <v>1</v>
      </c>
      <c r="BU310" s="2" t="inlineStr">
        <is>
          <t>专业技术类</t>
        </is>
      </c>
      <c r="BV310" s="2" t="inlineStr">
        <is>
          <t>兰花项目排产</t>
        </is>
      </c>
      <c r="BW310" s="2" t="inlineStr">
        <is>
          <t>1次</t>
        </is>
      </c>
      <c r="BX310" s="3" t="n">
        <v>1</v>
      </c>
      <c r="BY310" s="3" t="n">
        <v>1</v>
      </c>
      <c r="BZ310" s="2" t="inlineStr">
        <is>
          <t>B.2小时以内</t>
        </is>
      </c>
      <c r="CA310" s="7" t="n">
        <v>2</v>
      </c>
      <c r="CB310" s="7" t="n">
        <v>2</v>
      </c>
      <c r="CC310" s="7" t="n">
        <v>2</v>
      </c>
      <c r="CD310" s="7" t="n">
        <v>2</v>
      </c>
      <c r="CE310" s="2" t="inlineStr">
        <is>
          <t>专业技术类</t>
        </is>
      </c>
      <c r="CF310" s="2"/>
      <c r="CG310" s="2" t="inlineStr">
        <is>
          <t>专业问题协调</t>
        </is>
      </c>
      <c r="CH310" s="2" t="inlineStr">
        <is>
          <t>岗位职责</t>
        </is>
      </c>
      <c r="CI310" s="2" t="inlineStr">
        <is>
          <t>重要且紧急</t>
        </is>
      </c>
      <c r="CJ310" s="2" t="inlineStr">
        <is>
          <t>半标准化-有流程框架，需专业经验</t>
        </is>
      </c>
      <c r="CK310" s="2" t="inlineStr">
        <is>
          <t>极少（&lt;5%）</t>
        </is>
      </c>
      <c r="CL310" s="2" t="inlineStr">
        <is>
          <t>沟通/协调负荷</t>
        </is>
      </c>
      <c r="CM310" s="2"/>
      <c r="CN310" s="2" t="inlineStr">
        <is>
          <t>e67297e2-5236-4824-9d86-165d265d3630</t>
        </is>
      </c>
      <c r="CO310" s="3" t="n">
        <v>1</v>
      </c>
      <c r="CP310" s="2"/>
      <c r="CQ310" s="2"/>
      <c r="CR310" s="2"/>
      <c r="CS310" s="3"/>
      <c r="CT310" s="3"/>
      <c r="CU310" s="2"/>
      <c r="CV310" s="3"/>
      <c r="CW310" s="3"/>
      <c r="CX310" s="3"/>
      <c r="CY310" s="3"/>
      <c r="CZ310" s="2"/>
      <c r="DA310" s="2"/>
      <c r="DB310" s="2"/>
      <c r="DC310" s="2"/>
      <c r="DD310" s="2"/>
      <c r="DE310" s="2"/>
      <c r="DF310" s="2"/>
      <c r="DG310" s="2"/>
      <c r="DH310" s="2"/>
      <c r="DI310" s="2" t="inlineStr">
        <is>
          <t>8a1cdc48-f7af-4baa-884b-22b35d34620b</t>
        </is>
      </c>
      <c r="DJ310" s="3" t="n">
        <v>1</v>
      </c>
      <c r="DK310" s="2"/>
      <c r="DL310" s="2"/>
      <c r="DM310" s="2"/>
      <c r="DN310" s="3"/>
      <c r="DO310" s="3"/>
      <c r="DP310" s="2"/>
      <c r="DQ310" s="3"/>
      <c r="DR310" s="3"/>
      <c r="DS310" s="3"/>
      <c r="DT310" s="3"/>
      <c r="DU310" s="2"/>
      <c r="DV310" s="2"/>
      <c r="DW310" s="2"/>
      <c r="DX310" s="2"/>
      <c r="DY310" s="2"/>
      <c r="DZ310" s="2"/>
      <c r="EA310" s="2"/>
      <c r="EB310" s="2"/>
      <c r="EC310" s="2"/>
      <c r="ED310" s="2" t="inlineStr">
        <is>
          <t>8dd97ee8-37db-4acd-ba2d-43cd4ab1007b</t>
        </is>
      </c>
      <c r="EE310" s="3" t="n">
        <v>1</v>
      </c>
      <c r="EF310" s="2"/>
      <c r="EG310" s="2"/>
      <c r="EH310" s="2"/>
      <c r="EI310" s="3"/>
      <c r="EJ310" s="2"/>
      <c r="EK310" s="3"/>
      <c r="EL310" s="3"/>
      <c r="EM310" s="3"/>
      <c r="EN310" s="3"/>
      <c r="EO310" s="2"/>
      <c r="EP310" s="2"/>
      <c r="EQ310" s="2"/>
      <c r="ER310" s="2"/>
      <c r="ES310" s="2"/>
      <c r="ET310" s="2"/>
      <c r="EU310" s="2"/>
      <c r="EV310" s="2"/>
      <c r="EW310" s="2"/>
      <c r="EX310" s="2" t="inlineStr">
        <is>
          <t>f5bd66cc-e923-4ac3-8b5c-3ae3dcb784f9</t>
        </is>
      </c>
      <c r="EY310" s="3" t="n">
        <v>1</v>
      </c>
      <c r="EZ310" s="2"/>
      <c r="FA310" s="2"/>
      <c r="FB310" s="2"/>
      <c r="FC310" s="2"/>
      <c r="FD310" s="3"/>
      <c r="FE310" s="3"/>
      <c r="FF310" s="2"/>
      <c r="FG310" s="3"/>
      <c r="FH310" s="3"/>
      <c r="FI310" s="7" t="n">
        <v>0</v>
      </c>
      <c r="FJ310" s="7" t="n">
        <v>0</v>
      </c>
      <c r="FK310" s="7" t="n">
        <v>0</v>
      </c>
      <c r="FL310" s="7" t="n">
        <v>0</v>
      </c>
      <c r="FM310" s="7" t="n">
        <v>0</v>
      </c>
      <c r="FN310" s="7" t="n">
        <v>0</v>
      </c>
      <c r="FO310" s="2"/>
      <c r="FP310" s="2"/>
      <c r="FQ310" s="2"/>
      <c r="FR310" s="2"/>
      <c r="FS310" s="2"/>
      <c r="FT310" s="2"/>
      <c r="FU310" s="2"/>
      <c r="FV310" s="2"/>
      <c r="FW310" s="2"/>
    </row>
    <row r="311">
      <c r="A311" s="2" t="inlineStr">
        <is>
          <t>2026-05-07 11:12:56</t>
        </is>
      </c>
      <c r="B311" s="2" t="inlineStr">
        <is>
          <t>陈淑怡</t>
        </is>
      </c>
      <c r="C311" s="2" t="inlineStr">
        <is>
          <t>信息化中心</t>
        </is>
      </c>
      <c r="D311" s="2" t="inlineStr">
        <is>
          <t>女</t>
        </is>
      </c>
      <c r="E311" s="2" t="inlineStr">
        <is>
          <t>320111199210203624</t>
        </is>
      </c>
      <c r="F311" s="2" t="inlineStr">
        <is>
          <t>业务主办A</t>
        </is>
      </c>
      <c r="G311" s="2" t="inlineStr">
        <is>
          <t>2018-07</t>
        </is>
      </c>
      <c r="H311" s="2" t="inlineStr">
        <is>
          <t>南京工业大学</t>
        </is>
      </c>
      <c r="I311" s="2" t="inlineStr">
        <is>
          <t>电子信息工程</t>
        </is>
      </c>
      <c r="J311" s="2" t="inlineStr">
        <is>
          <t>本科</t>
        </is>
      </c>
      <c r="K311" s="2"/>
      <c r="L311" s="6">
        <f>HYPERLINK("https://www.h3yun.com/Form/Attachments/?schemacode=D1483577de63ede327d4760b10664bd57671d7e&amp;bizObjectId=2a432669-2dd8-4ac7-a358-41008eb4f748&amp;name=F0000046","点击查看")</f>
        <v>0</v>
      </c>
      <c r="M311" s="2" t="inlineStr">
        <is>
          <t>无</t>
        </is>
      </c>
      <c r="N311" s="2" t="inlineStr">
        <is>
          <t>每月工作;临时/突发工作</t>
        </is>
      </c>
      <c r="O311" s="2" t="inlineStr">
        <is>
          <t>31-35岁</t>
        </is>
      </c>
      <c r="P311" s="2" t="inlineStr">
        <is>
          <t>C.已婚已育</t>
        </is>
      </c>
      <c r="Q311" s="2" t="inlineStr">
        <is>
          <t>B.是，主要照护子女</t>
        </is>
      </c>
      <c r="R311" s="2" t="inlineStr">
        <is>
          <t>B.有1名</t>
        </is>
      </c>
      <c r="S311" s="2" t="inlineStr">
        <is>
          <t>B.希望工作更稳定、更规律，便于兼顾家庭</t>
        </is>
      </c>
      <c r="T311" s="2" t="inlineStr">
        <is>
          <t>C.工作较稳定，但发展空间不足</t>
        </is>
      </c>
      <c r="U311" s="2" t="inlineStr">
        <is>
          <t>B.减少无效流转和返工</t>
        </is>
      </c>
      <c r="V311" s="2" t="inlineStr">
        <is>
          <t>A.没有</t>
        </is>
      </c>
      <c r="W311" s="2"/>
      <c r="X311" s="2" t="inlineStr">
        <is>
          <t>C.均衡 (80%-100%)</t>
        </is>
      </c>
      <c r="Y311" s="2" t="inlineStr">
        <is>
          <t>D.业务不熟练或新系统上线，操作耗时</t>
        </is>
      </c>
      <c r="Z311" s="2" t="inlineStr">
        <is>
          <t>无</t>
        </is>
      </c>
      <c r="AA311" s="2" t="inlineStr">
        <is>
          <t>无</t>
        </is>
      </c>
      <c r="AB311" s="2" t="inlineStr">
        <is>
          <t>无</t>
        </is>
      </c>
      <c r="AC311" s="2" t="inlineStr">
        <is>
          <t>B.基本匹配（正常履行）</t>
        </is>
      </c>
      <c r="AD311" s="2" t="inlineStr">
        <is>
          <t>无</t>
        </is>
      </c>
      <c r="AE311" s="2"/>
      <c r="AF311" s="2"/>
      <c r="AG311" s="2" t="inlineStr">
        <is>
          <t>D.配偶不是公司家属</t>
        </is>
      </c>
      <c r="AH311" s="2" t="inlineStr">
        <is>
          <t>D.无意向，但是可能会动态变化</t>
        </is>
      </c>
      <c r="AI311" s="7" t="n">
        <v>0</v>
      </c>
      <c r="AJ311" s="7" t="n">
        <v>0</v>
      </c>
      <c r="AK311" s="7" t="n">
        <v>0</v>
      </c>
      <c r="AL311" s="7" t="n">
        <v>0</v>
      </c>
      <c r="AM311" s="7" t="n">
        <v>0.18</v>
      </c>
      <c r="AN311" s="7" t="n">
        <v>0.18</v>
      </c>
      <c r="AO311" s="7" t="n">
        <v>0</v>
      </c>
      <c r="AP311" s="7" t="n">
        <v>0</v>
      </c>
      <c r="AQ311" s="7" t="n">
        <v>0.14</v>
      </c>
      <c r="AR311" s="7" t="n">
        <v>0.3</v>
      </c>
      <c r="AS311" s="7" t="n">
        <v>0.32</v>
      </c>
      <c r="AT311" s="7" t="n">
        <v>0.48</v>
      </c>
      <c r="AU311" s="7" t="n">
        <v>0.4</v>
      </c>
      <c r="AV311" s="2" t="inlineStr">
        <is>
          <t>非饱和</t>
        </is>
      </c>
      <c r="AW311" s="2" t="inlineStr">
        <is>
          <t>不一致</t>
        </is>
      </c>
      <c r="AX311" s="2" t="inlineStr">
        <is>
          <t>2a432669-2dd8-4ac7-a358-41008eb4f748</t>
        </is>
      </c>
      <c r="AY311" s="2" t="inlineStr">
        <is>
          <t>信息化中心    陈淑怡</t>
        </is>
      </c>
      <c r="AZ311" s="2" t="inlineStr">
        <is>
          <t>Anonymous</t>
        </is>
      </c>
      <c r="BA311" s="2" t="inlineStr">
        <is>
          <t>Anonymous</t>
        </is>
      </c>
      <c r="BB311" s="2"/>
      <c r="BC311" s="2" t="inlineStr">
        <is>
          <t>2026-05-21 08:43:22</t>
        </is>
      </c>
      <c r="BD311" s="3" t="n">
        <v>1992</v>
      </c>
      <c r="BE311" s="3" t="n">
        <v>34</v>
      </c>
      <c r="BF311" s="2" t="inlineStr">
        <is>
          <t>A.无此需求</t>
        </is>
      </c>
      <c r="BG311" s="2" t="inlineStr">
        <is>
          <t>已生效</t>
        </is>
      </c>
      <c r="BH311" s="2" t="inlineStr">
        <is>
          <t>f0dd05e7-a24d-4406-91cc-a64ffc97a1ef</t>
        </is>
      </c>
      <c r="BI311" s="3" t="n">
        <v>1</v>
      </c>
      <c r="BJ311" s="2"/>
      <c r="BK311" s="2"/>
      <c r="BL311" s="2"/>
      <c r="BM311" s="2"/>
      <c r="BN311" s="2"/>
      <c r="BO311" s="2"/>
      <c r="BP311" s="2"/>
      <c r="BQ311" s="2"/>
      <c r="BR311" s="2"/>
      <c r="BS311" s="2" t="inlineStr">
        <is>
          <t>c03867ab-6aa0-4a27-8a3f-fc6ac06bb88a</t>
        </is>
      </c>
      <c r="BT311" s="3" t="n">
        <v>1</v>
      </c>
      <c r="BU311" s="2"/>
      <c r="BV311" s="2"/>
      <c r="BW311" s="2"/>
      <c r="BX311" s="3"/>
      <c r="BY311" s="3"/>
      <c r="BZ311" s="2"/>
      <c r="CA311" s="3"/>
      <c r="CB311" s="3"/>
      <c r="CC311" s="3"/>
      <c r="CD311" s="3"/>
      <c r="CE311" s="2"/>
      <c r="CF311" s="2"/>
      <c r="CG311" s="2"/>
      <c r="CH311" s="2"/>
      <c r="CI311" s="2"/>
      <c r="CJ311" s="2"/>
      <c r="CK311" s="2"/>
      <c r="CL311" s="2"/>
      <c r="CM311" s="2"/>
      <c r="CN311" s="2" t="inlineStr">
        <is>
          <t>8cd20095-5cfe-4bff-ba8b-00607e31b642</t>
        </is>
      </c>
      <c r="CO311" s="3" t="n">
        <v>1</v>
      </c>
      <c r="CP311" s="2"/>
      <c r="CQ311" s="2"/>
      <c r="CR311" s="2"/>
      <c r="CS311" s="3"/>
      <c r="CT311" s="3"/>
      <c r="CU311" s="2"/>
      <c r="CV311" s="3"/>
      <c r="CW311" s="3"/>
      <c r="CX311" s="3"/>
      <c r="CY311" s="3"/>
      <c r="CZ311" s="2"/>
      <c r="DA311" s="2"/>
      <c r="DB311" s="2"/>
      <c r="DC311" s="2"/>
      <c r="DD311" s="2"/>
      <c r="DE311" s="2"/>
      <c r="DF311" s="2"/>
      <c r="DG311" s="2"/>
      <c r="DH311" s="2"/>
      <c r="DI311" s="2" t="inlineStr">
        <is>
          <t>721342d4-0df3-4c8b-85f6-8897b535cd96</t>
        </is>
      </c>
      <c r="DJ311" s="3" t="n">
        <v>1</v>
      </c>
      <c r="DK311" s="2"/>
      <c r="DL311" s="2" t="inlineStr">
        <is>
          <t>部门考勤月报</t>
        </is>
      </c>
      <c r="DM311" s="2" t="inlineStr">
        <is>
          <t>1次</t>
        </is>
      </c>
      <c r="DN311" s="3" t="n">
        <v>1</v>
      </c>
      <c r="DO311" s="3" t="n">
        <v>1</v>
      </c>
      <c r="DP311" s="2" t="inlineStr">
        <is>
          <t>B.2小时以内</t>
        </is>
      </c>
      <c r="DQ311" s="7" t="n">
        <v>2</v>
      </c>
      <c r="DR311" s="7" t="n">
        <v>2</v>
      </c>
      <c r="DS311" s="7" t="n">
        <v>2</v>
      </c>
      <c r="DT311" s="7" t="n">
        <v>2</v>
      </c>
      <c r="DU311" s="2" t="inlineStr">
        <is>
          <t>数据报表类</t>
        </is>
      </c>
      <c r="DV311" s="2"/>
      <c r="DW311" s="2" t="inlineStr">
        <is>
          <t>月报</t>
        </is>
      </c>
      <c r="DX311" s="2" t="inlineStr">
        <is>
          <t>跨部门协同</t>
        </is>
      </c>
      <c r="DY311" s="2" t="inlineStr">
        <is>
          <t>重要不紧急</t>
        </is>
      </c>
      <c r="DZ311" s="2" t="inlineStr">
        <is>
          <t>高度标准化-有成熟SOP，照做即可</t>
        </is>
      </c>
      <c r="EA311" s="2" t="inlineStr">
        <is>
          <t>极少（&lt;5%）</t>
        </is>
      </c>
      <c r="EB311" s="2" t="inlineStr">
        <is>
          <t>沟通/协调负荷</t>
        </is>
      </c>
      <c r="EC311" s="2"/>
      <c r="ED311" s="2" t="inlineStr">
        <is>
          <t>c45c9db2-877d-4e51-959b-904c42d309f9</t>
        </is>
      </c>
      <c r="EE311" s="3" t="n">
        <v>1</v>
      </c>
      <c r="EF311" s="2"/>
      <c r="EG311" s="2"/>
      <c r="EH311" s="2"/>
      <c r="EI311" s="3"/>
      <c r="EJ311" s="2"/>
      <c r="EK311" s="3"/>
      <c r="EL311" s="3"/>
      <c r="EM311" s="3"/>
      <c r="EN311" s="3"/>
      <c r="EO311" s="2"/>
      <c r="EP311" s="2"/>
      <c r="EQ311" s="2"/>
      <c r="ER311" s="2"/>
      <c r="ES311" s="2"/>
      <c r="ET311" s="2"/>
      <c r="EU311" s="2"/>
      <c r="EV311" s="2"/>
      <c r="EW311" s="2"/>
      <c r="EX311" s="2" t="inlineStr">
        <is>
          <t>1febd8b3-5a07-4a1f-bb80-d58713432a9f</t>
        </is>
      </c>
      <c r="EY311" s="3" t="n">
        <v>1</v>
      </c>
      <c r="EZ311" s="2"/>
      <c r="FA311" s="2" t="inlineStr">
        <is>
          <t>采购电脑</t>
        </is>
      </c>
      <c r="FB311" s="2" t="inlineStr">
        <is>
          <t>也有可能不发生</t>
        </is>
      </c>
      <c r="FC311" s="2" t="inlineStr">
        <is>
          <t>无</t>
        </is>
      </c>
      <c r="FD311" s="3" t="n">
        <v>0</v>
      </c>
      <c r="FE311" s="3" t="n">
        <v>0</v>
      </c>
      <c r="FF311" s="2" t="inlineStr">
        <is>
          <t>E.8小时以上</t>
        </is>
      </c>
      <c r="FG311" s="7" t="n">
        <v>8</v>
      </c>
      <c r="FH311" s="7" t="n">
        <v>8</v>
      </c>
      <c r="FI311" s="7" t="n">
        <v>0</v>
      </c>
      <c r="FJ311" s="7" t="n">
        <v>0</v>
      </c>
      <c r="FK311" s="7" t="n">
        <v>0</v>
      </c>
      <c r="FL311" s="7" t="n">
        <v>0</v>
      </c>
      <c r="FM311" s="7" t="n">
        <v>0</v>
      </c>
      <c r="FN311" s="7" t="n">
        <v>0</v>
      </c>
      <c r="FO311" s="2" t="inlineStr">
        <is>
          <t>其他</t>
        </is>
      </c>
      <c r="FP311" s="2"/>
      <c r="FQ311" s="2"/>
      <c r="FR311" s="2" t="inlineStr">
        <is>
          <t>岗位职责</t>
        </is>
      </c>
      <c r="FS311" s="2" t="inlineStr">
        <is>
          <t>重要且紧急</t>
        </is>
      </c>
      <c r="FT311" s="2" t="inlineStr">
        <is>
          <t>高度标准化-有成熟SOP，照做即可</t>
        </is>
      </c>
      <c r="FU311" s="2" t="inlineStr">
        <is>
          <t>极少（&lt;5%）</t>
        </is>
      </c>
      <c r="FV311" s="2" t="inlineStr">
        <is>
          <t>沟通/协调负荷</t>
        </is>
      </c>
      <c r="FW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t="inlineStr">
        <is>
          <t>ea2a82a4-d65f-4c75-90f6-f01e61fc9e69</t>
        </is>
      </c>
      <c r="DJ312" s="3" t="n">
        <v>2</v>
      </c>
      <c r="DK312" s="2"/>
      <c r="DL312" s="2" t="inlineStr">
        <is>
          <t>食堂消费月报</t>
        </is>
      </c>
      <c r="DM312" s="2" t="inlineStr">
        <is>
          <t>1次</t>
        </is>
      </c>
      <c r="DN312" s="3" t="n">
        <v>1</v>
      </c>
      <c r="DO312" s="3" t="n">
        <v>1</v>
      </c>
      <c r="DP312" s="2" t="inlineStr">
        <is>
          <t>B.2小时以内</t>
        </is>
      </c>
      <c r="DQ312" s="7" t="n">
        <v>2</v>
      </c>
      <c r="DR312" s="7" t="n">
        <v>2</v>
      </c>
      <c r="DS312" s="7" t="n">
        <v>2</v>
      </c>
      <c r="DT312" s="7" t="n">
        <v>2</v>
      </c>
      <c r="DU312" s="2" t="inlineStr">
        <is>
          <t>数据报表类</t>
        </is>
      </c>
      <c r="DV312" s="2"/>
      <c r="DW312" s="2" t="inlineStr">
        <is>
          <t>月报</t>
        </is>
      </c>
      <c r="DX312" s="2" t="inlineStr">
        <is>
          <t>跨部门协同</t>
        </is>
      </c>
      <c r="DY312" s="2" t="inlineStr">
        <is>
          <t>重要不紧急</t>
        </is>
      </c>
      <c r="DZ312" s="2" t="inlineStr">
        <is>
          <t>高度标准化-有成熟SOP，照做即可</t>
        </is>
      </c>
      <c r="EA312" s="2" t="inlineStr">
        <is>
          <t>极少（&lt;5%）</t>
        </is>
      </c>
      <c r="EB312" s="2" t="inlineStr">
        <is>
          <t>脑力/复杂度负荷</t>
        </is>
      </c>
      <c r="EC312" s="2"/>
      <c r="ED312" s="2"/>
      <c r="EE312" s="2"/>
      <c r="EF312" s="2"/>
      <c r="EG312" s="2"/>
      <c r="EH312" s="2"/>
      <c r="EI312" s="2"/>
      <c r="EJ312" s="2"/>
      <c r="EK312" s="2"/>
      <c r="EL312" s="2"/>
      <c r="EM312" s="2"/>
      <c r="EN312" s="2"/>
      <c r="EO312" s="2"/>
      <c r="EP312" s="2"/>
      <c r="EQ312" s="2"/>
      <c r="ER312" s="2"/>
      <c r="ES312" s="2"/>
      <c r="ET312" s="2"/>
      <c r="EU312" s="2"/>
      <c r="EV312" s="2"/>
      <c r="EW312" s="2"/>
      <c r="EX312" s="2" t="inlineStr">
        <is>
          <t>39c72b75-2ac3-4a75-846e-b786e98e5b30</t>
        </is>
      </c>
      <c r="EY312" s="3" t="n">
        <v>2</v>
      </c>
      <c r="EZ312" s="2"/>
      <c r="FA312" s="2" t="inlineStr">
        <is>
          <t>配合两化融合审核</t>
        </is>
      </c>
      <c r="FB312" s="2" t="inlineStr">
        <is>
          <t>每年1-2次</t>
        </is>
      </c>
      <c r="FC312" s="2" t="inlineStr">
        <is>
          <t>年</t>
        </is>
      </c>
      <c r="FD312" s="3" t="n">
        <v>1</v>
      </c>
      <c r="FE312" s="3" t="n">
        <v>2</v>
      </c>
      <c r="FF312" s="2" t="inlineStr">
        <is>
          <t>E.8小时以上</t>
        </is>
      </c>
      <c r="FG312" s="7" t="n">
        <v>8</v>
      </c>
      <c r="FH312" s="7" t="n">
        <v>8</v>
      </c>
      <c r="FI312" s="7" t="n">
        <v>0</v>
      </c>
      <c r="FJ312" s="7" t="n">
        <v>0</v>
      </c>
      <c r="FK312" s="7" t="n">
        <v>0</v>
      </c>
      <c r="FL312" s="7" t="n">
        <v>0</v>
      </c>
      <c r="FM312" s="7" t="n">
        <v>8</v>
      </c>
      <c r="FN312" s="7" t="n">
        <v>16</v>
      </c>
      <c r="FO312" s="2" t="inlineStr">
        <is>
          <t>协调沟通类</t>
        </is>
      </c>
      <c r="FP312" s="2"/>
      <c r="FQ312" s="2" t="inlineStr">
        <is>
          <t>跨部门对接</t>
        </is>
      </c>
      <c r="FR312" s="2" t="inlineStr">
        <is>
          <t>上级指令</t>
        </is>
      </c>
      <c r="FS312" s="2" t="inlineStr">
        <is>
          <t>重要且紧急</t>
        </is>
      </c>
      <c r="FT312" s="2" t="inlineStr">
        <is>
          <t>高度标准化-有成熟SOP，照做即可</t>
        </is>
      </c>
      <c r="FU312" s="2" t="inlineStr">
        <is>
          <t>极少（&lt;5%）</t>
        </is>
      </c>
      <c r="FV312" s="2" t="inlineStr">
        <is>
          <t>沟通/协调负荷</t>
        </is>
      </c>
      <c r="FW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t="inlineStr">
        <is>
          <t>f75f823b-fdec-4ef1-9e33-6fe6ceaded4f</t>
        </is>
      </c>
      <c r="EY313" s="3" t="n">
        <v>3</v>
      </c>
      <c r="EZ313" s="2"/>
      <c r="FA313" s="2" t="inlineStr">
        <is>
          <t>人脸车牌信息增加调整</t>
        </is>
      </c>
      <c r="FB313" s="2" t="inlineStr">
        <is>
          <t>每月3次以上</t>
        </is>
      </c>
      <c r="FC313" s="2" t="inlineStr">
        <is>
          <t>月</t>
        </is>
      </c>
      <c r="FD313" s="3" t="n">
        <v>3</v>
      </c>
      <c r="FE313" s="3" t="n">
        <v>3</v>
      </c>
      <c r="FF313" s="2" t="inlineStr">
        <is>
          <t>A.20分钟以内</t>
        </is>
      </c>
      <c r="FG313" s="7" t="n">
        <v>0.33</v>
      </c>
      <c r="FH313" s="7" t="n">
        <v>0.33</v>
      </c>
      <c r="FI313" s="7" t="n">
        <v>0.99</v>
      </c>
      <c r="FJ313" s="7" t="n">
        <v>0.99</v>
      </c>
      <c r="FK313" s="7" t="n">
        <v>0</v>
      </c>
      <c r="FL313" s="7" t="n">
        <v>0</v>
      </c>
      <c r="FM313" s="7" t="n">
        <v>0</v>
      </c>
      <c r="FN313" s="7" t="n">
        <v>0</v>
      </c>
      <c r="FO313" s="2" t="inlineStr">
        <is>
          <t>行政事务类</t>
        </is>
      </c>
      <c r="FP313" s="2"/>
      <c r="FQ313" s="2" t="inlineStr">
        <is>
          <t>日常台账</t>
        </is>
      </c>
      <c r="FR313" s="2" t="inlineStr">
        <is>
          <t>跨部门协同</t>
        </is>
      </c>
      <c r="FS313" s="2" t="inlineStr">
        <is>
          <t>重要不紧急</t>
        </is>
      </c>
      <c r="FT313" s="2" t="inlineStr">
        <is>
          <t>高度标准化-有成熟SOP，照做即可</t>
        </is>
      </c>
      <c r="FU313" s="2" t="inlineStr">
        <is>
          <t>极少（&lt;5%）</t>
        </is>
      </c>
      <c r="FV313" s="2" t="inlineStr">
        <is>
          <t>时效/强度负荷</t>
        </is>
      </c>
      <c r="FW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t="inlineStr">
        <is>
          <t>4c3c16d1-35c3-4a9a-b9b0-0bf2d47f6002</t>
        </is>
      </c>
      <c r="EY314" s="3" t="n">
        <v>4</v>
      </c>
      <c r="EZ314" s="2"/>
      <c r="FA314" s="2" t="inlineStr">
        <is>
          <t>简单ERP运维</t>
        </is>
      </c>
      <c r="FB314" s="2" t="inlineStr">
        <is>
          <t>每月1-2次</t>
        </is>
      </c>
      <c r="FC314" s="2" t="inlineStr">
        <is>
          <t>月</t>
        </is>
      </c>
      <c r="FD314" s="3" t="n">
        <v>1</v>
      </c>
      <c r="FE314" s="3" t="n">
        <v>2</v>
      </c>
      <c r="FF314" s="2" t="inlineStr">
        <is>
          <t>A.20分钟以内</t>
        </is>
      </c>
      <c r="FG314" s="7" t="n">
        <v>0.33</v>
      </c>
      <c r="FH314" s="7" t="n">
        <v>0.33</v>
      </c>
      <c r="FI314" s="7" t="n">
        <v>0.33</v>
      </c>
      <c r="FJ314" s="7" t="n">
        <v>0.66</v>
      </c>
      <c r="FK314" s="7" t="n">
        <v>0</v>
      </c>
      <c r="FL314" s="7" t="n">
        <v>0</v>
      </c>
      <c r="FM314" s="7" t="n">
        <v>0</v>
      </c>
      <c r="FN314" s="7" t="n">
        <v>0</v>
      </c>
      <c r="FO314" s="2" t="inlineStr">
        <is>
          <t>其他</t>
        </is>
      </c>
      <c r="FP314" s="2"/>
      <c r="FQ314" s="2"/>
      <c r="FR314" s="2" t="inlineStr">
        <is>
          <t>跨部门协同</t>
        </is>
      </c>
      <c r="FS314" s="2" t="inlineStr">
        <is>
          <t>重要且紧急</t>
        </is>
      </c>
      <c r="FT314" s="2" t="inlineStr">
        <is>
          <t>高度标准化-有成熟SOP，照做即可</t>
        </is>
      </c>
      <c r="FU314" s="2" t="inlineStr">
        <is>
          <t>极少（&lt;5%）</t>
        </is>
      </c>
      <c r="FV314" s="2" t="inlineStr">
        <is>
          <t>时效/强度负荷</t>
        </is>
      </c>
      <c r="FW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t="inlineStr">
        <is>
          <t>f00c1bd3-ff55-4e99-a718-183bae9b5165</t>
        </is>
      </c>
      <c r="EY315" s="3" t="n">
        <v>5</v>
      </c>
      <c r="EZ315" s="2"/>
      <c r="FA315" s="2" t="inlineStr">
        <is>
          <t>人员离职调动调整</t>
        </is>
      </c>
      <c r="FB315" s="2" t="inlineStr">
        <is>
          <t>每月1-2次</t>
        </is>
      </c>
      <c r="FC315" s="2" t="inlineStr">
        <is>
          <t>月</t>
        </is>
      </c>
      <c r="FD315" s="3" t="n">
        <v>1</v>
      </c>
      <c r="FE315" s="3" t="n">
        <v>2</v>
      </c>
      <c r="FF315" s="2" t="inlineStr">
        <is>
          <t>A.20分钟以内</t>
        </is>
      </c>
      <c r="FG315" s="7" t="n">
        <v>0.33</v>
      </c>
      <c r="FH315" s="7" t="n">
        <v>0.33</v>
      </c>
      <c r="FI315" s="7" t="n">
        <v>0.33</v>
      </c>
      <c r="FJ315" s="7" t="n">
        <v>0.66</v>
      </c>
      <c r="FK315" s="7" t="n">
        <v>0</v>
      </c>
      <c r="FL315" s="7" t="n">
        <v>0</v>
      </c>
      <c r="FM315" s="7" t="n">
        <v>0</v>
      </c>
      <c r="FN315" s="7" t="n">
        <v>0</v>
      </c>
      <c r="FO315" s="2" t="inlineStr">
        <is>
          <t>行政事务类</t>
        </is>
      </c>
      <c r="FP315" s="2"/>
      <c r="FQ315" s="2" t="inlineStr">
        <is>
          <t>日常台账</t>
        </is>
      </c>
      <c r="FR315" s="2" t="inlineStr">
        <is>
          <t>岗位职责</t>
        </is>
      </c>
      <c r="FS315" s="2" t="inlineStr">
        <is>
          <t>重要且紧急</t>
        </is>
      </c>
      <c r="FT315" s="2" t="inlineStr">
        <is>
          <t>高度标准化-有成熟SOP，照做即可</t>
        </is>
      </c>
      <c r="FU315" s="2" t="inlineStr">
        <is>
          <t>极少（&lt;5%）</t>
        </is>
      </c>
      <c r="FV315" s="2" t="inlineStr">
        <is>
          <t>时效/强度负荷</t>
        </is>
      </c>
      <c r="FW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t="inlineStr">
        <is>
          <t>29471b23-f87a-4a56-ba51-ae13782229a6</t>
        </is>
      </c>
      <c r="EY316" s="3" t="n">
        <v>6</v>
      </c>
      <c r="EZ316" s="2"/>
      <c r="FA316" s="2" t="inlineStr">
        <is>
          <t>部门合同流程</t>
        </is>
      </c>
      <c r="FB316" s="2" t="inlineStr">
        <is>
          <t>每季1-2次</t>
        </is>
      </c>
      <c r="FC316" s="2" t="inlineStr">
        <is>
          <t>季</t>
        </is>
      </c>
      <c r="FD316" s="3" t="n">
        <v>1</v>
      </c>
      <c r="FE316" s="3" t="n">
        <v>2</v>
      </c>
      <c r="FF316" s="2" t="inlineStr">
        <is>
          <t>C.2-4小时</t>
        </is>
      </c>
      <c r="FG316" s="7" t="n">
        <v>2</v>
      </c>
      <c r="FH316" s="7" t="n">
        <v>4</v>
      </c>
      <c r="FI316" s="7" t="n">
        <v>0</v>
      </c>
      <c r="FJ316" s="7" t="n">
        <v>0</v>
      </c>
      <c r="FK316" s="7" t="n">
        <v>2</v>
      </c>
      <c r="FL316" s="7" t="n">
        <v>8</v>
      </c>
      <c r="FM316" s="7" t="n">
        <v>0</v>
      </c>
      <c r="FN316" s="7" t="n">
        <v>0</v>
      </c>
      <c r="FO316" s="2" t="inlineStr">
        <is>
          <t>流程审批类</t>
        </is>
      </c>
      <c r="FP316" s="2"/>
      <c r="FQ316" s="2" t="inlineStr">
        <is>
          <t>合同流程</t>
        </is>
      </c>
      <c r="FR316" s="2" t="inlineStr">
        <is>
          <t>部门计划</t>
        </is>
      </c>
      <c r="FS316" s="2" t="inlineStr">
        <is>
          <t>紧急不重要</t>
        </is>
      </c>
      <c r="FT316" s="2" t="inlineStr">
        <is>
          <t>高度标准化-有成熟SOP，照做即可</t>
        </is>
      </c>
      <c r="FU316" s="2" t="inlineStr">
        <is>
          <t>极少（&lt;5%）</t>
        </is>
      </c>
      <c r="FV316" s="2" t="inlineStr">
        <is>
          <t>时效/强度负荷</t>
        </is>
      </c>
      <c r="FW316" s="2"/>
    </row>
    <row r="317">
      <c r="A317" s="2" t="inlineStr">
        <is>
          <t>2026-05-07 11:09:19</t>
        </is>
      </c>
      <c r="B317" s="2" t="inlineStr">
        <is>
          <t>王顺清</t>
        </is>
      </c>
      <c r="C317" s="2" t="inlineStr">
        <is>
          <t>信息化中心</t>
        </is>
      </c>
      <c r="D317" s="2" t="inlineStr">
        <is>
          <t>男</t>
        </is>
      </c>
      <c r="E317" s="2" t="inlineStr">
        <is>
          <t>320123198806075230</t>
        </is>
      </c>
      <c r="F317" s="2" t="inlineStr">
        <is>
          <t>主管工程师</t>
        </is>
      </c>
      <c r="G317" s="2" t="inlineStr">
        <is>
          <t>2021-06</t>
        </is>
      </c>
      <c r="H317" s="2" t="inlineStr">
        <is>
          <t>南京邮电大学</t>
        </is>
      </c>
      <c r="I317" s="2" t="inlineStr">
        <is>
          <t>其他</t>
        </is>
      </c>
      <c r="J317" s="2" t="inlineStr">
        <is>
          <t>本科</t>
        </is>
      </c>
      <c r="K317" s="2"/>
      <c r="L317" s="6">
        <f>HYPERLINK("https://www.h3yun.com/Form/Attachments/?schemacode=D1483577de63ede327d4760b10664bd57671d7e&amp;bizObjectId=aea04081-fae3-4763-b199-1a4819eaf1a7&amp;name=F0000046","点击查看")</f>
        <v>0</v>
      </c>
      <c r="M317" s="2" t="inlineStr">
        <is>
          <t>1.合并重复的跨部门对接需求，统一由对接人汇总反馈
2.简化跨部门对接工作，在业务部门明确需求后再组织对接
3.系统内涉及到权限、流程等调整工作应尽量提前规划，考虑全面，减少边做边改、改完就出错的情况</t>
        </is>
      </c>
      <c r="N317" s="2" t="inlineStr">
        <is>
          <t>每日工作;每周工作;每月工作;每季度/阶段性工作;临时/突发工作</t>
        </is>
      </c>
      <c r="O317" s="2" t="inlineStr">
        <is>
          <t>30-40岁</t>
        </is>
      </c>
      <c r="P317" s="2" t="inlineStr">
        <is>
          <t>C.已婚已育</t>
        </is>
      </c>
      <c r="Q317" s="2" t="inlineStr">
        <is>
          <t>B.是，主要照护子女</t>
        </is>
      </c>
      <c r="R317" s="2" t="inlineStr">
        <is>
          <t>B.有1名</t>
        </is>
      </c>
      <c r="S317" s="2" t="inlineStr">
        <is>
          <t>D.希望承担更有挑战性的工作，并争取更大发展空间</t>
        </is>
      </c>
      <c r="T317" s="2" t="inlineStr">
        <is>
          <t>B.工作内容可接受，但负荷偏重</t>
        </is>
      </c>
      <c r="U317" s="2" t="inlineStr">
        <is>
          <t>D.明确职责边界</t>
        </is>
      </c>
      <c r="V317" s="2" t="inlineStr">
        <is>
          <t>B.提出过建议，但未推动</t>
        </is>
      </c>
      <c r="W317" s="2" t="inlineStr">
        <is>
          <t>F.责任边界不清</t>
        </is>
      </c>
      <c r="X317" s="2" t="inlineStr">
        <is>
          <t>B.满负荷 (100%-120%)</t>
        </is>
      </c>
      <c r="Y317" s="2" t="inlineStr">
        <is>
          <t>A.岗位工作量饱和，已达人效上限;B.上游资料不全，导致反复沟通/返工;C.会议或日常协调过多，压缩产出时间;G.接收到任务分配单完成周期内要求的加班</t>
        </is>
      </c>
      <c r="Z317" s="2" t="inlineStr">
        <is>
          <t>跨部门对接</t>
        </is>
      </c>
      <c r="AA317" s="2" t="inlineStr">
        <is>
          <t>跨部门对接</t>
        </is>
      </c>
      <c r="AB317" s="2" t="inlineStr">
        <is>
          <t>探索研发类工作</t>
        </is>
      </c>
      <c r="AC317" s="2" t="inlineStr">
        <is>
          <t>A.高度匹配（得心应手）</t>
        </is>
      </c>
      <c r="AD317" s="2" t="inlineStr">
        <is>
          <t>1.建立跨部门对接的标准化流程文档，减少沟通返工
2.为研发探索类工作设置专属时间，减少临时/其他任务干扰
3.搭建内部资料共享平台，解决资料不全导致的反复沟通问题</t>
        </is>
      </c>
      <c r="AE317" s="2"/>
      <c r="AF317" s="2"/>
      <c r="AG317" s="2" t="inlineStr">
        <is>
          <t>D.配偶不是公司家属</t>
        </is>
      </c>
      <c r="AH317" s="2" t="inlineStr">
        <is>
          <t>C.无意向</t>
        </is>
      </c>
      <c r="AI317" s="7" t="n">
        <v>0.33</v>
      </c>
      <c r="AJ317" s="7" t="n">
        <v>0.33</v>
      </c>
      <c r="AK317" s="7" t="n">
        <v>0.4</v>
      </c>
      <c r="AL317" s="7" t="n">
        <v>0.8</v>
      </c>
      <c r="AM317" s="7" t="n">
        <v>0.09</v>
      </c>
      <c r="AN317" s="7" t="n">
        <v>0.09</v>
      </c>
      <c r="AO317" s="7" t="n">
        <v>0.02</v>
      </c>
      <c r="AP317" s="7" t="n">
        <v>0.02</v>
      </c>
      <c r="AQ317" s="7" t="n">
        <v>0</v>
      </c>
      <c r="AR317" s="7" t="n">
        <v>0</v>
      </c>
      <c r="AS317" s="7" t="n">
        <v>0.84</v>
      </c>
      <c r="AT317" s="7" t="n">
        <v>1.24</v>
      </c>
      <c r="AU317" s="7" t="n">
        <v>1.04</v>
      </c>
      <c r="AV317" s="2" t="inlineStr">
        <is>
          <t>非饱和</t>
        </is>
      </c>
      <c r="AW317" s="2" t="inlineStr">
        <is>
          <t>不一致</t>
        </is>
      </c>
      <c r="AX317" s="2" t="inlineStr">
        <is>
          <t>aea04081-fae3-4763-b199-1a4819eaf1a7</t>
        </is>
      </c>
      <c r="AY317" s="2" t="inlineStr">
        <is>
          <t>信息化中心    王顺清</t>
        </is>
      </c>
      <c r="AZ317" s="2" t="inlineStr">
        <is>
          <t>Anonymous</t>
        </is>
      </c>
      <c r="BA317" s="2" t="inlineStr">
        <is>
          <t>Anonymous</t>
        </is>
      </c>
      <c r="BB317" s="2"/>
      <c r="BC317" s="2" t="inlineStr">
        <is>
          <t>2026-05-21 08:43:22</t>
        </is>
      </c>
      <c r="BD317" s="3" t="n">
        <v>1988</v>
      </c>
      <c r="BE317" s="3" t="n">
        <v>38</v>
      </c>
      <c r="BF317" s="2" t="inlineStr">
        <is>
          <t>A.无此需求</t>
        </is>
      </c>
      <c r="BG317" s="2" t="inlineStr">
        <is>
          <t>已生效</t>
        </is>
      </c>
      <c r="BH317" s="2" t="inlineStr">
        <is>
          <t>cbdad2e2-687c-4f10-9ebc-22588891d719</t>
        </is>
      </c>
      <c r="BI317" s="3" t="n">
        <v>1</v>
      </c>
      <c r="BJ317" s="2"/>
      <c r="BK317" s="2"/>
      <c r="BL317" s="2"/>
      <c r="BM317" s="2"/>
      <c r="BN317" s="2"/>
      <c r="BO317" s="2"/>
      <c r="BP317" s="2"/>
      <c r="BQ317" s="2"/>
      <c r="BR317" s="2"/>
      <c r="BS317" s="2" t="inlineStr">
        <is>
          <t>436cd9b5-6e03-43f2-b3fa-850e3a552d74</t>
        </is>
      </c>
      <c r="BT317" s="3" t="n">
        <v>1</v>
      </c>
      <c r="BU317" s="2" t="inlineStr">
        <is>
          <t>数据报表类</t>
        </is>
      </c>
      <c r="BV317" s="2" t="inlineStr">
        <is>
          <t>工作日报</t>
        </is>
      </c>
      <c r="BW317" s="2" t="inlineStr">
        <is>
          <t>1次</t>
        </is>
      </c>
      <c r="BX317" s="3" t="n">
        <v>1</v>
      </c>
      <c r="BY317" s="3" t="n">
        <v>1</v>
      </c>
      <c r="BZ317" s="2" t="inlineStr">
        <is>
          <t>A.20分钟以内</t>
        </is>
      </c>
      <c r="CA317" s="7" t="n">
        <v>0.33</v>
      </c>
      <c r="CB317" s="7" t="n">
        <v>0.33</v>
      </c>
      <c r="CC317" s="7" t="n">
        <v>0.33</v>
      </c>
      <c r="CD317" s="7" t="n">
        <v>0.33</v>
      </c>
      <c r="CE317" s="2" t="inlineStr">
        <is>
          <t>数据报表类</t>
        </is>
      </c>
      <c r="CF317" s="2"/>
      <c r="CG317" s="2" t="inlineStr">
        <is>
          <t>专项统计</t>
        </is>
      </c>
      <c r="CH317" s="2" t="inlineStr">
        <is>
          <t>岗位职责</t>
        </is>
      </c>
      <c r="CI317" s="2" t="inlineStr">
        <is>
          <t>重要不紧急</t>
        </is>
      </c>
      <c r="CJ317" s="2" t="inlineStr">
        <is>
          <t>高度标准化-有成熟SOP，照做即可</t>
        </is>
      </c>
      <c r="CK317" s="2" t="inlineStr">
        <is>
          <t>极少（&lt;5%）</t>
        </is>
      </c>
      <c r="CL317" s="2" t="inlineStr">
        <is>
          <t>时效/强度负荷</t>
        </is>
      </c>
      <c r="CM317" s="2"/>
      <c r="CN317" s="2" t="inlineStr">
        <is>
          <t>02fc5234-d93c-4297-9d9c-f39d8cd67c89</t>
        </is>
      </c>
      <c r="CO317" s="3" t="n">
        <v>1</v>
      </c>
      <c r="CP317" s="2"/>
      <c r="CQ317" s="2" t="inlineStr">
        <is>
          <t>工作周报</t>
        </is>
      </c>
      <c r="CR317" s="2" t="inlineStr">
        <is>
          <t>1次</t>
        </is>
      </c>
      <c r="CS317" s="3" t="n">
        <v>1</v>
      </c>
      <c r="CT317" s="3" t="n">
        <v>1</v>
      </c>
      <c r="CU317" s="2" t="inlineStr">
        <is>
          <t>C.2-4小时</t>
        </is>
      </c>
      <c r="CV317" s="7" t="n">
        <v>2</v>
      </c>
      <c r="CW317" s="7" t="n">
        <v>4</v>
      </c>
      <c r="CX317" s="7" t="n">
        <v>2</v>
      </c>
      <c r="CY317" s="7" t="n">
        <v>4</v>
      </c>
      <c r="CZ317" s="2" t="inlineStr">
        <is>
          <t>协调沟通类</t>
        </is>
      </c>
      <c r="DA317" s="2"/>
      <c r="DB317" s="2" t="inlineStr">
        <is>
          <t>跨部门对接</t>
        </is>
      </c>
      <c r="DC317" s="2" t="inlineStr">
        <is>
          <t>上级指令</t>
        </is>
      </c>
      <c r="DD317" s="2" t="inlineStr">
        <is>
          <t>重要且紧急</t>
        </is>
      </c>
      <c r="DE317" s="2" t="inlineStr">
        <is>
          <t>高度标准化-有成熟SOP，照做即可</t>
        </is>
      </c>
      <c r="DF317" s="2" t="inlineStr">
        <is>
          <t>极少（&lt;5%）</t>
        </is>
      </c>
      <c r="DG317" s="2" t="inlineStr">
        <is>
          <t>沟通/协调负荷</t>
        </is>
      </c>
      <c r="DH317" s="2"/>
      <c r="DI317" s="2" t="inlineStr">
        <is>
          <t>f1f2b4a5-9e56-47d6-bf4c-226be07caa22</t>
        </is>
      </c>
      <c r="DJ317" s="3" t="n">
        <v>1</v>
      </c>
      <c r="DK317" s="2"/>
      <c r="DL317" s="2" t="inlineStr">
        <is>
          <t>月报相关内容汇总</t>
        </is>
      </c>
      <c r="DM317" s="2" t="inlineStr">
        <is>
          <t>1次</t>
        </is>
      </c>
      <c r="DN317" s="3" t="n">
        <v>1</v>
      </c>
      <c r="DO317" s="3" t="n">
        <v>1</v>
      </c>
      <c r="DP317" s="2" t="inlineStr">
        <is>
          <t>B.2小时以内</t>
        </is>
      </c>
      <c r="DQ317" s="7" t="n">
        <v>2</v>
      </c>
      <c r="DR317" s="7" t="n">
        <v>2</v>
      </c>
      <c r="DS317" s="7" t="n">
        <v>2</v>
      </c>
      <c r="DT317" s="7" t="n">
        <v>2</v>
      </c>
      <c r="DU317" s="2" t="inlineStr">
        <is>
          <t>数据报表类</t>
        </is>
      </c>
      <c r="DV317" s="2"/>
      <c r="DW317" s="2" t="inlineStr">
        <is>
          <t>月报</t>
        </is>
      </c>
      <c r="DX317" s="2" t="inlineStr">
        <is>
          <t>上级指令</t>
        </is>
      </c>
      <c r="DY317" s="2" t="inlineStr">
        <is>
          <t>重要且紧急</t>
        </is>
      </c>
      <c r="DZ317" s="2" t="inlineStr">
        <is>
          <t>高度标准化-有成熟SOP，照做即可</t>
        </is>
      </c>
      <c r="EA317" s="2" t="inlineStr">
        <is>
          <t>极少（&lt;5%）</t>
        </is>
      </c>
      <c r="EB317" s="2" t="inlineStr">
        <is>
          <t>时效/强度负荷</t>
        </is>
      </c>
      <c r="EC317" s="2" t="inlineStr">
        <is>
          <t>协助整理月报相关内容，主要是和自己相关的部分</t>
        </is>
      </c>
      <c r="ED317" s="2" t="inlineStr">
        <is>
          <t>3e387a85-d266-47c2-8ecf-98287e1d0052</t>
        </is>
      </c>
      <c r="EE317" s="3" t="n">
        <v>1</v>
      </c>
      <c r="EF317" s="2"/>
      <c r="EG317" s="2" t="inlineStr">
        <is>
          <t>ERP专项工作阶段性汇报</t>
        </is>
      </c>
      <c r="EH317" s="2" t="inlineStr">
        <is>
          <t>1次</t>
        </is>
      </c>
      <c r="EI317" s="3" t="n">
        <v>1</v>
      </c>
      <c r="EJ317" s="2" t="inlineStr">
        <is>
          <t>B.2小时以内</t>
        </is>
      </c>
      <c r="EK317" s="7" t="n">
        <v>2</v>
      </c>
      <c r="EL317" s="7" t="n">
        <v>2</v>
      </c>
      <c r="EM317" s="7" t="n">
        <v>2</v>
      </c>
      <c r="EN317" s="7" t="n">
        <v>2</v>
      </c>
      <c r="EO317" s="2" t="inlineStr">
        <is>
          <t>专业技术类</t>
        </is>
      </c>
      <c r="EP317" s="2"/>
      <c r="EQ317" s="2" t="inlineStr">
        <is>
          <t>专业问题协调</t>
        </is>
      </c>
      <c r="ER317" s="2" t="inlineStr">
        <is>
          <t>自主发起</t>
        </is>
      </c>
      <c r="ES317" s="2" t="inlineStr">
        <is>
          <t>重要且紧急</t>
        </is>
      </c>
      <c r="ET317" s="2" t="inlineStr">
        <is>
          <t>半标准化-有流程框架，需专业经验</t>
        </is>
      </c>
      <c r="EU317" s="2" t="inlineStr">
        <is>
          <t>低频（5%-10%）</t>
        </is>
      </c>
      <c r="EV317" s="2" t="inlineStr">
        <is>
          <t>脑力/复杂度负荷</t>
        </is>
      </c>
      <c r="EW317" s="2"/>
      <c r="EX317" s="2" t="inlineStr">
        <is>
          <t>24903da9-edd8-497f-9cf8-ec9a87798d25</t>
        </is>
      </c>
      <c r="EY317" s="3" t="n">
        <v>1</v>
      </c>
      <c r="EZ317" s="2"/>
      <c r="FA317" s="2" t="inlineStr">
        <is>
          <t>临时性工作</t>
        </is>
      </c>
      <c r="FB317" s="2" t="inlineStr">
        <is>
          <t>也有可能不发生</t>
        </is>
      </c>
      <c r="FC317" s="2" t="inlineStr">
        <is>
          <t>无</t>
        </is>
      </c>
      <c r="FD317" s="3" t="n">
        <v>0</v>
      </c>
      <c r="FE317" s="3" t="n">
        <v>0</v>
      </c>
      <c r="FF317" s="2" t="inlineStr">
        <is>
          <t>C.2-4小时</t>
        </is>
      </c>
      <c r="FG317" s="7" t="n">
        <v>2</v>
      </c>
      <c r="FH317" s="7" t="n">
        <v>4</v>
      </c>
      <c r="FI317" s="7" t="n">
        <v>0</v>
      </c>
      <c r="FJ317" s="7" t="n">
        <v>0</v>
      </c>
      <c r="FK317" s="7" t="n">
        <v>0</v>
      </c>
      <c r="FL317" s="7" t="n">
        <v>0</v>
      </c>
      <c r="FM317" s="7" t="n">
        <v>0</v>
      </c>
      <c r="FN317" s="7" t="n">
        <v>0</v>
      </c>
      <c r="FO317" s="2" t="inlineStr">
        <is>
          <t>专业技术类</t>
        </is>
      </c>
      <c r="FP317" s="2"/>
      <c r="FQ317" s="2" t="inlineStr">
        <is>
          <t>专业问题协调</t>
        </is>
      </c>
      <c r="FR317" s="2" t="inlineStr">
        <is>
          <t>跨部门协同</t>
        </is>
      </c>
      <c r="FS317" s="2" t="inlineStr">
        <is>
          <t>重要且紧急</t>
        </is>
      </c>
      <c r="FT317" s="2" t="inlineStr">
        <is>
          <t>半标准化-有流程框架，需专业经验</t>
        </is>
      </c>
      <c r="FU317" s="2" t="inlineStr">
        <is>
          <t>极少（&lt;5%）</t>
        </is>
      </c>
      <c r="FV317" s="2" t="inlineStr">
        <is>
          <t>脑力/复杂度负荷</t>
        </is>
      </c>
      <c r="FW317" s="2" t="inlineStr">
        <is>
          <t>目前主要是ERP临时性工作，例如人员权限不足影响业务数据录入人、流程异常影响开票或付款等重要业务、系统层面bug影响系统正常使用等</t>
        </is>
      </c>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t="inlineStr">
        <is>
          <t>0aae4d66-7bc1-46a4-930e-aa6715851a56</t>
        </is>
      </c>
      <c r="EE318" s="3" t="n">
        <v>2</v>
      </c>
      <c r="EF318" s="2"/>
      <c r="EG318" s="2" t="inlineStr">
        <is>
          <t>探索研究性工作</t>
        </is>
      </c>
      <c r="EH318" s="2" t="inlineStr">
        <is>
          <t>1次</t>
        </is>
      </c>
      <c r="EI318" s="3" t="n">
        <v>1</v>
      </c>
      <c r="EJ318" s="2" t="inlineStr">
        <is>
          <t>B.2小时以内</t>
        </is>
      </c>
      <c r="EK318" s="7" t="n">
        <v>2</v>
      </c>
      <c r="EL318" s="7" t="n">
        <v>2</v>
      </c>
      <c r="EM318" s="7" t="n">
        <v>2</v>
      </c>
      <c r="EN318" s="7" t="n">
        <v>2</v>
      </c>
      <c r="EO318" s="2" t="inlineStr">
        <is>
          <t>专业技术类</t>
        </is>
      </c>
      <c r="EP318" s="2"/>
      <c r="EQ318" s="2" t="inlineStr">
        <is>
          <t>探索研发类工作</t>
        </is>
      </c>
      <c r="ER318" s="2" t="inlineStr">
        <is>
          <t>部门计划</t>
        </is>
      </c>
      <c r="ES318" s="2" t="inlineStr">
        <is>
          <t>重要且紧急</t>
        </is>
      </c>
      <c r="ET318" s="2" t="inlineStr">
        <is>
          <t>非标准化-无先例参考，需创新协调</t>
        </is>
      </c>
      <c r="EU318" s="2" t="inlineStr">
        <is>
          <t>低频（5%-10%）</t>
        </is>
      </c>
      <c r="EV318" s="2" t="inlineStr">
        <is>
          <t>脑力/复杂度负荷</t>
        </is>
      </c>
      <c r="EW318" s="2" t="inlineStr">
        <is>
          <t>一些探索研究性工作汇报</t>
        </is>
      </c>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row>
    <row r="319">
      <c r="A319" s="2" t="inlineStr">
        <is>
          <t>2026-05-07 11:05:45</t>
        </is>
      </c>
      <c r="B319" s="2" t="inlineStr">
        <is>
          <t>袁德义</t>
        </is>
      </c>
      <c r="C319" s="2" t="inlineStr">
        <is>
          <t>安装一分公司</t>
        </is>
      </c>
      <c r="D319" s="2" t="inlineStr">
        <is>
          <t>男</t>
        </is>
      </c>
      <c r="E319" s="2" t="inlineStr">
        <is>
          <t>320123196606063017</t>
        </is>
      </c>
      <c r="F319" s="2" t="inlineStr">
        <is>
          <t>主要工种中级工</t>
        </is>
      </c>
      <c r="G319" s="2" t="inlineStr">
        <is>
          <t>2013-02</t>
        </is>
      </c>
      <c r="H319" s="2"/>
      <c r="I319" s="2" t="inlineStr">
        <is>
          <t>铆工</t>
        </is>
      </c>
      <c r="J319" s="2" t="inlineStr">
        <is>
          <t>初中</t>
        </is>
      </c>
      <c r="K319" s="2"/>
      <c r="L319" s="6">
        <f>HYPERLINK("https://www.h3yun.com/Form/Attachments/?schemacode=D1483577de63ede327d4760b10664bd57671d7e&amp;bizObjectId=b8652ab8-dcac-44af-b8df-0bf3304706c0&amp;name=F0000046","点击查看")</f>
        <v>0</v>
      </c>
      <c r="M319" s="2" t="inlineStr">
        <is>
          <t>听领导安排</t>
        </is>
      </c>
      <c r="N319" s="2" t="inlineStr">
        <is>
          <t>每日工作</t>
        </is>
      </c>
      <c r="O319" s="2" t="inlineStr">
        <is>
          <t>46岁及以上</t>
        </is>
      </c>
      <c r="P319" s="2" t="inlineStr">
        <is>
          <t>C.已婚已育</t>
        </is>
      </c>
      <c r="Q319" s="2" t="inlineStr">
        <is>
          <t>A.否</t>
        </is>
      </c>
      <c r="R319" s="2" t="inlineStr">
        <is>
          <t>A.否</t>
        </is>
      </c>
      <c r="S319" s="2" t="inlineStr">
        <is>
          <t>A.保持当前工作内容和节奏，收入相对稳定即可</t>
        </is>
      </c>
      <c r="T319" s="2" t="inlineStr">
        <is>
          <t>A.基本满意，希望保持</t>
        </is>
      </c>
      <c r="U319" s="2" t="inlineStr">
        <is>
          <t>A.减少重复性事务</t>
        </is>
      </c>
      <c r="V319" s="2" t="inlineStr">
        <is>
          <t>A.没有</t>
        </is>
      </c>
      <c r="W319" s="2"/>
      <c r="X319" s="2" t="inlineStr">
        <is>
          <t>A.超负荷 (&gt;120%)</t>
        </is>
      </c>
      <c r="Y319" s="2" t="inlineStr">
        <is>
          <t>A.岗位工作量饱和，已达人效上限</t>
        </is>
      </c>
      <c r="Z319" s="2" t="inlineStr">
        <is>
          <t>专业问题协调</t>
        </is>
      </c>
      <c r="AA319" s="2" t="inlineStr">
        <is>
          <t>专业问题协调</t>
        </is>
      </c>
      <c r="AB319" s="2" t="inlineStr">
        <is>
          <t>专业问题协调</t>
        </is>
      </c>
      <c r="AC319" s="2" t="inlineStr">
        <is>
          <t>A.高度匹配（得心应手）</t>
        </is>
      </c>
      <c r="AD319" s="2" t="inlineStr">
        <is>
          <t>听领导安排</t>
        </is>
      </c>
      <c r="AE319" s="2"/>
      <c r="AF319" s="2"/>
      <c r="AG319" s="2" t="inlineStr">
        <is>
          <t>D.配偶不是公司家属</t>
        </is>
      </c>
      <c r="AH319" s="2"/>
      <c r="AI319" s="7" t="n">
        <v>2</v>
      </c>
      <c r="AJ319" s="7" t="n">
        <v>2</v>
      </c>
      <c r="AK319" s="7" t="n">
        <v>0</v>
      </c>
      <c r="AL319" s="7" t="n">
        <v>0</v>
      </c>
      <c r="AM319" s="7" t="n">
        <v>0</v>
      </c>
      <c r="AN319" s="7" t="n">
        <v>0</v>
      </c>
      <c r="AO319" s="7" t="n">
        <v>0</v>
      </c>
      <c r="AP319" s="7" t="n">
        <v>0</v>
      </c>
      <c r="AQ319" s="7" t="n">
        <v>0</v>
      </c>
      <c r="AR319" s="7" t="n">
        <v>0</v>
      </c>
      <c r="AS319" s="7" t="n">
        <v>2</v>
      </c>
      <c r="AT319" s="7" t="n">
        <v>2</v>
      </c>
      <c r="AU319" s="7" t="n">
        <v>2</v>
      </c>
      <c r="AV319" s="2" t="inlineStr">
        <is>
          <t>非饱和</t>
        </is>
      </c>
      <c r="AW319" s="2" t="inlineStr">
        <is>
          <t>不一致</t>
        </is>
      </c>
      <c r="AX319" s="2" t="inlineStr">
        <is>
          <t>b8652ab8-dcac-44af-b8df-0bf3304706c0</t>
        </is>
      </c>
      <c r="AY319" s="2" t="inlineStr">
        <is>
          <t>安装一分公司    袁德义</t>
        </is>
      </c>
      <c r="AZ319" s="2" t="inlineStr">
        <is>
          <t>Anonymous</t>
        </is>
      </c>
      <c r="BA319" s="2" t="inlineStr">
        <is>
          <t>Anonymous</t>
        </is>
      </c>
      <c r="BB319" s="2"/>
      <c r="BC319" s="2" t="inlineStr">
        <is>
          <t>2026-05-21 08:43:22</t>
        </is>
      </c>
      <c r="BD319" s="3" t="n">
        <v>1966</v>
      </c>
      <c r="BE319" s="3" t="n">
        <v>60</v>
      </c>
      <c r="BF319" s="2" t="inlineStr">
        <is>
          <t>A.无此需求</t>
        </is>
      </c>
      <c r="BG319" s="2" t="inlineStr">
        <is>
          <t>已生效</t>
        </is>
      </c>
      <c r="BH319" s="2" t="inlineStr">
        <is>
          <t>34044a91-d7c4-43e6-8a55-6d0b8512c9f0</t>
        </is>
      </c>
      <c r="BI319" s="3" t="n">
        <v>1</v>
      </c>
      <c r="BJ319" s="2"/>
      <c r="BK319" s="2"/>
      <c r="BL319" s="2"/>
      <c r="BM319" s="2"/>
      <c r="BN319" s="2"/>
      <c r="BO319" s="2"/>
      <c r="BP319" s="2"/>
      <c r="BQ319" s="2"/>
      <c r="BR319" s="2"/>
      <c r="BS319" s="2" t="inlineStr">
        <is>
          <t>554e3ddb-a492-4031-b0ad-05fe27971899</t>
        </is>
      </c>
      <c r="BT319" s="3" t="n">
        <v>1</v>
      </c>
      <c r="BU319" s="2" t="inlineStr">
        <is>
          <t>专业技术类</t>
        </is>
      </c>
      <c r="BV319" s="2" t="inlineStr">
        <is>
          <t>安装1分公司</t>
        </is>
      </c>
      <c r="BW319" s="2" t="inlineStr">
        <is>
          <t>1次</t>
        </is>
      </c>
      <c r="BX319" s="3" t="n">
        <v>1</v>
      </c>
      <c r="BY319" s="3" t="n">
        <v>1</v>
      </c>
      <c r="BZ319" s="2" t="inlineStr">
        <is>
          <t>B.2小时以内</t>
        </is>
      </c>
      <c r="CA319" s="7" t="n">
        <v>2</v>
      </c>
      <c r="CB319" s="7" t="n">
        <v>2</v>
      </c>
      <c r="CC319" s="7" t="n">
        <v>2</v>
      </c>
      <c r="CD319" s="7" t="n">
        <v>2</v>
      </c>
      <c r="CE319" s="2" t="inlineStr">
        <is>
          <t>专业技术类</t>
        </is>
      </c>
      <c r="CF319" s="2"/>
      <c r="CG319" s="2" t="inlineStr">
        <is>
          <t>专业问题协调</t>
        </is>
      </c>
      <c r="CH319" s="2" t="inlineStr">
        <is>
          <t>上级指令</t>
        </is>
      </c>
      <c r="CI319" s="2" t="inlineStr">
        <is>
          <t>重要且紧急</t>
        </is>
      </c>
      <c r="CJ319" s="2" t="inlineStr">
        <is>
          <t>高度标准化-有成熟SOP，照做即可</t>
        </is>
      </c>
      <c r="CK319" s="2" t="inlineStr">
        <is>
          <t>极少（&lt;5%）</t>
        </is>
      </c>
      <c r="CL319" s="2" t="inlineStr">
        <is>
          <t>脑力/复杂度负荷</t>
        </is>
      </c>
      <c r="CM319" s="2"/>
      <c r="CN319" s="2" t="inlineStr">
        <is>
          <t>50f69f26-8e99-41b8-baec-891f08ee018e</t>
        </is>
      </c>
      <c r="CO319" s="3" t="n">
        <v>1</v>
      </c>
      <c r="CP319" s="2"/>
      <c r="CQ319" s="2"/>
      <c r="CR319" s="2"/>
      <c r="CS319" s="3"/>
      <c r="CT319" s="3"/>
      <c r="CU319" s="2"/>
      <c r="CV319" s="3"/>
      <c r="CW319" s="3"/>
      <c r="CX319" s="3"/>
      <c r="CY319" s="3"/>
      <c r="CZ319" s="2"/>
      <c r="DA319" s="2"/>
      <c r="DB319" s="2"/>
      <c r="DC319" s="2"/>
      <c r="DD319" s="2"/>
      <c r="DE319" s="2"/>
      <c r="DF319" s="2"/>
      <c r="DG319" s="2"/>
      <c r="DH319" s="2"/>
      <c r="DI319" s="2" t="inlineStr">
        <is>
          <t>ff52f7d9-1b94-4661-976c-d4e3acbab6fe</t>
        </is>
      </c>
      <c r="DJ319" s="3" t="n">
        <v>1</v>
      </c>
      <c r="DK319" s="2"/>
      <c r="DL319" s="2"/>
      <c r="DM319" s="2"/>
      <c r="DN319" s="3"/>
      <c r="DO319" s="3"/>
      <c r="DP319" s="2"/>
      <c r="DQ319" s="3"/>
      <c r="DR319" s="3"/>
      <c r="DS319" s="3"/>
      <c r="DT319" s="3"/>
      <c r="DU319" s="2"/>
      <c r="DV319" s="2"/>
      <c r="DW319" s="2"/>
      <c r="DX319" s="2"/>
      <c r="DY319" s="2"/>
      <c r="DZ319" s="2"/>
      <c r="EA319" s="2"/>
      <c r="EB319" s="2"/>
      <c r="EC319" s="2"/>
      <c r="ED319" s="2" t="inlineStr">
        <is>
          <t>ed7f0cfb-324e-4528-88f8-442cee9bc786</t>
        </is>
      </c>
      <c r="EE319" s="3" t="n">
        <v>1</v>
      </c>
      <c r="EF319" s="2"/>
      <c r="EG319" s="2"/>
      <c r="EH319" s="2"/>
      <c r="EI319" s="3"/>
      <c r="EJ319" s="2"/>
      <c r="EK319" s="3"/>
      <c r="EL319" s="3"/>
      <c r="EM319" s="3"/>
      <c r="EN319" s="3"/>
      <c r="EO319" s="2"/>
      <c r="EP319" s="2"/>
      <c r="EQ319" s="2"/>
      <c r="ER319" s="2"/>
      <c r="ES319" s="2"/>
      <c r="ET319" s="2"/>
      <c r="EU319" s="2"/>
      <c r="EV319" s="2"/>
      <c r="EW319" s="2"/>
      <c r="EX319" s="2" t="inlineStr">
        <is>
          <t>d28c1e62-cfed-4a42-ab6b-8de5ac324ac9</t>
        </is>
      </c>
      <c r="EY319" s="3" t="n">
        <v>1</v>
      </c>
      <c r="EZ319" s="2"/>
      <c r="FA319" s="2"/>
      <c r="FB319" s="2"/>
      <c r="FC319" s="2"/>
      <c r="FD319" s="3"/>
      <c r="FE319" s="3"/>
      <c r="FF319" s="2"/>
      <c r="FG319" s="3"/>
      <c r="FH319" s="3"/>
      <c r="FI319" s="7" t="n">
        <v>0</v>
      </c>
      <c r="FJ319" s="7" t="n">
        <v>0</v>
      </c>
      <c r="FK319" s="7" t="n">
        <v>0</v>
      </c>
      <c r="FL319" s="7" t="n">
        <v>0</v>
      </c>
      <c r="FM319" s="7" t="n">
        <v>0</v>
      </c>
      <c r="FN319" s="7" t="n">
        <v>0</v>
      </c>
      <c r="FO319" s="2"/>
      <c r="FP319" s="2"/>
      <c r="FQ319" s="2"/>
      <c r="FR319" s="2"/>
      <c r="FS319" s="2"/>
      <c r="FT319" s="2"/>
      <c r="FU319" s="2"/>
      <c r="FV319" s="2"/>
      <c r="FW319" s="2"/>
    </row>
    <row r="320">
      <c r="A320" s="2" t="inlineStr">
        <is>
          <t>2026-05-07 11:03:50</t>
        </is>
      </c>
      <c r="B320" s="2" t="inlineStr">
        <is>
          <t>蔡正荣</t>
        </is>
      </c>
      <c r="C320" s="2" t="inlineStr">
        <is>
          <t>南京永利重工制造有限公司</t>
        </is>
      </c>
      <c r="D320" s="2" t="inlineStr">
        <is>
          <t>男</t>
        </is>
      </c>
      <c r="E320" s="2" t="inlineStr">
        <is>
          <t>320923198910191577</t>
        </is>
      </c>
      <c r="F320" s="2" t="inlineStr">
        <is>
          <t>专业工程师</t>
        </is>
      </c>
      <c r="G320" s="2" t="inlineStr">
        <is>
          <t>2021-08</t>
        </is>
      </c>
      <c r="H320" s="2" t="inlineStr">
        <is>
          <t>南京林业大学</t>
        </is>
      </c>
      <c r="I320" s="2" t="inlineStr">
        <is>
          <t>测绘</t>
        </is>
      </c>
      <c r="J320" s="2" t="inlineStr">
        <is>
          <t>本科</t>
        </is>
      </c>
      <c r="K320" s="2"/>
      <c r="L320" s="6">
        <f>HYPERLINK("https://www.h3yun.com/Form/Attachments/?schemacode=D1483577de63ede327d4760b10664bd57671d7e&amp;bizObjectId=03f7ab48-ac48-4d84-989f-19cf235668a2&amp;name=F0000046","点击查看")</f>
        <v>0</v>
      </c>
      <c r="M320" s="2" t="inlineStr">
        <is>
          <t>无</t>
        </is>
      </c>
      <c r="N320" s="2" t="inlineStr">
        <is>
          <t>每日工作</t>
        </is>
      </c>
      <c r="O320" s="2" t="inlineStr">
        <is>
          <t>30-40岁</t>
        </is>
      </c>
      <c r="P320" s="2" t="inlineStr">
        <is>
          <t>C.已婚已育</t>
        </is>
      </c>
      <c r="Q320" s="2" t="inlineStr">
        <is>
          <t>A.否</t>
        </is>
      </c>
      <c r="R320" s="2" t="inlineStr">
        <is>
          <t>B.有1名</t>
        </is>
      </c>
      <c r="S320" s="2" t="inlineStr">
        <is>
          <t>E.愿意承担更高挑战和更大压力，以换取更高回报或晋升机会</t>
        </is>
      </c>
      <c r="T320" s="2" t="inlineStr">
        <is>
          <t>E.希望承担更重要、更有挑战的职责</t>
        </is>
      </c>
      <c r="U320" s="2" t="inlineStr">
        <is>
          <t>B.减少无效流转和返工</t>
        </is>
      </c>
      <c r="V320" s="2" t="inlineStr">
        <is>
          <t>B.提出过建议，但未推动</t>
        </is>
      </c>
      <c r="W320" s="2" t="inlineStr">
        <is>
          <t>F.责任边界不清</t>
        </is>
      </c>
      <c r="X320" s="2" t="inlineStr">
        <is>
          <t>B.满负荷 (100%-120%)</t>
        </is>
      </c>
      <c r="Y320" s="2" t="inlineStr">
        <is>
          <t>A.岗位工作量饱和，已达人效上限;B.上游资料不全，导致反复沟通/返工;C.会议或日常协调过多，压缩产出时间;E.临时差旅、突发事件、会议加班;G.接收到任务分配单完成周期内要求的加班;H.研发探索性质，保持研究不间断的主动加班</t>
        </is>
      </c>
      <c r="Z320" s="2" t="inlineStr">
        <is>
          <t>专题工作推进</t>
        </is>
      </c>
      <c r="AA320" s="2" t="inlineStr">
        <is>
          <t>会议安排</t>
        </is>
      </c>
      <c r="AB320" s="2" t="inlineStr">
        <is>
          <t>专业问题协调</t>
        </is>
      </c>
      <c r="AC320" s="2" t="inlineStr">
        <is>
          <t>B.基本匹配（正常履行）</t>
        </is>
      </c>
      <c r="AD320" s="2" t="inlineStr">
        <is>
          <t>无</t>
        </is>
      </c>
      <c r="AE320" s="2"/>
      <c r="AF320" s="2"/>
      <c r="AG320" s="2" t="inlineStr">
        <is>
          <t>D.配偶不是公司家属</t>
        </is>
      </c>
      <c r="AH320" s="2"/>
      <c r="AI320" s="7" t="n">
        <v>8.33</v>
      </c>
      <c r="AJ320" s="7" t="n">
        <v>12.33</v>
      </c>
      <c r="AK320" s="7" t="n">
        <v>0</v>
      </c>
      <c r="AL320" s="7" t="n">
        <v>0</v>
      </c>
      <c r="AM320" s="7" t="n">
        <v>0</v>
      </c>
      <c r="AN320" s="7" t="n">
        <v>0</v>
      </c>
      <c r="AO320" s="7" t="n">
        <v>0</v>
      </c>
      <c r="AP320" s="7" t="n">
        <v>0</v>
      </c>
      <c r="AQ320" s="7" t="n">
        <v>0</v>
      </c>
      <c r="AR320" s="7" t="n">
        <v>0</v>
      </c>
      <c r="AS320" s="7" t="n">
        <v>8.33</v>
      </c>
      <c r="AT320" s="7" t="n">
        <v>12.33</v>
      </c>
      <c r="AU320" s="7" t="n">
        <v>10.33</v>
      </c>
      <c r="AV320" s="2" t="inlineStr">
        <is>
          <t>超负荷</t>
        </is>
      </c>
      <c r="AW320" s="2" t="inlineStr">
        <is>
          <t>不一致</t>
        </is>
      </c>
      <c r="AX320" s="2" t="inlineStr">
        <is>
          <t>03f7ab48-ac48-4d84-989f-19cf235668a2</t>
        </is>
      </c>
      <c r="AY320" s="2" t="inlineStr">
        <is>
          <t>南京永利重工制造有限公司    蔡正荣</t>
        </is>
      </c>
      <c r="AZ320" s="2" t="inlineStr">
        <is>
          <t>Anonymous</t>
        </is>
      </c>
      <c r="BA320" s="2" t="inlineStr">
        <is>
          <t>Anonymous</t>
        </is>
      </c>
      <c r="BB320" s="2"/>
      <c r="BC320" s="2" t="inlineStr">
        <is>
          <t>2026-05-21 08:43:22</t>
        </is>
      </c>
      <c r="BD320" s="3" t="n">
        <v>1989</v>
      </c>
      <c r="BE320" s="3" t="n">
        <v>37</v>
      </c>
      <c r="BF320" s="2" t="inlineStr">
        <is>
          <t>A.无此需求</t>
        </is>
      </c>
      <c r="BG320" s="2" t="inlineStr">
        <is>
          <t>已生效</t>
        </is>
      </c>
      <c r="BH320" s="2" t="inlineStr">
        <is>
          <t>32717418-749c-4e38-98f8-d34bfdc12eb3</t>
        </is>
      </c>
      <c r="BI320" s="3" t="n">
        <v>1</v>
      </c>
      <c r="BJ320" s="2"/>
      <c r="BK320" s="2"/>
      <c r="BL320" s="2"/>
      <c r="BM320" s="2"/>
      <c r="BN320" s="2"/>
      <c r="BO320" s="2"/>
      <c r="BP320" s="2"/>
      <c r="BQ320" s="2"/>
      <c r="BR320" s="2"/>
      <c r="BS320" s="2" t="inlineStr">
        <is>
          <t>27b13dc7-8364-4e1c-87d6-d5a4432f6602</t>
        </is>
      </c>
      <c r="BT320" s="3" t="n">
        <v>1</v>
      </c>
      <c r="BU320" s="2" t="inlineStr">
        <is>
          <t>协调沟通类</t>
        </is>
      </c>
      <c r="BV320" s="2" t="inlineStr">
        <is>
          <t>项目成本价值分析</t>
        </is>
      </c>
      <c r="BW320" s="2" t="inlineStr">
        <is>
          <t>1次</t>
        </is>
      </c>
      <c r="BX320" s="3" t="n">
        <v>1</v>
      </c>
      <c r="BY320" s="3" t="n">
        <v>1</v>
      </c>
      <c r="BZ320" s="2" t="inlineStr">
        <is>
          <t>D.4-8小时</t>
        </is>
      </c>
      <c r="CA320" s="7" t="n">
        <v>4</v>
      </c>
      <c r="CB320" s="7" t="n">
        <v>8</v>
      </c>
      <c r="CC320" s="7" t="n">
        <v>4</v>
      </c>
      <c r="CD320" s="7" t="n">
        <v>8</v>
      </c>
      <c r="CE320" s="2" t="inlineStr">
        <is>
          <t>协调沟通类</t>
        </is>
      </c>
      <c r="CF320" s="2"/>
      <c r="CG320" s="2" t="inlineStr">
        <is>
          <t>外部联络</t>
        </is>
      </c>
      <c r="CH320" s="2" t="inlineStr">
        <is>
          <t>跨部门协同</t>
        </is>
      </c>
      <c r="CI320" s="2" t="inlineStr">
        <is>
          <t>重要且紧急</t>
        </is>
      </c>
      <c r="CJ320" s="2" t="inlineStr">
        <is>
          <t>非标准化-无先例参考，需创新协调</t>
        </is>
      </c>
      <c r="CK320" s="2" t="inlineStr">
        <is>
          <t>低频（5%-10%）</t>
        </is>
      </c>
      <c r="CL320" s="2" t="inlineStr">
        <is>
          <t>沟通/协调负荷</t>
        </is>
      </c>
      <c r="CM320" s="2"/>
      <c r="CN320" s="2" t="inlineStr">
        <is>
          <t>62d0f007-3ee0-49ba-bda7-54dd6df893f0</t>
        </is>
      </c>
      <c r="CO320" s="3" t="n">
        <v>1</v>
      </c>
      <c r="CP320" s="2"/>
      <c r="CQ320" s="2"/>
      <c r="CR320" s="2"/>
      <c r="CS320" s="3"/>
      <c r="CT320" s="3"/>
      <c r="CU320" s="2"/>
      <c r="CV320" s="3"/>
      <c r="CW320" s="3"/>
      <c r="CX320" s="3"/>
      <c r="CY320" s="3"/>
      <c r="CZ320" s="2"/>
      <c r="DA320" s="2"/>
      <c r="DB320" s="2"/>
      <c r="DC320" s="2"/>
      <c r="DD320" s="2"/>
      <c r="DE320" s="2"/>
      <c r="DF320" s="2"/>
      <c r="DG320" s="2"/>
      <c r="DH320" s="2"/>
      <c r="DI320" s="2" t="inlineStr">
        <is>
          <t>4970f727-e12f-4472-9b69-da5a9eca1849</t>
        </is>
      </c>
      <c r="DJ320" s="3" t="n">
        <v>1</v>
      </c>
      <c r="DK320" s="2"/>
      <c r="DL320" s="2"/>
      <c r="DM320" s="2"/>
      <c r="DN320" s="3"/>
      <c r="DO320" s="3"/>
      <c r="DP320" s="2"/>
      <c r="DQ320" s="3"/>
      <c r="DR320" s="3"/>
      <c r="DS320" s="3"/>
      <c r="DT320" s="3"/>
      <c r="DU320" s="2"/>
      <c r="DV320" s="2"/>
      <c r="DW320" s="2"/>
      <c r="DX320" s="2"/>
      <c r="DY320" s="2"/>
      <c r="DZ320" s="2"/>
      <c r="EA320" s="2"/>
      <c r="EB320" s="2"/>
      <c r="EC320" s="2"/>
      <c r="ED320" s="2" t="inlineStr">
        <is>
          <t>487bc39f-6e83-4677-96a6-549f4c19166b</t>
        </is>
      </c>
      <c r="EE320" s="3" t="n">
        <v>1</v>
      </c>
      <c r="EF320" s="2"/>
      <c r="EG320" s="2"/>
      <c r="EH320" s="2"/>
      <c r="EI320" s="3"/>
      <c r="EJ320" s="2"/>
      <c r="EK320" s="3"/>
      <c r="EL320" s="3"/>
      <c r="EM320" s="3"/>
      <c r="EN320" s="3"/>
      <c r="EO320" s="2"/>
      <c r="EP320" s="2"/>
      <c r="EQ320" s="2"/>
      <c r="ER320" s="2"/>
      <c r="ES320" s="2"/>
      <c r="ET320" s="2"/>
      <c r="EU320" s="2"/>
      <c r="EV320" s="2"/>
      <c r="EW320" s="2"/>
      <c r="EX320" s="2" t="inlineStr">
        <is>
          <t>76d3c364-e63b-43c3-b665-35852e3a3429</t>
        </is>
      </c>
      <c r="EY320" s="3" t="n">
        <v>1</v>
      </c>
      <c r="EZ320" s="2"/>
      <c r="FA320" s="2"/>
      <c r="FB320" s="2"/>
      <c r="FC320" s="2"/>
      <c r="FD320" s="3"/>
      <c r="FE320" s="3"/>
      <c r="FF320" s="2"/>
      <c r="FG320" s="3"/>
      <c r="FH320" s="3"/>
      <c r="FI320" s="7" t="n">
        <v>0</v>
      </c>
      <c r="FJ320" s="7" t="n">
        <v>0</v>
      </c>
      <c r="FK320" s="7" t="n">
        <v>0</v>
      </c>
      <c r="FL320" s="7" t="n">
        <v>0</v>
      </c>
      <c r="FM320" s="7" t="n">
        <v>0</v>
      </c>
      <c r="FN320" s="7" t="n">
        <v>0</v>
      </c>
      <c r="FO320" s="2"/>
      <c r="FP320" s="2"/>
      <c r="FQ320" s="2"/>
      <c r="FR320" s="2"/>
      <c r="FS320" s="2"/>
      <c r="FT320" s="2"/>
      <c r="FU320" s="2"/>
      <c r="FV320" s="2"/>
      <c r="FW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t="inlineStr">
        <is>
          <t>6b92ee79-8149-4231-b604-a08f4bbd78fa</t>
        </is>
      </c>
      <c r="BT321" s="3" t="n">
        <v>2</v>
      </c>
      <c r="BU321" s="2" t="inlineStr">
        <is>
          <t>流程审批类</t>
        </is>
      </c>
      <c r="BV321" s="2" t="inlineStr">
        <is>
          <t>合同流程</t>
        </is>
      </c>
      <c r="BW321" s="2" t="inlineStr">
        <is>
          <t>1次</t>
        </is>
      </c>
      <c r="BX321" s="3" t="n">
        <v>1</v>
      </c>
      <c r="BY321" s="3" t="n">
        <v>1</v>
      </c>
      <c r="BZ321" s="2" t="inlineStr">
        <is>
          <t>A.20分钟以内</t>
        </is>
      </c>
      <c r="CA321" s="7" t="n">
        <v>0.33</v>
      </c>
      <c r="CB321" s="7" t="n">
        <v>0.33</v>
      </c>
      <c r="CC321" s="7" t="n">
        <v>0.33</v>
      </c>
      <c r="CD321" s="7" t="n">
        <v>0.33</v>
      </c>
      <c r="CE321" s="2" t="inlineStr">
        <is>
          <t>流程审批类</t>
        </is>
      </c>
      <c r="CF321" s="2"/>
      <c r="CG321" s="2" t="inlineStr">
        <is>
          <t>合同流程</t>
        </is>
      </c>
      <c r="CH321" s="2" t="inlineStr">
        <is>
          <t>岗位职责</t>
        </is>
      </c>
      <c r="CI321" s="2" t="inlineStr">
        <is>
          <t>重要且紧急</t>
        </is>
      </c>
      <c r="CJ321" s="2" t="inlineStr">
        <is>
          <t>高度标准化-有成熟SOP，照做即可</t>
        </is>
      </c>
      <c r="CK321" s="2" t="inlineStr">
        <is>
          <t>极少（&lt;5%）</t>
        </is>
      </c>
      <c r="CL321" s="2" t="inlineStr">
        <is>
          <t>脑力/复杂度负荷</t>
        </is>
      </c>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t="inlineStr">
        <is>
          <t>3dca25e3-52d2-4fe9-95bf-4a625be022a7</t>
        </is>
      </c>
      <c r="BT322" s="3" t="n">
        <v>3</v>
      </c>
      <c r="BU322" s="2" t="inlineStr">
        <is>
          <t>其他</t>
        </is>
      </c>
      <c r="BV322" s="2" t="inlineStr">
        <is>
          <t>项目结算</t>
        </is>
      </c>
      <c r="BW322" s="2" t="inlineStr">
        <is>
          <t>1次</t>
        </is>
      </c>
      <c r="BX322" s="3" t="n">
        <v>1</v>
      </c>
      <c r="BY322" s="3" t="n">
        <v>1</v>
      </c>
      <c r="BZ322" s="2" t="inlineStr">
        <is>
          <t>B.2小时以内</t>
        </is>
      </c>
      <c r="CA322" s="7" t="n">
        <v>2</v>
      </c>
      <c r="CB322" s="7" t="n">
        <v>2</v>
      </c>
      <c r="CC322" s="7" t="n">
        <v>2</v>
      </c>
      <c r="CD322" s="7" t="n">
        <v>2</v>
      </c>
      <c r="CE322" s="2" t="inlineStr">
        <is>
          <t>其他</t>
        </is>
      </c>
      <c r="CF322" s="2"/>
      <c r="CG322" s="2"/>
      <c r="CH322" s="2" t="inlineStr">
        <is>
          <t>岗位职责</t>
        </is>
      </c>
      <c r="CI322" s="2" t="inlineStr">
        <is>
          <t>重要不紧急</t>
        </is>
      </c>
      <c r="CJ322" s="2" t="inlineStr">
        <is>
          <t>半标准化-有流程框架，需专业经验</t>
        </is>
      </c>
      <c r="CK322" s="2" t="inlineStr">
        <is>
          <t>低频（5%-10%）</t>
        </is>
      </c>
      <c r="CL322" s="2" t="inlineStr">
        <is>
          <t>时效/强度负荷</t>
        </is>
      </c>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t="inlineStr">
        <is>
          <t>e13ab386-880f-4470-acf2-01e69d2b2522</t>
        </is>
      </c>
      <c r="BT323" s="3" t="n">
        <v>4</v>
      </c>
      <c r="BU323" s="2" t="inlineStr">
        <is>
          <t>其他</t>
        </is>
      </c>
      <c r="BV323" s="2" t="inlineStr">
        <is>
          <t>零星工作</t>
        </is>
      </c>
      <c r="BW323" s="2" t="inlineStr">
        <is>
          <t>1次</t>
        </is>
      </c>
      <c r="BX323" s="3" t="n">
        <v>1</v>
      </c>
      <c r="BY323" s="3" t="n">
        <v>1</v>
      </c>
      <c r="BZ323" s="2" t="inlineStr">
        <is>
          <t>B.2小时以内</t>
        </is>
      </c>
      <c r="CA323" s="7" t="n">
        <v>2</v>
      </c>
      <c r="CB323" s="7" t="n">
        <v>2</v>
      </c>
      <c r="CC323" s="7" t="n">
        <v>2</v>
      </c>
      <c r="CD323" s="7" t="n">
        <v>2</v>
      </c>
      <c r="CE323" s="2" t="inlineStr">
        <is>
          <t>其他</t>
        </is>
      </c>
      <c r="CF323" s="2"/>
      <c r="CG323" s="2"/>
      <c r="CH323" s="2" t="inlineStr">
        <is>
          <t>上级指令</t>
        </is>
      </c>
      <c r="CI323" s="2" t="inlineStr">
        <is>
          <t>重要且紧急</t>
        </is>
      </c>
      <c r="CJ323" s="2" t="inlineStr">
        <is>
          <t>非标准化-无先例参考，需创新协调</t>
        </is>
      </c>
      <c r="CK323" s="2" t="inlineStr">
        <is>
          <t>极少（&lt;5%）</t>
        </is>
      </c>
      <c r="CL323" s="2" t="inlineStr">
        <is>
          <t>时效/强度负荷</t>
        </is>
      </c>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row>
    <row r="324">
      <c r="A324" s="2" t="inlineStr">
        <is>
          <t>2026-05-07 11:03:05</t>
        </is>
      </c>
      <c r="B324" s="2" t="inlineStr">
        <is>
          <t>伍冰艳</t>
        </is>
      </c>
      <c r="C324" s="2" t="inlineStr">
        <is>
          <t>技术中心</t>
        </is>
      </c>
      <c r="D324" s="2" t="inlineStr">
        <is>
          <t>女</t>
        </is>
      </c>
      <c r="E324" s="2" t="inlineStr">
        <is>
          <t>45032419990120314X</t>
        </is>
      </c>
      <c r="F324" s="2" t="inlineStr">
        <is>
          <t>技术助理(二)</t>
        </is>
      </c>
      <c r="G324" s="2" t="inlineStr">
        <is>
          <t>2022-08</t>
        </is>
      </c>
      <c r="H324" s="2" t="inlineStr">
        <is>
          <t>北部湾大学</t>
        </is>
      </c>
      <c r="I324" s="2" t="inlineStr">
        <is>
          <t>土建</t>
        </is>
      </c>
      <c r="J324" s="2" t="inlineStr">
        <is>
          <t>本科</t>
        </is>
      </c>
      <c r="K324" s="2"/>
      <c r="L324" s="6">
        <f>HYPERLINK("https://www.h3yun.com/Form/Attachments/?schemacode=D1483577de63ede327d4760b10664bd57671d7e&amp;bizObjectId=bc8f39dd-5c79-43d0-98a0-d0da6818bba7&amp;name=F0000046","点击查看")</f>
        <v>0</v>
      </c>
      <c r="M324" s="2" t="inlineStr">
        <is>
          <t>暂无</t>
        </is>
      </c>
      <c r="N324" s="2" t="inlineStr">
        <is>
          <t>每日工作</t>
        </is>
      </c>
      <c r="O324" s="2" t="inlineStr">
        <is>
          <t>26-30岁</t>
        </is>
      </c>
      <c r="P324" s="2" t="inlineStr">
        <is>
          <t>A.未婚</t>
        </is>
      </c>
      <c r="Q324" s="2" t="inlineStr">
        <is>
          <t>A.否</t>
        </is>
      </c>
      <c r="R324" s="2" t="inlineStr">
        <is>
          <t>A.否</t>
        </is>
      </c>
      <c r="S324" s="2" t="inlineStr">
        <is>
          <t>D.希望承担更有挑战性的工作，并争取更大发展空间</t>
        </is>
      </c>
      <c r="T324" s="2" t="inlineStr">
        <is>
          <t>A.基本满意，希望保持</t>
        </is>
      </c>
      <c r="U324" s="2" t="inlineStr">
        <is>
          <t>B.减少无效流转和返工</t>
        </is>
      </c>
      <c r="V324" s="2" t="inlineStr">
        <is>
          <t>C.推动过局部优化</t>
        </is>
      </c>
      <c r="W324" s="2" t="inlineStr">
        <is>
          <t>E.缺少人手或时间推进</t>
        </is>
      </c>
      <c r="X324" s="2" t="inlineStr">
        <is>
          <t>A.超负荷 (&gt;120%)</t>
        </is>
      </c>
      <c r="Y324" s="2" t="inlineStr">
        <is>
          <t>B.上游资料不全，导致反复沟通/返工;C.会议或日常协调过多，压缩产出时间;D.业务不熟练或新系统上线，操作耗时;E.临时差旅、突发事件、会议加班;G.接收到任务分配单完成周期内要求的加班;H.研发探索性质，保持研究不间断的主动加班</t>
        </is>
      </c>
      <c r="Z324" s="2" t="inlineStr">
        <is>
          <t>专题工作推进</t>
        </is>
      </c>
      <c r="AA324" s="2" t="inlineStr">
        <is>
          <t>会议安排</t>
        </is>
      </c>
      <c r="AB324" s="2" t="inlineStr">
        <is>
          <t>专题工作推进</t>
        </is>
      </c>
      <c r="AC324" s="2" t="inlineStr">
        <is>
          <t>B.基本匹配（正常履行）</t>
        </is>
      </c>
      <c r="AD324" s="2" t="inlineStr">
        <is>
          <t>材料代码核对及质检工作优化。</t>
        </is>
      </c>
      <c r="AE324" s="2"/>
      <c r="AF324" s="2"/>
      <c r="AG324" s="2"/>
      <c r="AH324" s="2"/>
      <c r="AI324" s="7" t="n">
        <v>12</v>
      </c>
      <c r="AJ324" s="7" t="n">
        <v>50</v>
      </c>
      <c r="AK324" s="7" t="n">
        <v>0</v>
      </c>
      <c r="AL324" s="7" t="n">
        <v>0</v>
      </c>
      <c r="AM324" s="7" t="n">
        <v>0</v>
      </c>
      <c r="AN324" s="7" t="n">
        <v>0</v>
      </c>
      <c r="AO324" s="7" t="n">
        <v>0</v>
      </c>
      <c r="AP324" s="7" t="n">
        <v>0</v>
      </c>
      <c r="AQ324" s="7" t="n">
        <v>0</v>
      </c>
      <c r="AR324" s="7" t="n">
        <v>0</v>
      </c>
      <c r="AS324" s="7" t="n">
        <v>12</v>
      </c>
      <c r="AT324" s="7" t="n">
        <v>50</v>
      </c>
      <c r="AU324" s="7" t="n">
        <v>31</v>
      </c>
      <c r="AV324" s="2" t="inlineStr">
        <is>
          <t>超负荷</t>
        </is>
      </c>
      <c r="AW324" s="2" t="inlineStr">
        <is>
          <t>一致</t>
        </is>
      </c>
      <c r="AX324" s="2" t="inlineStr">
        <is>
          <t>bc8f39dd-5c79-43d0-98a0-d0da6818bba7</t>
        </is>
      </c>
      <c r="AY324" s="2" t="inlineStr">
        <is>
          <t>技术中心    伍冰艳</t>
        </is>
      </c>
      <c r="AZ324" s="2" t="inlineStr">
        <is>
          <t>Anonymous</t>
        </is>
      </c>
      <c r="BA324" s="2" t="inlineStr">
        <is>
          <t>Anonymous</t>
        </is>
      </c>
      <c r="BB324" s="2"/>
      <c r="BC324" s="2" t="inlineStr">
        <is>
          <t>2026-05-21 08:43:22</t>
        </is>
      </c>
      <c r="BD324" s="3" t="n">
        <v>1999</v>
      </c>
      <c r="BE324" s="3" t="n">
        <v>27</v>
      </c>
      <c r="BF324" s="2" t="inlineStr">
        <is>
          <t>A.无此需求</t>
        </is>
      </c>
      <c r="BG324" s="2" t="inlineStr">
        <is>
          <t>已生效</t>
        </is>
      </c>
      <c r="BH324" s="2" t="inlineStr">
        <is>
          <t>a9701781-b3f3-40df-b0a2-bd8faa03c788</t>
        </is>
      </c>
      <c r="BI324" s="3" t="n">
        <v>1</v>
      </c>
      <c r="BJ324" s="2"/>
      <c r="BK324" s="2"/>
      <c r="BL324" s="2"/>
      <c r="BM324" s="2"/>
      <c r="BN324" s="2"/>
      <c r="BO324" s="2"/>
      <c r="BP324" s="2"/>
      <c r="BQ324" s="2"/>
      <c r="BR324" s="2"/>
      <c r="BS324" s="2" t="inlineStr">
        <is>
          <t>17ad07fa-cc4f-47cd-87ea-2108f9b3b511</t>
        </is>
      </c>
      <c r="BT324" s="3" t="n">
        <v>1</v>
      </c>
      <c r="BU324" s="2" t="inlineStr">
        <is>
          <t>协调沟通类</t>
        </is>
      </c>
      <c r="BV324" s="2" t="inlineStr">
        <is>
          <t>部门事务沟通</t>
        </is>
      </c>
      <c r="BW324" s="2" t="inlineStr">
        <is>
          <t>2-5次</t>
        </is>
      </c>
      <c r="BX324" s="3" t="n">
        <v>2</v>
      </c>
      <c r="BY324" s="3" t="n">
        <v>5</v>
      </c>
      <c r="BZ324" s="2" t="inlineStr">
        <is>
          <t>B.2小时以内</t>
        </is>
      </c>
      <c r="CA324" s="7" t="n">
        <v>2</v>
      </c>
      <c r="CB324" s="7" t="n">
        <v>2</v>
      </c>
      <c r="CC324" s="7" t="n">
        <v>4</v>
      </c>
      <c r="CD324" s="7" t="n">
        <v>10</v>
      </c>
      <c r="CE324" s="2" t="inlineStr">
        <is>
          <t>协调沟通类</t>
        </is>
      </c>
      <c r="CF324" s="2"/>
      <c r="CG324" s="2" t="inlineStr">
        <is>
          <t>接口协调</t>
        </is>
      </c>
      <c r="CH324" s="2" t="inlineStr">
        <is>
          <t>岗位职责</t>
        </is>
      </c>
      <c r="CI324" s="2" t="inlineStr">
        <is>
          <t>重要不紧急</t>
        </is>
      </c>
      <c r="CJ324" s="2" t="inlineStr">
        <is>
          <t>半标准化-有流程框架，需专业经验</t>
        </is>
      </c>
      <c r="CK324" s="2" t="inlineStr">
        <is>
          <t>中频（10%-30%）</t>
        </is>
      </c>
      <c r="CL324" s="2" t="inlineStr">
        <is>
          <t>沟通/协调负荷</t>
        </is>
      </c>
      <c r="CM324" s="2"/>
      <c r="CN324" s="2" t="inlineStr">
        <is>
          <t>01c9ef26-364e-4638-89e5-64f3a48e89d7</t>
        </is>
      </c>
      <c r="CO324" s="3" t="n">
        <v>1</v>
      </c>
      <c r="CP324" s="2"/>
      <c r="CQ324" s="2"/>
      <c r="CR324" s="2"/>
      <c r="CS324" s="3"/>
      <c r="CT324" s="3"/>
      <c r="CU324" s="2"/>
      <c r="CV324" s="3"/>
      <c r="CW324" s="3"/>
      <c r="CX324" s="3"/>
      <c r="CY324" s="3"/>
      <c r="CZ324" s="2"/>
      <c r="DA324" s="2"/>
      <c r="DB324" s="2"/>
      <c r="DC324" s="2"/>
      <c r="DD324" s="2"/>
      <c r="DE324" s="2"/>
      <c r="DF324" s="2"/>
      <c r="DG324" s="2"/>
      <c r="DH324" s="2"/>
      <c r="DI324" s="2" t="inlineStr">
        <is>
          <t>919b3638-af81-4561-8819-359a2eb18e08</t>
        </is>
      </c>
      <c r="DJ324" s="3" t="n">
        <v>1</v>
      </c>
      <c r="DK324" s="2"/>
      <c r="DL324" s="2"/>
      <c r="DM324" s="2"/>
      <c r="DN324" s="3"/>
      <c r="DO324" s="3"/>
      <c r="DP324" s="2"/>
      <c r="DQ324" s="3"/>
      <c r="DR324" s="3"/>
      <c r="DS324" s="3"/>
      <c r="DT324" s="3"/>
      <c r="DU324" s="2"/>
      <c r="DV324" s="2"/>
      <c r="DW324" s="2"/>
      <c r="DX324" s="2"/>
      <c r="DY324" s="2"/>
      <c r="DZ324" s="2"/>
      <c r="EA324" s="2"/>
      <c r="EB324" s="2"/>
      <c r="EC324" s="2"/>
      <c r="ED324" s="2" t="inlineStr">
        <is>
          <t>7ccad316-98a8-4b17-a657-0c1ce865f216</t>
        </is>
      </c>
      <c r="EE324" s="3" t="n">
        <v>1</v>
      </c>
      <c r="EF324" s="2"/>
      <c r="EG324" s="2"/>
      <c r="EH324" s="2"/>
      <c r="EI324" s="3"/>
      <c r="EJ324" s="2"/>
      <c r="EK324" s="3"/>
      <c r="EL324" s="3"/>
      <c r="EM324" s="3"/>
      <c r="EN324" s="3"/>
      <c r="EO324" s="2"/>
      <c r="EP324" s="2"/>
      <c r="EQ324" s="2"/>
      <c r="ER324" s="2"/>
      <c r="ES324" s="2"/>
      <c r="ET324" s="2"/>
      <c r="EU324" s="2"/>
      <c r="EV324" s="2"/>
      <c r="EW324" s="2"/>
      <c r="EX324" s="2" t="inlineStr">
        <is>
          <t>65b91d24-2cd3-49a0-84b1-6d9829a0c274</t>
        </is>
      </c>
      <c r="EY324" s="3" t="n">
        <v>1</v>
      </c>
      <c r="EZ324" s="2"/>
      <c r="FA324" s="2"/>
      <c r="FB324" s="2"/>
      <c r="FC324" s="2"/>
      <c r="FD324" s="3"/>
      <c r="FE324" s="3"/>
      <c r="FF324" s="2"/>
      <c r="FG324" s="3"/>
      <c r="FH324" s="3"/>
      <c r="FI324" s="7" t="n">
        <v>0</v>
      </c>
      <c r="FJ324" s="7" t="n">
        <v>0</v>
      </c>
      <c r="FK324" s="7" t="n">
        <v>0</v>
      </c>
      <c r="FL324" s="7" t="n">
        <v>0</v>
      </c>
      <c r="FM324" s="7" t="n">
        <v>0</v>
      </c>
      <c r="FN324" s="7" t="n">
        <v>0</v>
      </c>
      <c r="FO324" s="2"/>
      <c r="FP324" s="2"/>
      <c r="FQ324" s="2"/>
      <c r="FR324" s="2"/>
      <c r="FS324" s="2"/>
      <c r="FT324" s="2"/>
      <c r="FU324" s="2"/>
      <c r="FV324" s="2"/>
      <c r="FW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t="inlineStr">
        <is>
          <t>a6110f3f-7889-4ce3-87a6-b28d8078e3cb</t>
        </is>
      </c>
      <c r="BT325" s="3" t="n">
        <v>2</v>
      </c>
      <c r="BU325" s="2" t="inlineStr">
        <is>
          <t>数据报表类</t>
        </is>
      </c>
      <c r="BV325" s="2" t="inlineStr">
        <is>
          <t>材料代码事宜</t>
        </is>
      </c>
      <c r="BW325" s="2" t="inlineStr">
        <is>
          <t>2-5次</t>
        </is>
      </c>
      <c r="BX325" s="3" t="n">
        <v>2</v>
      </c>
      <c r="BY325" s="3" t="n">
        <v>5</v>
      </c>
      <c r="BZ325" s="2" t="inlineStr">
        <is>
          <t>D.4-8小时</t>
        </is>
      </c>
      <c r="CA325" s="7" t="n">
        <v>4</v>
      </c>
      <c r="CB325" s="7" t="n">
        <v>8</v>
      </c>
      <c r="CC325" s="7" t="n">
        <v>8</v>
      </c>
      <c r="CD325" s="7" t="n">
        <v>40</v>
      </c>
      <c r="CE325" s="2" t="inlineStr">
        <is>
          <t>数据报表类</t>
        </is>
      </c>
      <c r="CF325" s="2"/>
      <c r="CG325" s="2" t="inlineStr">
        <is>
          <t>专项统计</t>
        </is>
      </c>
      <c r="CH325" s="2" t="inlineStr">
        <is>
          <t>部门计划</t>
        </is>
      </c>
      <c r="CI325" s="2" t="inlineStr">
        <is>
          <t>重要且紧急</t>
        </is>
      </c>
      <c r="CJ325" s="2" t="inlineStr">
        <is>
          <t>半标准化-有流程框架，需专业经验</t>
        </is>
      </c>
      <c r="CK325" s="2" t="inlineStr">
        <is>
          <t>中频（10%-30%）</t>
        </is>
      </c>
      <c r="CL325" s="2" t="inlineStr">
        <is>
          <t>时效/强度负荷</t>
        </is>
      </c>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row>
    <row r="326">
      <c r="A326" s="2" t="inlineStr">
        <is>
          <t>2026-05-07 11:00:56</t>
        </is>
      </c>
      <c r="B326" s="2" t="inlineStr">
        <is>
          <t>李明</t>
        </is>
      </c>
      <c r="C326" s="2" t="inlineStr">
        <is>
          <t>安装一分公司</t>
        </is>
      </c>
      <c r="D326" s="2" t="inlineStr">
        <is>
          <t>男</t>
        </is>
      </c>
      <c r="E326" s="2" t="inlineStr">
        <is>
          <t>320112197505170011</t>
        </is>
      </c>
      <c r="F326" s="2" t="inlineStr">
        <is>
          <t>辅助工种中级工</t>
        </is>
      </c>
      <c r="G326" s="2" t="inlineStr">
        <is>
          <t>1994-08</t>
        </is>
      </c>
      <c r="H326" s="2" t="inlineStr">
        <is>
          <t>南化技校</t>
        </is>
      </c>
      <c r="I326" s="2" t="inlineStr">
        <is>
          <t>铆工</t>
        </is>
      </c>
      <c r="J326" s="2" t="inlineStr">
        <is>
          <t>技校</t>
        </is>
      </c>
      <c r="K326" s="2"/>
      <c r="L326" s="6">
        <f>HYPERLINK("https://www.h3yun.com/Form/Attachments/?schemacode=D1483577de63ede327d4760b10664bd57671d7e&amp;bizObjectId=11a2e6ad-c2c5-45da-9ce5-f7692dc20e5e&amp;name=F0000046","点击查看")</f>
        <v>0</v>
      </c>
      <c r="M326" s="2" t="inlineStr">
        <is>
          <t>听领导安排</t>
        </is>
      </c>
      <c r="N326" s="2" t="inlineStr">
        <is>
          <t>每日工作</t>
        </is>
      </c>
      <c r="O326" s="2" t="inlineStr">
        <is>
          <t>46岁及以上</t>
        </is>
      </c>
      <c r="P326" s="2" t="inlineStr">
        <is>
          <t>C.已婚已育</t>
        </is>
      </c>
      <c r="Q326" s="2" t="inlineStr">
        <is>
          <t>C.是，主要照护老人</t>
        </is>
      </c>
      <c r="R326" s="2" t="inlineStr">
        <is>
          <t>A.否</t>
        </is>
      </c>
      <c r="S326" s="2" t="inlineStr">
        <is>
          <t>A.保持当前工作内容和节奏，收入相对稳定即可</t>
        </is>
      </c>
      <c r="T326" s="2" t="inlineStr">
        <is>
          <t>A.基本满意，希望保持</t>
        </is>
      </c>
      <c r="U326" s="2" t="inlineStr">
        <is>
          <t>B.减少无效流转和返工</t>
        </is>
      </c>
      <c r="V326" s="2" t="inlineStr">
        <is>
          <t>A.没有</t>
        </is>
      </c>
      <c r="W326" s="2"/>
      <c r="X326" s="2" t="inlineStr">
        <is>
          <t>B.满负荷 (100%-120%)</t>
        </is>
      </c>
      <c r="Y326" s="2" t="inlineStr">
        <is>
          <t>A.岗位工作量饱和，已达人效上限</t>
        </is>
      </c>
      <c r="Z326" s="2" t="inlineStr">
        <is>
          <t>专业问题协调</t>
        </is>
      </c>
      <c r="AA326" s="2" t="inlineStr">
        <is>
          <t>专业问题协调</t>
        </is>
      </c>
      <c r="AB326" s="2" t="inlineStr">
        <is>
          <t>专业问题协调</t>
        </is>
      </c>
      <c r="AC326" s="2" t="inlineStr">
        <is>
          <t>A.高度匹配（得心应手）</t>
        </is>
      </c>
      <c r="AD326" s="2" t="inlineStr">
        <is>
          <t>听公司安排</t>
        </is>
      </c>
      <c r="AE326" s="2"/>
      <c r="AF326" s="2"/>
      <c r="AG326" s="2" t="inlineStr">
        <is>
          <t>D.配偶不是公司家属</t>
        </is>
      </c>
      <c r="AH326" s="2"/>
      <c r="AI326" s="7" t="n">
        <v>2</v>
      </c>
      <c r="AJ326" s="7" t="n">
        <v>2</v>
      </c>
      <c r="AK326" s="7" t="n">
        <v>0</v>
      </c>
      <c r="AL326" s="7" t="n">
        <v>0</v>
      </c>
      <c r="AM326" s="7" t="n">
        <v>0</v>
      </c>
      <c r="AN326" s="7" t="n">
        <v>0</v>
      </c>
      <c r="AO326" s="7" t="n">
        <v>0</v>
      </c>
      <c r="AP326" s="7" t="n">
        <v>0</v>
      </c>
      <c r="AQ326" s="7" t="n">
        <v>0</v>
      </c>
      <c r="AR326" s="7" t="n">
        <v>0</v>
      </c>
      <c r="AS326" s="7" t="n">
        <v>2</v>
      </c>
      <c r="AT326" s="7" t="n">
        <v>2</v>
      </c>
      <c r="AU326" s="7" t="n">
        <v>2</v>
      </c>
      <c r="AV326" s="2" t="inlineStr">
        <is>
          <t>非饱和</t>
        </is>
      </c>
      <c r="AW326" s="2" t="inlineStr">
        <is>
          <t>不一致</t>
        </is>
      </c>
      <c r="AX326" s="2" t="inlineStr">
        <is>
          <t>11a2e6ad-c2c5-45da-9ce5-f7692dc20e5e</t>
        </is>
      </c>
      <c r="AY326" s="2" t="inlineStr">
        <is>
          <t>安装一分公司    李明</t>
        </is>
      </c>
      <c r="AZ326" s="2" t="inlineStr">
        <is>
          <t>Anonymous</t>
        </is>
      </c>
      <c r="BA326" s="2" t="inlineStr">
        <is>
          <t>Anonymous</t>
        </is>
      </c>
      <c r="BB326" s="2"/>
      <c r="BC326" s="2" t="inlineStr">
        <is>
          <t>2026-05-21 08:43:22</t>
        </is>
      </c>
      <c r="BD326" s="3" t="n">
        <v>1975</v>
      </c>
      <c r="BE326" s="3" t="n">
        <v>51</v>
      </c>
      <c r="BF326" s="2" t="inlineStr">
        <is>
          <t>A.无此需求</t>
        </is>
      </c>
      <c r="BG326" s="2" t="inlineStr">
        <is>
          <t>已生效</t>
        </is>
      </c>
      <c r="BH326" s="2" t="inlineStr">
        <is>
          <t>d511cd54-f73e-4c69-9c4b-b923a4550c6b</t>
        </is>
      </c>
      <c r="BI326" s="3" t="n">
        <v>1</v>
      </c>
      <c r="BJ326" s="2"/>
      <c r="BK326" s="2"/>
      <c r="BL326" s="2"/>
      <c r="BM326" s="2"/>
      <c r="BN326" s="2"/>
      <c r="BO326" s="2"/>
      <c r="BP326" s="2"/>
      <c r="BQ326" s="2"/>
      <c r="BR326" s="2"/>
      <c r="BS326" s="2" t="inlineStr">
        <is>
          <t>3d0881cd-aeb3-4628-8b7e-2f0e3b76acb4</t>
        </is>
      </c>
      <c r="BT326" s="3" t="n">
        <v>1</v>
      </c>
      <c r="BU326" s="2" t="inlineStr">
        <is>
          <t>专业技术类</t>
        </is>
      </c>
      <c r="BV326" s="2" t="inlineStr">
        <is>
          <t>安装一分公司</t>
        </is>
      </c>
      <c r="BW326" s="2" t="inlineStr">
        <is>
          <t>1次</t>
        </is>
      </c>
      <c r="BX326" s="3" t="n">
        <v>1</v>
      </c>
      <c r="BY326" s="3" t="n">
        <v>1</v>
      </c>
      <c r="BZ326" s="2" t="inlineStr">
        <is>
          <t>B.2小时以内</t>
        </is>
      </c>
      <c r="CA326" s="7" t="n">
        <v>2</v>
      </c>
      <c r="CB326" s="7" t="n">
        <v>2</v>
      </c>
      <c r="CC326" s="7" t="n">
        <v>2</v>
      </c>
      <c r="CD326" s="7" t="n">
        <v>2</v>
      </c>
      <c r="CE326" s="2" t="inlineStr">
        <is>
          <t>专业技术类</t>
        </is>
      </c>
      <c r="CF326" s="2"/>
      <c r="CG326" s="2" t="inlineStr">
        <is>
          <t>专业问题协调</t>
        </is>
      </c>
      <c r="CH326" s="2" t="inlineStr">
        <is>
          <t>上级指令</t>
        </is>
      </c>
      <c r="CI326" s="2" t="inlineStr">
        <is>
          <t>重要且紧急</t>
        </is>
      </c>
      <c r="CJ326" s="2" t="inlineStr">
        <is>
          <t>高度标准化-有成熟SOP，照做即可</t>
        </is>
      </c>
      <c r="CK326" s="2" t="inlineStr">
        <is>
          <t>极少（&lt;5%）</t>
        </is>
      </c>
      <c r="CL326" s="2" t="inlineStr">
        <is>
          <t>时效/强度负荷</t>
        </is>
      </c>
      <c r="CM326" s="2"/>
      <c r="CN326" s="2" t="inlineStr">
        <is>
          <t>24d520ec-f677-4f92-b04a-6dbb00aba8fe</t>
        </is>
      </c>
      <c r="CO326" s="3" t="n">
        <v>1</v>
      </c>
      <c r="CP326" s="2"/>
      <c r="CQ326" s="2"/>
      <c r="CR326" s="2"/>
      <c r="CS326" s="3"/>
      <c r="CT326" s="3"/>
      <c r="CU326" s="2"/>
      <c r="CV326" s="3"/>
      <c r="CW326" s="3"/>
      <c r="CX326" s="3"/>
      <c r="CY326" s="3"/>
      <c r="CZ326" s="2"/>
      <c r="DA326" s="2"/>
      <c r="DB326" s="2"/>
      <c r="DC326" s="2"/>
      <c r="DD326" s="2"/>
      <c r="DE326" s="2"/>
      <c r="DF326" s="2"/>
      <c r="DG326" s="2"/>
      <c r="DH326" s="2"/>
      <c r="DI326" s="2" t="inlineStr">
        <is>
          <t>54d64fcc-323a-4001-9fca-74cac60d56d2</t>
        </is>
      </c>
      <c r="DJ326" s="3" t="n">
        <v>1</v>
      </c>
      <c r="DK326" s="2"/>
      <c r="DL326" s="2"/>
      <c r="DM326" s="2"/>
      <c r="DN326" s="3"/>
      <c r="DO326" s="3"/>
      <c r="DP326" s="2"/>
      <c r="DQ326" s="3"/>
      <c r="DR326" s="3"/>
      <c r="DS326" s="3"/>
      <c r="DT326" s="3"/>
      <c r="DU326" s="2"/>
      <c r="DV326" s="2"/>
      <c r="DW326" s="2"/>
      <c r="DX326" s="2"/>
      <c r="DY326" s="2"/>
      <c r="DZ326" s="2"/>
      <c r="EA326" s="2"/>
      <c r="EB326" s="2"/>
      <c r="EC326" s="2"/>
      <c r="ED326" s="2" t="inlineStr">
        <is>
          <t>cd5b9225-6ca3-4bda-9537-e7d7d767154d</t>
        </is>
      </c>
      <c r="EE326" s="3" t="n">
        <v>1</v>
      </c>
      <c r="EF326" s="2"/>
      <c r="EG326" s="2"/>
      <c r="EH326" s="2"/>
      <c r="EI326" s="3"/>
      <c r="EJ326" s="2"/>
      <c r="EK326" s="3"/>
      <c r="EL326" s="3"/>
      <c r="EM326" s="3"/>
      <c r="EN326" s="3"/>
      <c r="EO326" s="2"/>
      <c r="EP326" s="2"/>
      <c r="EQ326" s="2"/>
      <c r="ER326" s="2"/>
      <c r="ES326" s="2"/>
      <c r="ET326" s="2"/>
      <c r="EU326" s="2"/>
      <c r="EV326" s="2"/>
      <c r="EW326" s="2"/>
      <c r="EX326" s="2" t="inlineStr">
        <is>
          <t>79bd82b5-de95-4dbd-ac5f-9b8ba197ee4c</t>
        </is>
      </c>
      <c r="EY326" s="3" t="n">
        <v>1</v>
      </c>
      <c r="EZ326" s="2"/>
      <c r="FA326" s="2"/>
      <c r="FB326" s="2"/>
      <c r="FC326" s="2"/>
      <c r="FD326" s="3"/>
      <c r="FE326" s="3"/>
      <c r="FF326" s="2"/>
      <c r="FG326" s="3"/>
      <c r="FH326" s="3"/>
      <c r="FI326" s="7" t="n">
        <v>0</v>
      </c>
      <c r="FJ326" s="7" t="n">
        <v>0</v>
      </c>
      <c r="FK326" s="7" t="n">
        <v>0</v>
      </c>
      <c r="FL326" s="7" t="n">
        <v>0</v>
      </c>
      <c r="FM326" s="7" t="n">
        <v>0</v>
      </c>
      <c r="FN326" s="7" t="n">
        <v>0</v>
      </c>
      <c r="FO326" s="2"/>
      <c r="FP326" s="2"/>
      <c r="FQ326" s="2"/>
      <c r="FR326" s="2"/>
      <c r="FS326" s="2"/>
      <c r="FT326" s="2"/>
      <c r="FU326" s="2"/>
      <c r="FV326" s="2"/>
      <c r="FW326" s="2"/>
    </row>
    <row r="327">
      <c r="A327" s="2" t="inlineStr">
        <is>
          <t>2026-05-07 10:51:51</t>
        </is>
      </c>
      <c r="B327" s="2" t="inlineStr">
        <is>
          <t>汪艳玲</t>
        </is>
      </c>
      <c r="C327" s="2" t="inlineStr">
        <is>
          <t>信息化中心</t>
        </is>
      </c>
      <c r="D327" s="2" t="inlineStr">
        <is>
          <t>女</t>
        </is>
      </c>
      <c r="E327" s="2" t="inlineStr">
        <is>
          <t>34081119870822514X</t>
        </is>
      </c>
      <c r="F327" s="2" t="inlineStr">
        <is>
          <t>专业工程师</t>
        </is>
      </c>
      <c r="G327" s="2" t="inlineStr">
        <is>
          <t>2009-08</t>
        </is>
      </c>
      <c r="H327" s="2" t="inlineStr">
        <is>
          <t>安徽理工大学</t>
        </is>
      </c>
      <c r="I327" s="2" t="inlineStr">
        <is>
          <t>化机</t>
        </is>
      </c>
      <c r="J327" s="2" t="inlineStr">
        <is>
          <t>本科</t>
        </is>
      </c>
      <c r="K327" s="2"/>
      <c r="L327" s="6">
        <f>HYPERLINK("https://www.h3yun.com/Form/Attachments/?schemacode=D1483577de63ede327d4760b10664bd57671d7e&amp;bizObjectId=538c2e13-5896-48cc-a2bb-bc434b146d18&amp;name=F0000046","点击查看")</f>
        <v>0</v>
      </c>
      <c r="M327" s="2" t="inlineStr">
        <is>
          <t>无</t>
        </is>
      </c>
      <c r="N327" s="2" t="inlineStr">
        <is>
          <t>每日工作;每月工作;每季度/阶段性工作</t>
        </is>
      </c>
      <c r="O327" s="2" t="inlineStr">
        <is>
          <t>30-40岁</t>
        </is>
      </c>
      <c r="P327" s="2" t="inlineStr">
        <is>
          <t>C.已婚已育</t>
        </is>
      </c>
      <c r="Q327" s="2" t="inlineStr">
        <is>
          <t>A.否</t>
        </is>
      </c>
      <c r="R327" s="2" t="inlineStr">
        <is>
          <t>A.否</t>
        </is>
      </c>
      <c r="S327" s="2" t="inlineStr">
        <is>
          <t>A.保持当前工作内容和节奏，收入相对稳定即可</t>
        </is>
      </c>
      <c r="T327" s="2" t="inlineStr">
        <is>
          <t>A.基本满意，希望保持</t>
        </is>
      </c>
      <c r="U327" s="2" t="inlineStr">
        <is>
          <t>C.增加弹性和稳定性</t>
        </is>
      </c>
      <c r="V327" s="2" t="inlineStr">
        <is>
          <t>A.没有</t>
        </is>
      </c>
      <c r="W327" s="2"/>
      <c r="X327" s="2" t="inlineStr">
        <is>
          <t>B.满负荷 (100%-120%)</t>
        </is>
      </c>
      <c r="Y327" s="2" t="inlineStr">
        <is>
          <t>G.接收到任务分配单完成周期内要求的加班</t>
        </is>
      </c>
      <c r="Z327" s="2" t="inlineStr">
        <is>
          <t>专业问题协调</t>
        </is>
      </c>
      <c r="AA327" s="2" t="inlineStr">
        <is>
          <t>月报</t>
        </is>
      </c>
      <c r="AB327" s="2" t="inlineStr">
        <is>
          <t>专业问题协调</t>
        </is>
      </c>
      <c r="AC327" s="2" t="inlineStr">
        <is>
          <t>A.高度匹配（得心应手）</t>
        </is>
      </c>
      <c r="AD327" s="2" t="inlineStr">
        <is>
          <t>无</t>
        </is>
      </c>
      <c r="AE327" s="2" t="inlineStr">
        <is>
          <t>无</t>
        </is>
      </c>
      <c r="AF327" s="2" t="inlineStr">
        <is>
          <t>无</t>
        </is>
      </c>
      <c r="AG327" s="2" t="inlineStr">
        <is>
          <t>D.配偶不是公司家属</t>
        </is>
      </c>
      <c r="AH327" s="2" t="inlineStr">
        <is>
          <t>C.无意向</t>
        </is>
      </c>
      <c r="AI327" s="7" t="n">
        <v>12</v>
      </c>
      <c r="AJ327" s="7" t="n">
        <v>20</v>
      </c>
      <c r="AK327" s="7" t="n">
        <v>0</v>
      </c>
      <c r="AL327" s="7" t="n">
        <v>0</v>
      </c>
      <c r="AM327" s="7" t="n">
        <v>0.09</v>
      </c>
      <c r="AN327" s="7" t="n">
        <v>0.09</v>
      </c>
      <c r="AO327" s="7" t="n">
        <v>0.03</v>
      </c>
      <c r="AP327" s="7" t="n">
        <v>0.03</v>
      </c>
      <c r="AQ327" s="7" t="n">
        <v>0</v>
      </c>
      <c r="AR327" s="7" t="n">
        <v>0</v>
      </c>
      <c r="AS327" s="7" t="n">
        <v>12.12</v>
      </c>
      <c r="AT327" s="7" t="n">
        <v>20.12</v>
      </c>
      <c r="AU327" s="7" t="n">
        <v>16.12</v>
      </c>
      <c r="AV327" s="2" t="inlineStr">
        <is>
          <t>超负荷</t>
        </is>
      </c>
      <c r="AW327" s="2" t="inlineStr">
        <is>
          <t>不一致</t>
        </is>
      </c>
      <c r="AX327" s="2" t="inlineStr">
        <is>
          <t>538c2e13-5896-48cc-a2bb-bc434b146d18</t>
        </is>
      </c>
      <c r="AY327" s="2" t="inlineStr">
        <is>
          <t>信息化中心    汪艳玲</t>
        </is>
      </c>
      <c r="AZ327" s="2" t="inlineStr">
        <is>
          <t>Anonymous</t>
        </is>
      </c>
      <c r="BA327" s="2" t="inlineStr">
        <is>
          <t>Anonymous</t>
        </is>
      </c>
      <c r="BB327" s="2"/>
      <c r="BC327" s="2" t="inlineStr">
        <is>
          <t>2026-05-21 08:43:22</t>
        </is>
      </c>
      <c r="BD327" s="3" t="n">
        <v>1987</v>
      </c>
      <c r="BE327" s="3" t="n">
        <v>39</v>
      </c>
      <c r="BF327" s="2" t="inlineStr">
        <is>
          <t>A.无此需求</t>
        </is>
      </c>
      <c r="BG327" s="2" t="inlineStr">
        <is>
          <t>已生效</t>
        </is>
      </c>
      <c r="BH327" s="2" t="inlineStr">
        <is>
          <t>c214f88e-3abe-45cc-9ae4-a4d8b54dad6e</t>
        </is>
      </c>
      <c r="BI327" s="3" t="n">
        <v>1</v>
      </c>
      <c r="BJ327" s="2"/>
      <c r="BK327" s="2"/>
      <c r="BL327" s="2"/>
      <c r="BM327" s="2"/>
      <c r="BN327" s="2"/>
      <c r="BO327" s="2"/>
      <c r="BP327" s="2"/>
      <c r="BQ327" s="2"/>
      <c r="BR327" s="2"/>
      <c r="BS327" s="2" t="inlineStr">
        <is>
          <t>93961b54-958b-4bfb-83b8-0b92e7dcbcaa</t>
        </is>
      </c>
      <c r="BT327" s="3" t="n">
        <v>1</v>
      </c>
      <c r="BU327" s="2" t="inlineStr">
        <is>
          <t>专业技术类</t>
        </is>
      </c>
      <c r="BV327" s="2" t="inlineStr">
        <is>
          <t>ERP维护</t>
        </is>
      </c>
      <c r="BW327" s="2" t="inlineStr">
        <is>
          <t>6-10次</t>
        </is>
      </c>
      <c r="BX327" s="3" t="n">
        <v>6</v>
      </c>
      <c r="BY327" s="3" t="n">
        <v>10</v>
      </c>
      <c r="BZ327" s="2" t="inlineStr">
        <is>
          <t>B.2小时以内</t>
        </is>
      </c>
      <c r="CA327" s="7" t="n">
        <v>2</v>
      </c>
      <c r="CB327" s="7" t="n">
        <v>2</v>
      </c>
      <c r="CC327" s="7" t="n">
        <v>12</v>
      </c>
      <c r="CD327" s="7" t="n">
        <v>20</v>
      </c>
      <c r="CE327" s="2" t="inlineStr">
        <is>
          <t>专业技术类</t>
        </is>
      </c>
      <c r="CF327" s="2"/>
      <c r="CG327" s="2" t="inlineStr">
        <is>
          <t>专业问题协调</t>
        </is>
      </c>
      <c r="CH327" s="2" t="inlineStr">
        <is>
          <t>跨部门协同</t>
        </is>
      </c>
      <c r="CI327" s="2" t="inlineStr">
        <is>
          <t>重要且紧急</t>
        </is>
      </c>
      <c r="CJ327" s="2" t="inlineStr">
        <is>
          <t>半标准化-有流程框架，需专业经验</t>
        </is>
      </c>
      <c r="CK327" s="2" t="inlineStr">
        <is>
          <t>极少（&lt;5%）</t>
        </is>
      </c>
      <c r="CL327" s="2" t="inlineStr">
        <is>
          <t>时效/强度负荷</t>
        </is>
      </c>
      <c r="CM327" s="2"/>
      <c r="CN327" s="2" t="inlineStr">
        <is>
          <t>564b3b8a-3c0c-475e-9a18-39eb7367dbc8</t>
        </is>
      </c>
      <c r="CO327" s="3" t="n">
        <v>1</v>
      </c>
      <c r="CP327" s="2"/>
      <c r="CQ327" s="2"/>
      <c r="CR327" s="2"/>
      <c r="CS327" s="3"/>
      <c r="CT327" s="3"/>
      <c r="CU327" s="2"/>
      <c r="CV327" s="3"/>
      <c r="CW327" s="3"/>
      <c r="CX327" s="3"/>
      <c r="CY327" s="3"/>
      <c r="CZ327" s="2"/>
      <c r="DA327" s="2"/>
      <c r="DB327" s="2"/>
      <c r="DC327" s="2"/>
      <c r="DD327" s="2"/>
      <c r="DE327" s="2"/>
      <c r="DF327" s="2"/>
      <c r="DG327" s="2"/>
      <c r="DH327" s="2"/>
      <c r="DI327" s="2" t="inlineStr">
        <is>
          <t>bf07c9bb-7dc4-433c-92e6-8c98af9f6c93</t>
        </is>
      </c>
      <c r="DJ327" s="3" t="n">
        <v>1</v>
      </c>
      <c r="DK327" s="2"/>
      <c r="DL327" s="2" t="inlineStr">
        <is>
          <t>月报及其他文档</t>
        </is>
      </c>
      <c r="DM327" s="2" t="inlineStr">
        <is>
          <t>1次</t>
        </is>
      </c>
      <c r="DN327" s="3" t="n">
        <v>1</v>
      </c>
      <c r="DO327" s="3" t="n">
        <v>1</v>
      </c>
      <c r="DP327" s="2" t="inlineStr">
        <is>
          <t>B.2小时以内</t>
        </is>
      </c>
      <c r="DQ327" s="7" t="n">
        <v>2</v>
      </c>
      <c r="DR327" s="7" t="n">
        <v>2</v>
      </c>
      <c r="DS327" s="7" t="n">
        <v>2</v>
      </c>
      <c r="DT327" s="7" t="n">
        <v>2</v>
      </c>
      <c r="DU327" s="2" t="inlineStr">
        <is>
          <t>数据报表类</t>
        </is>
      </c>
      <c r="DV327" s="2"/>
      <c r="DW327" s="2" t="inlineStr">
        <is>
          <t>月报</t>
        </is>
      </c>
      <c r="DX327" s="2" t="inlineStr">
        <is>
          <t>上级指令</t>
        </is>
      </c>
      <c r="DY327" s="2" t="inlineStr">
        <is>
          <t>重要不紧急</t>
        </is>
      </c>
      <c r="DZ327" s="2" t="inlineStr">
        <is>
          <t>高度标准化-有成熟SOP，照做即可</t>
        </is>
      </c>
      <c r="EA327" s="2" t="inlineStr">
        <is>
          <t>极少（&lt;5%）</t>
        </is>
      </c>
      <c r="EB327" s="2" t="inlineStr">
        <is>
          <t>脑力/复杂度负荷</t>
        </is>
      </c>
      <c r="EC327" s="2"/>
      <c r="ED327" s="2" t="inlineStr">
        <is>
          <t>b7b4fca3-6217-4966-ba39-cbcb0bf467f8</t>
        </is>
      </c>
      <c r="EE327" s="3" t="n">
        <v>1</v>
      </c>
      <c r="EF327" s="2"/>
      <c r="EG327" s="2" t="inlineStr">
        <is>
          <t>两化融合ERP介绍</t>
        </is>
      </c>
      <c r="EH327" s="2" t="inlineStr">
        <is>
          <t>1次</t>
        </is>
      </c>
      <c r="EI327" s="3" t="n">
        <v>1</v>
      </c>
      <c r="EJ327" s="2" t="inlineStr">
        <is>
          <t>E.8小时以上</t>
        </is>
      </c>
      <c r="EK327" s="7" t="n">
        <v>8</v>
      </c>
      <c r="EL327" s="7" t="n">
        <v>8</v>
      </c>
      <c r="EM327" s="7" t="n">
        <v>8</v>
      </c>
      <c r="EN327" s="7" t="n">
        <v>8</v>
      </c>
      <c r="EO327" s="2" t="inlineStr">
        <is>
          <t>监督检查类</t>
        </is>
      </c>
      <c r="EP327" s="2"/>
      <c r="EQ327" s="2" t="inlineStr">
        <is>
          <t>专项检查</t>
        </is>
      </c>
      <c r="ER327" s="2" t="inlineStr">
        <is>
          <t>部门计划</t>
        </is>
      </c>
      <c r="ES327" s="2" t="inlineStr">
        <is>
          <t>重要不紧急</t>
        </is>
      </c>
      <c r="ET327" s="2" t="inlineStr">
        <is>
          <t>半标准化-有流程框架，需专业经验</t>
        </is>
      </c>
      <c r="EU327" s="2" t="inlineStr">
        <is>
          <t>极少（&lt;5%）</t>
        </is>
      </c>
      <c r="EV327" s="2" t="inlineStr">
        <is>
          <t>责任/风险负荷</t>
        </is>
      </c>
      <c r="EW327" s="2"/>
      <c r="EX327" s="2" t="inlineStr">
        <is>
          <t>e4d68014-6661-4899-a970-d69112a1ac43</t>
        </is>
      </c>
      <c r="EY327" s="3" t="n">
        <v>1</v>
      </c>
      <c r="EZ327" s="2"/>
      <c r="FA327" s="2"/>
      <c r="FB327" s="2"/>
      <c r="FC327" s="2"/>
      <c r="FD327" s="3"/>
      <c r="FE327" s="3"/>
      <c r="FF327" s="2"/>
      <c r="FG327" s="3"/>
      <c r="FH327" s="3"/>
      <c r="FI327" s="7" t="n">
        <v>0</v>
      </c>
      <c r="FJ327" s="7" t="n">
        <v>0</v>
      </c>
      <c r="FK327" s="7" t="n">
        <v>0</v>
      </c>
      <c r="FL327" s="7" t="n">
        <v>0</v>
      </c>
      <c r="FM327" s="7" t="n">
        <v>0</v>
      </c>
      <c r="FN327" s="7" t="n">
        <v>0</v>
      </c>
      <c r="FO327" s="2"/>
      <c r="FP327" s="2"/>
      <c r="FQ327" s="2"/>
      <c r="FR327" s="2"/>
      <c r="FS327" s="2"/>
      <c r="FT327" s="2"/>
      <c r="FU327" s="2"/>
      <c r="FV327" s="2"/>
      <c r="FW327" s="2"/>
    </row>
    <row r="328">
      <c r="A328" s="2" t="inlineStr">
        <is>
          <t>2026-05-07 10:43:36</t>
        </is>
      </c>
      <c r="B328" s="2" t="inlineStr">
        <is>
          <t>薛斌</t>
        </is>
      </c>
      <c r="C328" s="2" t="inlineStr">
        <is>
          <t>信息化中心</t>
        </is>
      </c>
      <c r="D328" s="2" t="inlineStr">
        <is>
          <t>男</t>
        </is>
      </c>
      <c r="E328" s="2" t="inlineStr">
        <is>
          <t>320111199611023616</t>
        </is>
      </c>
      <c r="F328" s="2" t="inlineStr">
        <is>
          <t>业务主管</t>
        </is>
      </c>
      <c r="G328" s="2" t="inlineStr">
        <is>
          <t>2019-08</t>
        </is>
      </c>
      <c r="H328" s="2" t="inlineStr">
        <is>
          <t>南京理工大学泰州科技学院</t>
        </is>
      </c>
      <c r="I328" s="2" t="inlineStr">
        <is>
          <t>其他</t>
        </is>
      </c>
      <c r="J328" s="2" t="inlineStr">
        <is>
          <t>本科</t>
        </is>
      </c>
      <c r="K328" s="2"/>
      <c r="L328" s="6">
        <f>HYPERLINK("https://www.h3yun.com/Form/Attachments/?schemacode=D1483577de63ede327d4760b10664bd57671d7e&amp;bizObjectId=3079514e-d675-456c-a00d-b5dea98bf407&amp;name=F0000046","点击查看")</f>
        <v>0</v>
      </c>
      <c r="M328" s="2" t="inlineStr">
        <is>
          <t>暂无</t>
        </is>
      </c>
      <c r="N328" s="2" t="inlineStr">
        <is>
          <t>每周工作;每月工作;每季度/阶段性工作;临时/突发工作</t>
        </is>
      </c>
      <c r="O328" s="2" t="inlineStr">
        <is>
          <t>26-30岁</t>
        </is>
      </c>
      <c r="P328" s="2" t="inlineStr">
        <is>
          <t>A.未婚</t>
        </is>
      </c>
      <c r="Q328" s="2" t="inlineStr">
        <is>
          <t>A.否</t>
        </is>
      </c>
      <c r="R328" s="2" t="inlineStr">
        <is>
          <t>A.否</t>
        </is>
      </c>
      <c r="S328" s="2" t="inlineStr">
        <is>
          <t>D.希望承担更有挑战性的工作，并争取更大发展空间</t>
        </is>
      </c>
      <c r="T328" s="2" t="inlineStr">
        <is>
          <t>C.工作较稳定，但发展空间不足</t>
        </is>
      </c>
      <c r="U328" s="2" t="inlineStr">
        <is>
          <t>D.明确职责边界</t>
        </is>
      </c>
      <c r="V328" s="2" t="inlineStr">
        <is>
          <t>A.没有</t>
        </is>
      </c>
      <c r="W328" s="2"/>
      <c r="X328" s="2" t="inlineStr">
        <is>
          <t>C.均衡 (80%-100%)</t>
        </is>
      </c>
      <c r="Y328" s="2" t="inlineStr">
        <is>
          <t>E.临时差旅、突发事件、会议加班</t>
        </is>
      </c>
      <c r="Z328" s="2" t="inlineStr">
        <is>
          <t>无</t>
        </is>
      </c>
      <c r="AA328" s="2" t="inlineStr">
        <is>
          <t>催办</t>
        </is>
      </c>
      <c r="AB328" s="2" t="inlineStr">
        <is>
          <t>无</t>
        </is>
      </c>
      <c r="AC328" s="2" t="inlineStr">
        <is>
          <t>B.基本匹配（正常履行）</t>
        </is>
      </c>
      <c r="AD328" s="2" t="inlineStr">
        <is>
          <t>暂无</t>
        </is>
      </c>
      <c r="AE328" s="2" t="inlineStr">
        <is>
          <t>没有觉得不妥</t>
        </is>
      </c>
      <c r="AF328" s="2" t="inlineStr">
        <is>
          <t>暂无建议</t>
        </is>
      </c>
      <c r="AG328" s="2"/>
      <c r="AH328" s="2"/>
      <c r="AI328" s="7" t="n">
        <v>0</v>
      </c>
      <c r="AJ328" s="7" t="n">
        <v>0</v>
      </c>
      <c r="AK328" s="7" t="n">
        <v>0.47</v>
      </c>
      <c r="AL328" s="7" t="n">
        <v>0.87</v>
      </c>
      <c r="AM328" s="7" t="n">
        <v>0.09</v>
      </c>
      <c r="AN328" s="7" t="n">
        <v>0.09</v>
      </c>
      <c r="AO328" s="7" t="n">
        <v>0.03</v>
      </c>
      <c r="AP328" s="7" t="n">
        <v>0.03</v>
      </c>
      <c r="AQ328" s="7" t="n">
        <v>0.77</v>
      </c>
      <c r="AR328" s="7" t="n">
        <v>0.95</v>
      </c>
      <c r="AS328" s="7" t="n">
        <v>1.35</v>
      </c>
      <c r="AT328" s="7" t="n">
        <v>1.94</v>
      </c>
      <c r="AU328" s="7" t="n">
        <v>1.65</v>
      </c>
      <c r="AV328" s="2" t="inlineStr">
        <is>
          <t>非饱和</t>
        </is>
      </c>
      <c r="AW328" s="2" t="inlineStr">
        <is>
          <t>不一致</t>
        </is>
      </c>
      <c r="AX328" s="2" t="inlineStr">
        <is>
          <t>3079514e-d675-456c-a00d-b5dea98bf407</t>
        </is>
      </c>
      <c r="AY328" s="2" t="inlineStr">
        <is>
          <t>信息化中心    薛斌</t>
        </is>
      </c>
      <c r="AZ328" s="2" t="inlineStr">
        <is>
          <t>Anonymous</t>
        </is>
      </c>
      <c r="BA328" s="2" t="inlineStr">
        <is>
          <t>Anonymous</t>
        </is>
      </c>
      <c r="BB328" s="2"/>
      <c r="BC328" s="2" t="inlineStr">
        <is>
          <t>2026-05-21 08:43:22</t>
        </is>
      </c>
      <c r="BD328" s="3" t="n">
        <v>1996</v>
      </c>
      <c r="BE328" s="3" t="n">
        <v>30</v>
      </c>
      <c r="BF328" s="2" t="inlineStr">
        <is>
          <t>A.无此需求</t>
        </is>
      </c>
      <c r="BG328" s="2" t="inlineStr">
        <is>
          <t>已生效</t>
        </is>
      </c>
      <c r="BH328" s="2" t="inlineStr">
        <is>
          <t>51e76359-d79e-40d8-aa87-c65d684489ee</t>
        </is>
      </c>
      <c r="BI328" s="3" t="n">
        <v>1</v>
      </c>
      <c r="BJ328" s="2"/>
      <c r="BK328" s="2"/>
      <c r="BL328" s="2"/>
      <c r="BM328" s="2"/>
      <c r="BN328" s="2"/>
      <c r="BO328" s="2"/>
      <c r="BP328" s="2"/>
      <c r="BQ328" s="2"/>
      <c r="BR328" s="2"/>
      <c r="BS328" s="2" t="inlineStr">
        <is>
          <t>ea6070c3-f650-4d45-b21c-2d098a462f90</t>
        </is>
      </c>
      <c r="BT328" s="3" t="n">
        <v>1</v>
      </c>
      <c r="BU328" s="2"/>
      <c r="BV328" s="2"/>
      <c r="BW328" s="2"/>
      <c r="BX328" s="3"/>
      <c r="BY328" s="3"/>
      <c r="BZ328" s="2"/>
      <c r="CA328" s="3"/>
      <c r="CB328" s="3"/>
      <c r="CC328" s="3"/>
      <c r="CD328" s="3"/>
      <c r="CE328" s="2"/>
      <c r="CF328" s="2"/>
      <c r="CG328" s="2"/>
      <c r="CH328" s="2"/>
      <c r="CI328" s="2"/>
      <c r="CJ328" s="2"/>
      <c r="CK328" s="2"/>
      <c r="CL328" s="2"/>
      <c r="CM328" s="2"/>
      <c r="CN328" s="2" t="inlineStr">
        <is>
          <t>178f7252-9de8-4259-9046-b734f13a3988</t>
        </is>
      </c>
      <c r="CO328" s="3" t="n">
        <v>1</v>
      </c>
      <c r="CP328" s="2"/>
      <c r="CQ328" s="2" t="inlineStr">
        <is>
          <t>服务器备份</t>
        </is>
      </c>
      <c r="CR328" s="2" t="inlineStr">
        <is>
          <t>1次</t>
        </is>
      </c>
      <c r="CS328" s="3" t="n">
        <v>1</v>
      </c>
      <c r="CT328" s="3" t="n">
        <v>1</v>
      </c>
      <c r="CU328" s="2" t="inlineStr">
        <is>
          <t>C.2-4小时</t>
        </is>
      </c>
      <c r="CV328" s="7" t="n">
        <v>2</v>
      </c>
      <c r="CW328" s="7" t="n">
        <v>4</v>
      </c>
      <c r="CX328" s="7" t="n">
        <v>2</v>
      </c>
      <c r="CY328" s="7" t="n">
        <v>4</v>
      </c>
      <c r="CZ328" s="2" t="inlineStr">
        <is>
          <t>其他</t>
        </is>
      </c>
      <c r="DA328" s="2"/>
      <c r="DB328" s="2"/>
      <c r="DC328" s="2" t="inlineStr">
        <is>
          <t>上级指令</t>
        </is>
      </c>
      <c r="DD328" s="2" t="inlineStr">
        <is>
          <t>重要不紧急</t>
        </is>
      </c>
      <c r="DE328" s="2" t="inlineStr">
        <is>
          <t>高度标准化-有成熟SOP，照做即可</t>
        </is>
      </c>
      <c r="DF328" s="2" t="inlineStr">
        <is>
          <t>极少（&lt;5%）</t>
        </is>
      </c>
      <c r="DG328" s="2" t="inlineStr">
        <is>
          <t>责任/风险负荷</t>
        </is>
      </c>
      <c r="DH328" s="2"/>
      <c r="DI328" s="2" t="inlineStr">
        <is>
          <t>a08b8e24-9261-44b4-8bc8-6757903b1922</t>
        </is>
      </c>
      <c r="DJ328" s="3" t="n">
        <v>1</v>
      </c>
      <c r="DK328" s="2"/>
      <c r="DL328" s="2" t="inlineStr">
        <is>
          <t>月报</t>
        </is>
      </c>
      <c r="DM328" s="2" t="inlineStr">
        <is>
          <t>1次</t>
        </is>
      </c>
      <c r="DN328" s="3" t="n">
        <v>1</v>
      </c>
      <c r="DO328" s="3" t="n">
        <v>1</v>
      </c>
      <c r="DP328" s="2" t="inlineStr">
        <is>
          <t>B.2小时以内</t>
        </is>
      </c>
      <c r="DQ328" s="7" t="n">
        <v>2</v>
      </c>
      <c r="DR328" s="7" t="n">
        <v>2</v>
      </c>
      <c r="DS328" s="7" t="n">
        <v>2</v>
      </c>
      <c r="DT328" s="7" t="n">
        <v>2</v>
      </c>
      <c r="DU328" s="2" t="inlineStr">
        <is>
          <t>数据报表类</t>
        </is>
      </c>
      <c r="DV328" s="2"/>
      <c r="DW328" s="2" t="inlineStr">
        <is>
          <t>月报</t>
        </is>
      </c>
      <c r="DX328" s="2" t="inlineStr">
        <is>
          <t>上级指令</t>
        </is>
      </c>
      <c r="DY328" s="2" t="inlineStr">
        <is>
          <t>重要不紧急</t>
        </is>
      </c>
      <c r="DZ328" s="2" t="inlineStr">
        <is>
          <t>高度标准化-有成熟SOP，照做即可</t>
        </is>
      </c>
      <c r="EA328" s="2" t="inlineStr">
        <is>
          <t>极少（&lt;5%）</t>
        </is>
      </c>
      <c r="EB328" s="2" t="inlineStr">
        <is>
          <t>沟通/协调负荷</t>
        </is>
      </c>
      <c r="EC328" s="2"/>
      <c r="ED328" s="2" t="inlineStr">
        <is>
          <t>72874ef5-3078-4d44-a756-ef583e10e1ea</t>
        </is>
      </c>
      <c r="EE328" s="3" t="n">
        <v>1</v>
      </c>
      <c r="EF328" s="2"/>
      <c r="EG328" s="2" t="inlineStr">
        <is>
          <t>固定资产盘点</t>
        </is>
      </c>
      <c r="EH328" s="2" t="inlineStr">
        <is>
          <t>1次</t>
        </is>
      </c>
      <c r="EI328" s="3" t="n">
        <v>1</v>
      </c>
      <c r="EJ328" s="2" t="inlineStr">
        <is>
          <t>E.8小时以上</t>
        </is>
      </c>
      <c r="EK328" s="7" t="n">
        <v>8</v>
      </c>
      <c r="EL328" s="7" t="n">
        <v>8</v>
      </c>
      <c r="EM328" s="7" t="n">
        <v>8</v>
      </c>
      <c r="EN328" s="7" t="n">
        <v>8</v>
      </c>
      <c r="EO328" s="2" t="inlineStr">
        <is>
          <t>其他</t>
        </is>
      </c>
      <c r="EP328" s="2"/>
      <c r="EQ328" s="2"/>
      <c r="ER328" s="2" t="inlineStr">
        <is>
          <t>跨部门协同</t>
        </is>
      </c>
      <c r="ES328" s="2" t="inlineStr">
        <is>
          <t>重要且紧急</t>
        </is>
      </c>
      <c r="ET328" s="2" t="inlineStr">
        <is>
          <t>高度标准化-有成熟SOP，照做即可</t>
        </is>
      </c>
      <c r="EU328" s="2" t="inlineStr">
        <is>
          <t>极少（&lt;5%）</t>
        </is>
      </c>
      <c r="EV328" s="2" t="inlineStr">
        <is>
          <t>责任/风险负荷</t>
        </is>
      </c>
      <c r="EW328" s="2"/>
      <c r="EX328" s="2" t="inlineStr">
        <is>
          <t>4811a322-b904-4e6b-9f28-6dd844f510aa</t>
        </is>
      </c>
      <c r="EY328" s="3" t="n">
        <v>1</v>
      </c>
      <c r="EZ328" s="2"/>
      <c r="FA328" s="2" t="inlineStr">
        <is>
          <t>会议支持</t>
        </is>
      </c>
      <c r="FB328" s="2" t="inlineStr">
        <is>
          <t>每月1-2次</t>
        </is>
      </c>
      <c r="FC328" s="2" t="inlineStr">
        <is>
          <t>月</t>
        </is>
      </c>
      <c r="FD328" s="3" t="n">
        <v>1</v>
      </c>
      <c r="FE328" s="3" t="n">
        <v>2</v>
      </c>
      <c r="FF328" s="2" t="inlineStr">
        <is>
          <t>B.2小时以内</t>
        </is>
      </c>
      <c r="FG328" s="7" t="n">
        <v>2</v>
      </c>
      <c r="FH328" s="7" t="n">
        <v>2</v>
      </c>
      <c r="FI328" s="7" t="n">
        <v>2</v>
      </c>
      <c r="FJ328" s="7" t="n">
        <v>4</v>
      </c>
      <c r="FK328" s="7" t="n">
        <v>0</v>
      </c>
      <c r="FL328" s="7" t="n">
        <v>0</v>
      </c>
      <c r="FM328" s="7" t="n">
        <v>0</v>
      </c>
      <c r="FN328" s="7" t="n">
        <v>0</v>
      </c>
      <c r="FO328" s="2" t="inlineStr">
        <is>
          <t>其他</t>
        </is>
      </c>
      <c r="FP328" s="2"/>
      <c r="FQ328" s="2"/>
      <c r="FR328" s="2" t="inlineStr">
        <is>
          <t>跨部门协同</t>
        </is>
      </c>
      <c r="FS328" s="2" t="inlineStr">
        <is>
          <t>紧急不重要</t>
        </is>
      </c>
      <c r="FT328" s="2" t="inlineStr">
        <is>
          <t>高度标准化-有成熟SOP，照做即可</t>
        </is>
      </c>
      <c r="FU328" s="2" t="inlineStr">
        <is>
          <t>极少（&lt;5%）</t>
        </is>
      </c>
      <c r="FV328" s="2" t="inlineStr">
        <is>
          <t>责任/风险负荷</t>
        </is>
      </c>
      <c r="FW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t="inlineStr">
        <is>
          <t>a2b154d9-03d4-4821-a393-b43bc7a0c4bc</t>
        </is>
      </c>
      <c r="CO329" s="3" t="n">
        <v>2</v>
      </c>
      <c r="CP329" s="2"/>
      <c r="CQ329" s="2" t="inlineStr">
        <is>
          <t>机房检查</t>
        </is>
      </c>
      <c r="CR329" s="2" t="inlineStr">
        <is>
          <t>1次</t>
        </is>
      </c>
      <c r="CS329" s="3" t="n">
        <v>1</v>
      </c>
      <c r="CT329" s="3" t="n">
        <v>1</v>
      </c>
      <c r="CU329" s="2" t="inlineStr">
        <is>
          <t>A.20分钟以内</t>
        </is>
      </c>
      <c r="CV329" s="7" t="n">
        <v>0.33</v>
      </c>
      <c r="CW329" s="7" t="n">
        <v>0.33</v>
      </c>
      <c r="CX329" s="7" t="n">
        <v>0.33</v>
      </c>
      <c r="CY329" s="7" t="n">
        <v>0.33</v>
      </c>
      <c r="CZ329" s="2" t="inlineStr">
        <is>
          <t>专业技术类</t>
        </is>
      </c>
      <c r="DA329" s="2"/>
      <c r="DB329" s="2" t="inlineStr">
        <is>
          <t>专业问题协调</t>
        </is>
      </c>
      <c r="DC329" s="2" t="inlineStr">
        <is>
          <t>上级指令</t>
        </is>
      </c>
      <c r="DD329" s="2" t="inlineStr">
        <is>
          <t>重要不紧急</t>
        </is>
      </c>
      <c r="DE329" s="2" t="inlineStr">
        <is>
          <t>高度标准化-有成熟SOP，照做即可</t>
        </is>
      </c>
      <c r="DF329" s="2" t="inlineStr">
        <is>
          <t>极少（&lt;5%）</t>
        </is>
      </c>
      <c r="DG329" s="2" t="inlineStr">
        <is>
          <t>责任/风险负荷</t>
        </is>
      </c>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t="inlineStr">
        <is>
          <t>11fafb8f-0983-42e9-bd59-b1415a4b9268</t>
        </is>
      </c>
      <c r="EY329" s="3" t="n">
        <v>2</v>
      </c>
      <c r="EZ329" s="2"/>
      <c r="FA329" s="2" t="inlineStr">
        <is>
          <t>ERP功能添加与修改</t>
        </is>
      </c>
      <c r="FB329" s="2" t="inlineStr">
        <is>
          <t>每月3次以上</t>
        </is>
      </c>
      <c r="FC329" s="2" t="inlineStr">
        <is>
          <t>月</t>
        </is>
      </c>
      <c r="FD329" s="3" t="n">
        <v>3</v>
      </c>
      <c r="FE329" s="3" t="n">
        <v>3</v>
      </c>
      <c r="FF329" s="2" t="inlineStr">
        <is>
          <t>B.2小时以内</t>
        </is>
      </c>
      <c r="FG329" s="7" t="n">
        <v>2</v>
      </c>
      <c r="FH329" s="7" t="n">
        <v>2</v>
      </c>
      <c r="FI329" s="7" t="n">
        <v>6</v>
      </c>
      <c r="FJ329" s="7" t="n">
        <v>6</v>
      </c>
      <c r="FK329" s="7" t="n">
        <v>0</v>
      </c>
      <c r="FL329" s="7" t="n">
        <v>0</v>
      </c>
      <c r="FM329" s="7" t="n">
        <v>0</v>
      </c>
      <c r="FN329" s="7" t="n">
        <v>0</v>
      </c>
      <c r="FO329" s="2" t="inlineStr">
        <is>
          <t>专业技术类</t>
        </is>
      </c>
      <c r="FP329" s="2"/>
      <c r="FQ329" s="2" t="inlineStr">
        <is>
          <t>专业问题协调</t>
        </is>
      </c>
      <c r="FR329" s="2" t="inlineStr">
        <is>
          <t>上级指令</t>
        </is>
      </c>
      <c r="FS329" s="2" t="inlineStr">
        <is>
          <t>重要且紧急</t>
        </is>
      </c>
      <c r="FT329" s="2" t="inlineStr">
        <is>
          <t>半标准化-有流程框架，需专业经验</t>
        </is>
      </c>
      <c r="FU329" s="2" t="inlineStr">
        <is>
          <t>极少（&lt;5%）</t>
        </is>
      </c>
      <c r="FV329" s="2" t="inlineStr">
        <is>
          <t>脑力/复杂度负荷</t>
        </is>
      </c>
      <c r="FW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t="inlineStr">
        <is>
          <t>9a5988be-5361-4fee-a391-bb1fd7680f92</t>
        </is>
      </c>
      <c r="EY330" s="3" t="n">
        <v>3</v>
      </c>
      <c r="EZ330" s="2"/>
      <c r="FA330" s="2" t="inlineStr">
        <is>
          <t>帮助机关同事处理电脑问题</t>
        </is>
      </c>
      <c r="FB330" s="2" t="inlineStr">
        <is>
          <t>每月3次以上</t>
        </is>
      </c>
      <c r="FC330" s="2" t="inlineStr">
        <is>
          <t>月</t>
        </is>
      </c>
      <c r="FD330" s="3" t="n">
        <v>3</v>
      </c>
      <c r="FE330" s="3" t="n">
        <v>3</v>
      </c>
      <c r="FF330" s="2" t="inlineStr">
        <is>
          <t>B.2小时以内</t>
        </is>
      </c>
      <c r="FG330" s="7" t="n">
        <v>2</v>
      </c>
      <c r="FH330" s="7" t="n">
        <v>2</v>
      </c>
      <c r="FI330" s="7" t="n">
        <v>6</v>
      </c>
      <c r="FJ330" s="7" t="n">
        <v>6</v>
      </c>
      <c r="FK330" s="7" t="n">
        <v>0</v>
      </c>
      <c r="FL330" s="7" t="n">
        <v>0</v>
      </c>
      <c r="FM330" s="7" t="n">
        <v>0</v>
      </c>
      <c r="FN330" s="7" t="n">
        <v>0</v>
      </c>
      <c r="FO330" s="2" t="inlineStr">
        <is>
          <t>其他</t>
        </is>
      </c>
      <c r="FP330" s="2"/>
      <c r="FQ330" s="2"/>
      <c r="FR330" s="2" t="inlineStr">
        <is>
          <t>跨部门协同</t>
        </is>
      </c>
      <c r="FS330" s="2" t="inlineStr">
        <is>
          <t>重要且紧急</t>
        </is>
      </c>
      <c r="FT330" s="2" t="inlineStr">
        <is>
          <t>非标准化-无先例参考，需创新协调</t>
        </is>
      </c>
      <c r="FU330" s="2" t="inlineStr">
        <is>
          <t>极少（&lt;5%）</t>
        </is>
      </c>
      <c r="FV330" s="2" t="inlineStr">
        <is>
          <t>时效/强度负荷</t>
        </is>
      </c>
      <c r="FW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t="inlineStr">
        <is>
          <t>f3f78326-c789-47ba-b42f-f85f000baca6</t>
        </is>
      </c>
      <c r="EY331" s="3" t="n">
        <v>4</v>
      </c>
      <c r="EZ331" s="2"/>
      <c r="FA331" s="2" t="inlineStr">
        <is>
          <t>周围预制场、材料公司需要处理一些网络问题</t>
        </is>
      </c>
      <c r="FB331" s="2" t="inlineStr">
        <is>
          <t>每季1-2次</t>
        </is>
      </c>
      <c r="FC331" s="2" t="inlineStr">
        <is>
          <t>季</t>
        </is>
      </c>
      <c r="FD331" s="3" t="n">
        <v>1</v>
      </c>
      <c r="FE331" s="3" t="n">
        <v>2</v>
      </c>
      <c r="FF331" s="2" t="inlineStr">
        <is>
          <t>C.2-4小时</t>
        </is>
      </c>
      <c r="FG331" s="7" t="n">
        <v>2</v>
      </c>
      <c r="FH331" s="7" t="n">
        <v>4</v>
      </c>
      <c r="FI331" s="7" t="n">
        <v>0</v>
      </c>
      <c r="FJ331" s="7" t="n">
        <v>0</v>
      </c>
      <c r="FK331" s="7" t="n">
        <v>2</v>
      </c>
      <c r="FL331" s="7" t="n">
        <v>8</v>
      </c>
      <c r="FM331" s="7" t="n">
        <v>0</v>
      </c>
      <c r="FN331" s="7" t="n">
        <v>0</v>
      </c>
      <c r="FO331" s="2" t="inlineStr">
        <is>
          <t>专业技术类</t>
        </is>
      </c>
      <c r="FP331" s="2"/>
      <c r="FQ331" s="2" t="inlineStr">
        <is>
          <t>专业问题协调</t>
        </is>
      </c>
      <c r="FR331" s="2" t="inlineStr">
        <is>
          <t>跨部门协同</t>
        </is>
      </c>
      <c r="FS331" s="2" t="inlineStr">
        <is>
          <t>重要不紧急</t>
        </is>
      </c>
      <c r="FT331" s="2" t="inlineStr">
        <is>
          <t>半标准化-有流程框架，需专业经验</t>
        </is>
      </c>
      <c r="FU331" s="2" t="inlineStr">
        <is>
          <t>极少（&lt;5%）</t>
        </is>
      </c>
      <c r="FV331" s="2" t="inlineStr">
        <is>
          <t>沟通/协调负荷</t>
        </is>
      </c>
      <c r="FW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t="inlineStr">
        <is>
          <t>91dba62c-75df-4b2f-856d-f4ee8bc37176</t>
        </is>
      </c>
      <c r="EY332" s="3" t="n">
        <v>5</v>
      </c>
      <c r="EZ332" s="2"/>
      <c r="FA332" s="2" t="inlineStr">
        <is>
          <t>计算机以及配件采购</t>
        </is>
      </c>
      <c r="FB332" s="2" t="inlineStr">
        <is>
          <t>每季3次以上</t>
        </is>
      </c>
      <c r="FC332" s="2" t="inlineStr">
        <is>
          <t>季</t>
        </is>
      </c>
      <c r="FD332" s="3" t="n">
        <v>3</v>
      </c>
      <c r="FE332" s="3" t="n">
        <v>3</v>
      </c>
      <c r="FF332" s="2" t="inlineStr">
        <is>
          <t>B.2小时以内</t>
        </is>
      </c>
      <c r="FG332" s="7" t="n">
        <v>2</v>
      </c>
      <c r="FH332" s="7" t="n">
        <v>2</v>
      </c>
      <c r="FI332" s="7" t="n">
        <v>0</v>
      </c>
      <c r="FJ332" s="7" t="n">
        <v>0</v>
      </c>
      <c r="FK332" s="7" t="n">
        <v>6</v>
      </c>
      <c r="FL332" s="7" t="n">
        <v>6</v>
      </c>
      <c r="FM332" s="7" t="n">
        <v>0</v>
      </c>
      <c r="FN332" s="7" t="n">
        <v>0</v>
      </c>
      <c r="FO332" s="2" t="inlineStr">
        <is>
          <t>协调沟通类</t>
        </is>
      </c>
      <c r="FP332" s="2"/>
      <c r="FQ332" s="2" t="inlineStr">
        <is>
          <t>外部联络</t>
        </is>
      </c>
      <c r="FR332" s="2" t="inlineStr">
        <is>
          <t>跨部门协同</t>
        </is>
      </c>
      <c r="FS332" s="2" t="inlineStr">
        <is>
          <t>重要不紧急</t>
        </is>
      </c>
      <c r="FT332" s="2" t="inlineStr">
        <is>
          <t>高度标准化-有成熟SOP，照做即可</t>
        </is>
      </c>
      <c r="FU332" s="2" t="inlineStr">
        <is>
          <t>极少（&lt;5%）</t>
        </is>
      </c>
      <c r="FV332" s="2" t="inlineStr">
        <is>
          <t>沟通/协调负荷</t>
        </is>
      </c>
      <c r="FW332" s="2"/>
    </row>
    <row r="333">
      <c r="A333" s="2" t="inlineStr">
        <is>
          <t>2026-05-07 10:39:11</t>
        </is>
      </c>
      <c r="B333" s="2" t="inlineStr">
        <is>
          <t>周子豪</t>
        </is>
      </c>
      <c r="C333" s="2" t="inlineStr">
        <is>
          <t>南京永利重工制造有限公司</t>
        </is>
      </c>
      <c r="D333" s="2" t="inlineStr">
        <is>
          <t>男</t>
        </is>
      </c>
      <c r="E333" s="2" t="inlineStr">
        <is>
          <t>320122200501173212</t>
        </is>
      </c>
      <c r="F333" s="2" t="inlineStr">
        <is>
          <t>技术助理(四)</t>
        </is>
      </c>
      <c r="G333" s="2" t="inlineStr">
        <is>
          <t>2025-01</t>
        </is>
      </c>
      <c r="H333" s="2" t="inlineStr">
        <is>
          <t>无锡城市职业技术学院</t>
        </is>
      </c>
      <c r="I333" s="2" t="inlineStr">
        <is>
          <t>土建</t>
        </is>
      </c>
      <c r="J333" s="2" t="inlineStr">
        <is>
          <t>大专</t>
        </is>
      </c>
      <c r="K333" s="2"/>
      <c r="L333" s="6">
        <f>HYPERLINK("https://www.h3yun.com/Form/Attachments/?schemacode=D1483577de63ede327d4760b10664bd57671d7e&amp;bizObjectId=4d581345-576b-4b68-b07a-2c98d6065e2e&amp;name=F0000046","点击查看")</f>
        <v>0</v>
      </c>
      <c r="M333" s="2" t="inlineStr">
        <is>
          <t>当前合同、报销及员工个人信息等事项，因涉及人员多、询问常无反馈且相互推诿，最终仍需部门经理出面了解；同时，缺乏明确的格式规范，导致资料反复提交，造成大量重复劳动和等待时间。</t>
        </is>
      </c>
      <c r="N333" s="2" t="inlineStr">
        <is>
          <t>每日工作;每周工作;临时/突发工作</t>
        </is>
      </c>
      <c r="O333" s="2" t="inlineStr">
        <is>
          <t>25岁及以下</t>
        </is>
      </c>
      <c r="P333" s="2" t="inlineStr">
        <is>
          <t>A.未婚</t>
        </is>
      </c>
      <c r="Q333" s="2" t="inlineStr">
        <is>
          <t>A.否</t>
        </is>
      </c>
      <c r="R333" s="2" t="inlineStr">
        <is>
          <t>A.否</t>
        </is>
      </c>
      <c r="S333" s="2" t="inlineStr">
        <is>
          <t>E.愿意承担更高挑战和更大压力，以换取更高回报或晋升机会</t>
        </is>
      </c>
      <c r="T333" s="2" t="inlineStr">
        <is>
          <t>C.工作较稳定，但发展空间不足</t>
        </is>
      </c>
      <c r="U333" s="2" t="inlineStr">
        <is>
          <t>D.明确职责边界</t>
        </is>
      </c>
      <c r="V333" s="2" t="inlineStr">
        <is>
          <t>A.没有</t>
        </is>
      </c>
      <c r="W333" s="2"/>
      <c r="X333" s="2" t="inlineStr">
        <is>
          <t>B.满负荷 (100%-120%)</t>
        </is>
      </c>
      <c r="Y333" s="2" t="inlineStr">
        <is>
          <t>C.会议或日常协调过多，压缩产出时间;E.项目服务按照项目作息考勤制加班;G.接收到任务分配单完成周期内要求的加班</t>
        </is>
      </c>
      <c r="Z333" s="2" t="inlineStr">
        <is>
          <t>专题工作推进</t>
        </is>
      </c>
      <c r="AA333" s="2" t="inlineStr">
        <is>
          <t>合同流程</t>
        </is>
      </c>
      <c r="AB333" s="2" t="inlineStr">
        <is>
          <t>专业问题协调</t>
        </is>
      </c>
      <c r="AC333" s="2" t="inlineStr">
        <is>
          <t>B.基本匹配（正常履行）</t>
        </is>
      </c>
      <c r="AD333" s="2" t="inlineStr">
        <is>
          <t>建立统一的标准化提交流程与责任清单，明确各环节唯一对接人及模板，避免跨部门重复询问与经理兜底。</t>
        </is>
      </c>
      <c r="AE333" s="2"/>
      <c r="AF333" s="2"/>
      <c r="AG333" s="2"/>
      <c r="AH333" s="2"/>
      <c r="AI333" s="7" t="n">
        <v>4</v>
      </c>
      <c r="AJ333" s="7" t="n">
        <v>10</v>
      </c>
      <c r="AK333" s="7" t="n">
        <v>1.6</v>
      </c>
      <c r="AL333" s="7" t="n">
        <v>2</v>
      </c>
      <c r="AM333" s="7" t="n">
        <v>0</v>
      </c>
      <c r="AN333" s="7" t="n">
        <v>0</v>
      </c>
      <c r="AO333" s="7" t="n">
        <v>0</v>
      </c>
      <c r="AP333" s="7" t="n">
        <v>0</v>
      </c>
      <c r="AQ333" s="7" t="n">
        <v>0.27</v>
      </c>
      <c r="AR333" s="7" t="n">
        <v>0.55</v>
      </c>
      <c r="AS333" s="7" t="n">
        <v>5.87</v>
      </c>
      <c r="AT333" s="7" t="n">
        <v>12.55</v>
      </c>
      <c r="AU333" s="7" t="n">
        <v>9.21</v>
      </c>
      <c r="AV333" s="2" t="inlineStr">
        <is>
          <t>满负荷</t>
        </is>
      </c>
      <c r="AW333" s="2" t="inlineStr">
        <is>
          <t>一致</t>
        </is>
      </c>
      <c r="AX333" s="2" t="inlineStr">
        <is>
          <t>4d581345-576b-4b68-b07a-2c98d6065e2e</t>
        </is>
      </c>
      <c r="AY333" s="2" t="inlineStr">
        <is>
          <t>南京永利重工制造有限公司    周子豪</t>
        </is>
      </c>
      <c r="AZ333" s="2" t="inlineStr">
        <is>
          <t>Anonymous</t>
        </is>
      </c>
      <c r="BA333" s="2" t="inlineStr">
        <is>
          <t>Anonymous</t>
        </is>
      </c>
      <c r="BB333" s="2"/>
      <c r="BC333" s="2" t="inlineStr">
        <is>
          <t>2026-05-21 08:43:22</t>
        </is>
      </c>
      <c r="BD333" s="3" t="n">
        <v>2005</v>
      </c>
      <c r="BE333" s="3" t="n">
        <v>21</v>
      </c>
      <c r="BF333" s="2" t="inlineStr">
        <is>
          <t>A.无此需求</t>
        </is>
      </c>
      <c r="BG333" s="2" t="inlineStr">
        <is>
          <t>已生效</t>
        </is>
      </c>
      <c r="BH333" s="2" t="inlineStr">
        <is>
          <t>e960aa6e-62e2-44b8-807a-352c2df18318</t>
        </is>
      </c>
      <c r="BI333" s="3" t="n">
        <v>1</v>
      </c>
      <c r="BJ333" s="2"/>
      <c r="BK333" s="2"/>
      <c r="BL333" s="2"/>
      <c r="BM333" s="2"/>
      <c r="BN333" s="2"/>
      <c r="BO333" s="2"/>
      <c r="BP333" s="2"/>
      <c r="BQ333" s="2"/>
      <c r="BR333" s="2"/>
      <c r="BS333" s="2" t="inlineStr">
        <is>
          <t>1030f871-70e9-4d9e-a14f-3041525a0e7f</t>
        </is>
      </c>
      <c r="BT333" s="3" t="n">
        <v>1</v>
      </c>
      <c r="BU333" s="2" t="inlineStr">
        <is>
          <t>专业技术类</t>
        </is>
      </c>
      <c r="BV333" s="2" t="inlineStr">
        <is>
          <t>南京工程-金陵柴油轻馏分项目</t>
        </is>
      </c>
      <c r="BW333" s="2" t="inlineStr">
        <is>
          <t>2-5次</t>
        </is>
      </c>
      <c r="BX333" s="3" t="n">
        <v>2</v>
      </c>
      <c r="BY333" s="3" t="n">
        <v>5</v>
      </c>
      <c r="BZ333" s="2" t="inlineStr">
        <is>
          <t>B.2小时以内</t>
        </is>
      </c>
      <c r="CA333" s="7" t="n">
        <v>2</v>
      </c>
      <c r="CB333" s="7" t="n">
        <v>2</v>
      </c>
      <c r="CC333" s="7" t="n">
        <v>4</v>
      </c>
      <c r="CD333" s="7" t="n">
        <v>10</v>
      </c>
      <c r="CE333" s="2" t="inlineStr">
        <is>
          <t>专业技术类</t>
        </is>
      </c>
      <c r="CF333" s="2"/>
      <c r="CG333" s="2" t="inlineStr">
        <is>
          <t>专业问题协调</t>
        </is>
      </c>
      <c r="CH333" s="2" t="inlineStr">
        <is>
          <t>部门计划</t>
        </is>
      </c>
      <c r="CI333" s="2" t="inlineStr">
        <is>
          <t>重要且紧急</t>
        </is>
      </c>
      <c r="CJ333" s="2" t="inlineStr">
        <is>
          <t>非标准化-无先例参考，需创新协调</t>
        </is>
      </c>
      <c r="CK333" s="2" t="inlineStr">
        <is>
          <t>低频（5%-10%）</t>
        </is>
      </c>
      <c r="CL333" s="2" t="inlineStr">
        <is>
          <t>脑力/复杂度负荷</t>
        </is>
      </c>
      <c r="CM333" s="2"/>
      <c r="CN333" s="2" t="inlineStr">
        <is>
          <t>31943b9d-a804-4525-a86b-a480a4aa91c1</t>
        </is>
      </c>
      <c r="CO333" s="3" t="n">
        <v>1</v>
      </c>
      <c r="CP333" s="2"/>
      <c r="CQ333" s="2" t="inlineStr">
        <is>
          <t>南京工程-金陵柴油轻馏分项目</t>
        </is>
      </c>
      <c r="CR333" s="2" t="inlineStr">
        <is>
          <t>4-5次</t>
        </is>
      </c>
      <c r="CS333" s="3" t="n">
        <v>4</v>
      </c>
      <c r="CT333" s="3" t="n">
        <v>5</v>
      </c>
      <c r="CU333" s="2" t="inlineStr">
        <is>
          <t>B.2小时以内</t>
        </is>
      </c>
      <c r="CV333" s="7" t="n">
        <v>2</v>
      </c>
      <c r="CW333" s="7" t="n">
        <v>2</v>
      </c>
      <c r="CX333" s="7" t="n">
        <v>8</v>
      </c>
      <c r="CY333" s="7" t="n">
        <v>10</v>
      </c>
      <c r="CZ333" s="2" t="inlineStr">
        <is>
          <t>协调沟通类</t>
        </is>
      </c>
      <c r="DA333" s="2"/>
      <c r="DB333" s="2" t="inlineStr">
        <is>
          <t>跨部门对接</t>
        </is>
      </c>
      <c r="DC333" s="2" t="inlineStr">
        <is>
          <t>跨部门协同</t>
        </is>
      </c>
      <c r="DD333" s="2" t="inlineStr">
        <is>
          <t>重要且紧急</t>
        </is>
      </c>
      <c r="DE333" s="2" t="inlineStr">
        <is>
          <t>半标准化-有流程框架，需专业经验</t>
        </is>
      </c>
      <c r="DF333" s="2" t="inlineStr">
        <is>
          <t>极少（&lt;5%）</t>
        </is>
      </c>
      <c r="DG333" s="2" t="inlineStr">
        <is>
          <t>沟通/协调负荷</t>
        </is>
      </c>
      <c r="DH333" s="2"/>
      <c r="DI333" s="2" t="inlineStr">
        <is>
          <t>c71e5083-b0f8-45b4-8f42-baeff5fb08a3</t>
        </is>
      </c>
      <c r="DJ333" s="3" t="n">
        <v>1</v>
      </c>
      <c r="DK333" s="2"/>
      <c r="DL333" s="2"/>
      <c r="DM333" s="2"/>
      <c r="DN333" s="3"/>
      <c r="DO333" s="3"/>
      <c r="DP333" s="2"/>
      <c r="DQ333" s="3"/>
      <c r="DR333" s="3"/>
      <c r="DS333" s="3"/>
      <c r="DT333" s="3"/>
      <c r="DU333" s="2"/>
      <c r="DV333" s="2"/>
      <c r="DW333" s="2"/>
      <c r="DX333" s="2"/>
      <c r="DY333" s="2"/>
      <c r="DZ333" s="2"/>
      <c r="EA333" s="2"/>
      <c r="EB333" s="2"/>
      <c r="EC333" s="2"/>
      <c r="ED333" s="2" t="inlineStr">
        <is>
          <t>24f4ca6a-84dc-40f8-a690-9de229230576</t>
        </is>
      </c>
      <c r="EE333" s="3" t="n">
        <v>1</v>
      </c>
      <c r="EF333" s="2"/>
      <c r="EG333" s="2"/>
      <c r="EH333" s="2"/>
      <c r="EI333" s="3"/>
      <c r="EJ333" s="2"/>
      <c r="EK333" s="3"/>
      <c r="EL333" s="3"/>
      <c r="EM333" s="3"/>
      <c r="EN333" s="3"/>
      <c r="EO333" s="2"/>
      <c r="EP333" s="2"/>
      <c r="EQ333" s="2"/>
      <c r="ER333" s="2"/>
      <c r="ES333" s="2"/>
      <c r="ET333" s="2"/>
      <c r="EU333" s="2"/>
      <c r="EV333" s="2"/>
      <c r="EW333" s="2"/>
      <c r="EX333" s="2" t="inlineStr">
        <is>
          <t>a23a1df1-0569-4b5c-83f4-8b24915ccd84</t>
        </is>
      </c>
      <c r="EY333" s="3" t="n">
        <v>1</v>
      </c>
      <c r="EZ333" s="2"/>
      <c r="FA333" s="2" t="inlineStr">
        <is>
          <t>南京工程-金陵柴油轻馏分项目</t>
        </is>
      </c>
      <c r="FB333" s="2" t="inlineStr">
        <is>
          <t>每月3次以上</t>
        </is>
      </c>
      <c r="FC333" s="2" t="inlineStr">
        <is>
          <t>月</t>
        </is>
      </c>
      <c r="FD333" s="3" t="n">
        <v>3</v>
      </c>
      <c r="FE333" s="3" t="n">
        <v>3</v>
      </c>
      <c r="FF333" s="2" t="inlineStr">
        <is>
          <t>C.2-4小时</t>
        </is>
      </c>
      <c r="FG333" s="7" t="n">
        <v>2</v>
      </c>
      <c r="FH333" s="7" t="n">
        <v>4</v>
      </c>
      <c r="FI333" s="7" t="n">
        <v>6</v>
      </c>
      <c r="FJ333" s="7" t="n">
        <v>12</v>
      </c>
      <c r="FK333" s="7" t="n">
        <v>0</v>
      </c>
      <c r="FL333" s="7" t="n">
        <v>0</v>
      </c>
      <c r="FM333" s="7" t="n">
        <v>0</v>
      </c>
      <c r="FN333" s="7" t="n">
        <v>0</v>
      </c>
      <c r="FO333" s="2" t="inlineStr">
        <is>
          <t>专业技术类</t>
        </is>
      </c>
      <c r="FP333" s="2"/>
      <c r="FQ333" s="2" t="inlineStr">
        <is>
          <t>技术方案审查</t>
        </is>
      </c>
      <c r="FR333" s="2" t="inlineStr">
        <is>
          <t>上级指令</t>
        </is>
      </c>
      <c r="FS333" s="2" t="inlineStr">
        <is>
          <t>重要且紧急</t>
        </is>
      </c>
      <c r="FT333" s="2" t="inlineStr">
        <is>
          <t>半标准化-有流程框架，需专业经验</t>
        </is>
      </c>
      <c r="FU333" s="2" t="inlineStr">
        <is>
          <t>极少（&lt;5%）</t>
        </is>
      </c>
      <c r="FV333" s="2" t="inlineStr">
        <is>
          <t>脑力/复杂度负荷</t>
        </is>
      </c>
      <c r="FW333" s="2"/>
    </row>
    <row r="334">
      <c r="A334" s="2" t="inlineStr">
        <is>
          <t>2026-05-07 10:33:31</t>
        </is>
      </c>
      <c r="B334" s="2" t="inlineStr">
        <is>
          <t>张哲宇</t>
        </is>
      </c>
      <c r="C334" s="2" t="inlineStr">
        <is>
          <t>技术中心</t>
        </is>
      </c>
      <c r="D334" s="2" t="inlineStr">
        <is>
          <t>男</t>
        </is>
      </c>
      <c r="E334" s="2" t="inlineStr">
        <is>
          <t>320123199803240012</t>
        </is>
      </c>
      <c r="F334" s="2" t="inlineStr">
        <is>
          <t>技术助理(一)</t>
        </is>
      </c>
      <c r="G334" s="2" t="inlineStr">
        <is>
          <t>2020-09</t>
        </is>
      </c>
      <c r="H334" s="2" t="inlineStr">
        <is>
          <t>南京理工大学紫金学院</t>
        </is>
      </c>
      <c r="I334" s="2" t="inlineStr">
        <is>
          <t>其他</t>
        </is>
      </c>
      <c r="J334" s="2" t="inlineStr">
        <is>
          <t>本科</t>
        </is>
      </c>
      <c r="K334" s="2"/>
      <c r="L334" s="6">
        <f>HYPERLINK("https://www.h3yun.com/Form/Attachments/?schemacode=D1483577de63ede327d4760b10664bd57671d7e&amp;bizObjectId=10d799b3-ede8-4fe8-9ee1-f6d706cbe416&amp;name=F0000046","点击查看")</f>
        <v>0</v>
      </c>
      <c r="M334" s="2" t="inlineStr">
        <is>
          <t>可以适当减少 会议以及人员考核时长，用于工作的时间能够有所提升。</t>
        </is>
      </c>
      <c r="N334" s="2" t="inlineStr">
        <is>
          <t>每日工作;临时/突发工作</t>
        </is>
      </c>
      <c r="O334" s="2" t="inlineStr">
        <is>
          <t>26-30岁</t>
        </is>
      </c>
      <c r="P334" s="2" t="inlineStr">
        <is>
          <t>B.已婚未育</t>
        </is>
      </c>
      <c r="Q334" s="2" t="inlineStr">
        <is>
          <t>A.否</t>
        </is>
      </c>
      <c r="R334" s="2" t="inlineStr">
        <is>
          <t>A.否</t>
        </is>
      </c>
      <c r="S334" s="2" t="inlineStr">
        <is>
          <t>D.希望承担更有挑战性的工作，并争取更大发展空间</t>
        </is>
      </c>
      <c r="T334" s="2" t="inlineStr">
        <is>
          <t>E.希望承担更重要、更有挑战的职责</t>
        </is>
      </c>
      <c r="U334" s="2" t="inlineStr">
        <is>
          <t>E.增加成长性和挑战性</t>
        </is>
      </c>
      <c r="V334" s="2" t="inlineStr">
        <is>
          <t>A.没有</t>
        </is>
      </c>
      <c r="W334" s="2"/>
      <c r="X334" s="2" t="inlineStr">
        <is>
          <t>B.满负荷 (100%-120%)</t>
        </is>
      </c>
      <c r="Y334" s="2" t="inlineStr">
        <is>
          <t>G.接收到任务分配单完成周期内要求的加班;H.研发探索性质，保持研究不间断的主动加班</t>
        </is>
      </c>
      <c r="Z334" s="2" t="inlineStr">
        <is>
          <t>探索研发类工作</t>
        </is>
      </c>
      <c r="AA334" s="2" t="inlineStr">
        <is>
          <t>无</t>
        </is>
      </c>
      <c r="AB334" s="2" t="inlineStr">
        <is>
          <t>专业问题协调</t>
        </is>
      </c>
      <c r="AC334" s="2" t="inlineStr">
        <is>
          <t>A.高度匹配（得心应手）</t>
        </is>
      </c>
      <c r="AD334" s="2" t="inlineStr">
        <is>
          <t>希望技术中心能够根据 个人证书/专业职称 给予嘉奖制度，让平时上班工作更有动力。</t>
        </is>
      </c>
      <c r="AE334" s="2" t="inlineStr">
        <is>
          <t>无。</t>
        </is>
      </c>
      <c r="AF334" s="2" t="inlineStr">
        <is>
          <t>暂无。</t>
        </is>
      </c>
      <c r="AG334" s="2" t="inlineStr">
        <is>
          <t>D.配偶不是公司家属</t>
        </is>
      </c>
      <c r="AH334" s="2"/>
      <c r="AI334" s="7" t="n">
        <v>16</v>
      </c>
      <c r="AJ334" s="7" t="n">
        <v>60</v>
      </c>
      <c r="AK334" s="7" t="n">
        <v>0</v>
      </c>
      <c r="AL334" s="7" t="n">
        <v>0</v>
      </c>
      <c r="AM334" s="7" t="n">
        <v>0</v>
      </c>
      <c r="AN334" s="7" t="n">
        <v>0</v>
      </c>
      <c r="AO334" s="7" t="n">
        <v>0</v>
      </c>
      <c r="AP334" s="7" t="n">
        <v>0</v>
      </c>
      <c r="AQ334" s="7" t="n">
        <v>0.09</v>
      </c>
      <c r="AR334" s="7" t="n">
        <v>0.36</v>
      </c>
      <c r="AS334" s="7" t="n">
        <v>16.09</v>
      </c>
      <c r="AT334" s="7" t="n">
        <v>60.36</v>
      </c>
      <c r="AU334" s="7" t="n">
        <v>38.23</v>
      </c>
      <c r="AV334" s="2" t="inlineStr">
        <is>
          <t>超负荷</t>
        </is>
      </c>
      <c r="AW334" s="2" t="inlineStr">
        <is>
          <t>不一致</t>
        </is>
      </c>
      <c r="AX334" s="2" t="inlineStr">
        <is>
          <t>10d799b3-ede8-4fe8-9ee1-f6d706cbe416</t>
        </is>
      </c>
      <c r="AY334" s="2" t="inlineStr">
        <is>
          <t>技术中心    张哲宇</t>
        </is>
      </c>
      <c r="AZ334" s="2" t="inlineStr">
        <is>
          <t>Anonymous</t>
        </is>
      </c>
      <c r="BA334" s="2" t="inlineStr">
        <is>
          <t>Anonymous</t>
        </is>
      </c>
      <c r="BB334" s="2"/>
      <c r="BC334" s="2" t="inlineStr">
        <is>
          <t>2026-05-21 08:43:22</t>
        </is>
      </c>
      <c r="BD334" s="3" t="n">
        <v>1998</v>
      </c>
      <c r="BE334" s="3" t="n">
        <v>28</v>
      </c>
      <c r="BF334" s="2" t="inlineStr">
        <is>
          <t>A.无此需求</t>
        </is>
      </c>
      <c r="BG334" s="2" t="inlineStr">
        <is>
          <t>已生效</t>
        </is>
      </c>
      <c r="BH334" s="2" t="inlineStr">
        <is>
          <t>f6e05c99-eeca-429a-b5ec-dbeee06e23b9</t>
        </is>
      </c>
      <c r="BI334" s="3" t="n">
        <v>1</v>
      </c>
      <c r="BJ334" s="2"/>
      <c r="BK334" s="2"/>
      <c r="BL334" s="2"/>
      <c r="BM334" s="2"/>
      <c r="BN334" s="2"/>
      <c r="BO334" s="2"/>
      <c r="BP334" s="2"/>
      <c r="BQ334" s="2"/>
      <c r="BR334" s="2"/>
      <c r="BS334" s="2" t="inlineStr">
        <is>
          <t>e6928a44-4dcf-4a8b-9a0e-0dc77451a275</t>
        </is>
      </c>
      <c r="BT334" s="3" t="n">
        <v>1</v>
      </c>
      <c r="BU334" s="2" t="inlineStr">
        <is>
          <t>专业技术类</t>
        </is>
      </c>
      <c r="BV334" s="2" t="inlineStr">
        <is>
          <t>研发组相关工作</t>
        </is>
      </c>
      <c r="BW334" s="2" t="inlineStr">
        <is>
          <t>2-5次</t>
        </is>
      </c>
      <c r="BX334" s="3" t="n">
        <v>2</v>
      </c>
      <c r="BY334" s="3" t="n">
        <v>5</v>
      </c>
      <c r="BZ334" s="2" t="inlineStr">
        <is>
          <t>C.2-4小时</t>
        </is>
      </c>
      <c r="CA334" s="7" t="n">
        <v>2</v>
      </c>
      <c r="CB334" s="7" t="n">
        <v>4</v>
      </c>
      <c r="CC334" s="7" t="n">
        <v>4</v>
      </c>
      <c r="CD334" s="7" t="n">
        <v>20</v>
      </c>
      <c r="CE334" s="2" t="inlineStr">
        <is>
          <t>专业技术类</t>
        </is>
      </c>
      <c r="CF334" s="2"/>
      <c r="CG334" s="2" t="inlineStr">
        <is>
          <t>探索研发类工作</t>
        </is>
      </c>
      <c r="CH334" s="2" t="inlineStr">
        <is>
          <t>上级指令</t>
        </is>
      </c>
      <c r="CI334" s="2" t="inlineStr">
        <is>
          <t>重要不紧急</t>
        </is>
      </c>
      <c r="CJ334" s="2" t="inlineStr">
        <is>
          <t>非标准化-无先例参考，需创新协调</t>
        </is>
      </c>
      <c r="CK334" s="2" t="inlineStr">
        <is>
          <t>低频（5%-10%）</t>
        </is>
      </c>
      <c r="CL334" s="2" t="inlineStr">
        <is>
          <t>脑力/复杂度负荷</t>
        </is>
      </c>
      <c r="CM334" s="2" t="inlineStr">
        <is>
          <t>有时候研发项目较为紧急</t>
        </is>
      </c>
      <c r="CN334" s="2" t="inlineStr">
        <is>
          <t>3c3b1dca-2eb0-40df-8c2c-48394922f081</t>
        </is>
      </c>
      <c r="CO334" s="3" t="n">
        <v>1</v>
      </c>
      <c r="CP334" s="2"/>
      <c r="CQ334" s="2"/>
      <c r="CR334" s="2"/>
      <c r="CS334" s="3"/>
      <c r="CT334" s="3"/>
      <c r="CU334" s="2"/>
      <c r="CV334" s="3"/>
      <c r="CW334" s="3"/>
      <c r="CX334" s="3"/>
      <c r="CY334" s="3"/>
      <c r="CZ334" s="2"/>
      <c r="DA334" s="2"/>
      <c r="DB334" s="2"/>
      <c r="DC334" s="2"/>
      <c r="DD334" s="2"/>
      <c r="DE334" s="2"/>
      <c r="DF334" s="2"/>
      <c r="DG334" s="2"/>
      <c r="DH334" s="2"/>
      <c r="DI334" s="2" t="inlineStr">
        <is>
          <t>3b70d260-3b5b-41ed-a450-dea2fd01ed14</t>
        </is>
      </c>
      <c r="DJ334" s="3" t="n">
        <v>1</v>
      </c>
      <c r="DK334" s="2"/>
      <c r="DL334" s="2"/>
      <c r="DM334" s="2"/>
      <c r="DN334" s="3"/>
      <c r="DO334" s="3"/>
      <c r="DP334" s="2"/>
      <c r="DQ334" s="3"/>
      <c r="DR334" s="3"/>
      <c r="DS334" s="3"/>
      <c r="DT334" s="3"/>
      <c r="DU334" s="2"/>
      <c r="DV334" s="2"/>
      <c r="DW334" s="2"/>
      <c r="DX334" s="2"/>
      <c r="DY334" s="2"/>
      <c r="DZ334" s="2"/>
      <c r="EA334" s="2"/>
      <c r="EB334" s="2"/>
      <c r="EC334" s="2"/>
      <c r="ED334" s="2" t="inlineStr">
        <is>
          <t>087fc154-268c-4da4-8ac4-1c9ae3856b6b</t>
        </is>
      </c>
      <c r="EE334" s="3" t="n">
        <v>1</v>
      </c>
      <c r="EF334" s="2"/>
      <c r="EG334" s="2"/>
      <c r="EH334" s="2"/>
      <c r="EI334" s="3"/>
      <c r="EJ334" s="2"/>
      <c r="EK334" s="3"/>
      <c r="EL334" s="3"/>
      <c r="EM334" s="3"/>
      <c r="EN334" s="3"/>
      <c r="EO334" s="2"/>
      <c r="EP334" s="2"/>
      <c r="EQ334" s="2"/>
      <c r="ER334" s="2"/>
      <c r="ES334" s="2"/>
      <c r="ET334" s="2"/>
      <c r="EU334" s="2"/>
      <c r="EV334" s="2"/>
      <c r="EW334" s="2"/>
      <c r="EX334" s="2" t="inlineStr">
        <is>
          <t>3e75391e-1713-4667-941d-181798e97061</t>
        </is>
      </c>
      <c r="EY334" s="3" t="n">
        <v>1</v>
      </c>
      <c r="EZ334" s="2"/>
      <c r="FA334" s="2" t="inlineStr">
        <is>
          <t>项目服务事务工作</t>
        </is>
      </c>
      <c r="FB334" s="2" t="inlineStr">
        <is>
          <t>每月1-2次</t>
        </is>
      </c>
      <c r="FC334" s="2" t="inlineStr">
        <is>
          <t>月</t>
        </is>
      </c>
      <c r="FD334" s="3" t="n">
        <v>1</v>
      </c>
      <c r="FE334" s="3" t="n">
        <v>2</v>
      </c>
      <c r="FF334" s="2" t="inlineStr">
        <is>
          <t>C.2-4小时</t>
        </is>
      </c>
      <c r="FG334" s="7" t="n">
        <v>2</v>
      </c>
      <c r="FH334" s="7" t="n">
        <v>4</v>
      </c>
      <c r="FI334" s="7" t="n">
        <v>2</v>
      </c>
      <c r="FJ334" s="7" t="n">
        <v>8</v>
      </c>
      <c r="FK334" s="7" t="n">
        <v>0</v>
      </c>
      <c r="FL334" s="7" t="n">
        <v>0</v>
      </c>
      <c r="FM334" s="7" t="n">
        <v>0</v>
      </c>
      <c r="FN334" s="7" t="n">
        <v>0</v>
      </c>
      <c r="FO334" s="2" t="inlineStr">
        <is>
          <t>专业技术类</t>
        </is>
      </c>
      <c r="FP334" s="2"/>
      <c r="FQ334" s="2" t="inlineStr">
        <is>
          <t>标准研究</t>
        </is>
      </c>
      <c r="FR334" s="2" t="inlineStr">
        <is>
          <t>上级指令</t>
        </is>
      </c>
      <c r="FS334" s="2" t="inlineStr">
        <is>
          <t>重要且紧急</t>
        </is>
      </c>
      <c r="FT334" s="2" t="inlineStr">
        <is>
          <t>半标准化-有流程框架，需专业经验</t>
        </is>
      </c>
      <c r="FU334" s="2" t="inlineStr">
        <is>
          <t>极少（&lt;5%）</t>
        </is>
      </c>
      <c r="FV334" s="2" t="inlineStr">
        <is>
          <t>脑力/复杂度负荷</t>
        </is>
      </c>
      <c r="FW334" s="2" t="inlineStr">
        <is>
          <t>项目较多时，推送/大屏/日报/RPA等工作交叉进行。工作压力较大。</t>
        </is>
      </c>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t="inlineStr">
        <is>
          <t>6d28b56b-c359-4d3f-80d4-973ab67c1907</t>
        </is>
      </c>
      <c r="BT335" s="3" t="n">
        <v>2</v>
      </c>
      <c r="BU335" s="2" t="inlineStr">
        <is>
          <t>专业技术类</t>
        </is>
      </c>
      <c r="BV335" s="2" t="inlineStr">
        <is>
          <t>项目服务相关工作</t>
        </is>
      </c>
      <c r="BW335" s="2" t="inlineStr">
        <is>
          <t>6-10次</t>
        </is>
      </c>
      <c r="BX335" s="3" t="n">
        <v>6</v>
      </c>
      <c r="BY335" s="3" t="n">
        <v>10</v>
      </c>
      <c r="BZ335" s="2" t="inlineStr">
        <is>
          <t>C.2-4小时</t>
        </is>
      </c>
      <c r="CA335" s="7" t="n">
        <v>2</v>
      </c>
      <c r="CB335" s="7" t="n">
        <v>4</v>
      </c>
      <c r="CC335" s="7" t="n">
        <v>12</v>
      </c>
      <c r="CD335" s="7" t="n">
        <v>40</v>
      </c>
      <c r="CE335" s="2" t="inlineStr">
        <is>
          <t>专业技术类</t>
        </is>
      </c>
      <c r="CF335" s="2"/>
      <c r="CG335" s="2" t="inlineStr">
        <is>
          <t>专业问题协调</t>
        </is>
      </c>
      <c r="CH335" s="2" t="inlineStr">
        <is>
          <t>部门计划</t>
        </is>
      </c>
      <c r="CI335" s="2" t="inlineStr">
        <is>
          <t>重要且紧急</t>
        </is>
      </c>
      <c r="CJ335" s="2" t="inlineStr">
        <is>
          <t>半标准化-有流程框架，需专业经验</t>
        </is>
      </c>
      <c r="CK335" s="2" t="inlineStr">
        <is>
          <t>低频（5%-10%）</t>
        </is>
      </c>
      <c r="CL335" s="2" t="inlineStr">
        <is>
          <t>时效/强度负荷</t>
        </is>
      </c>
      <c r="CM335" s="2" t="inlineStr">
        <is>
          <t>项目服务工作时常比较紧急</t>
        </is>
      </c>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row>
    <row r="336">
      <c r="A336" s="2" t="inlineStr">
        <is>
          <t>2026-05-07 10:24:53</t>
        </is>
      </c>
      <c r="B336" s="2" t="inlineStr">
        <is>
          <t>卢亚男</t>
        </is>
      </c>
      <c r="C336" s="2" t="inlineStr">
        <is>
          <t>安装一分公司</t>
        </is>
      </c>
      <c r="D336" s="2" t="inlineStr">
        <is>
          <t>女</t>
        </is>
      </c>
      <c r="E336" s="2" t="inlineStr">
        <is>
          <t>321283199309239027</t>
        </is>
      </c>
      <c r="F336" s="2" t="inlineStr">
        <is>
          <t>技术助理(一)</t>
        </is>
      </c>
      <c r="G336" s="2" t="inlineStr">
        <is>
          <t>2023-11</t>
        </is>
      </c>
      <c r="H336" s="2" t="inlineStr">
        <is>
          <t>常州大学</t>
        </is>
      </c>
      <c r="I336" s="2" t="inlineStr">
        <is>
          <t>安全员</t>
        </is>
      </c>
      <c r="J336" s="2" t="inlineStr">
        <is>
          <t>本科</t>
        </is>
      </c>
      <c r="K336" s="2"/>
      <c r="L336" s="6">
        <f>HYPERLINK("https://www.h3yun.com/Form/Attachments/?schemacode=D1483577de63ede327d4760b10664bd57671d7e&amp;bizObjectId=3c83a865-efa8-47f1-aab6-44819511635f&amp;name=F0000046","点击查看")</f>
        <v>0</v>
      </c>
      <c r="M336" s="2" t="inlineStr">
        <is>
          <t>无</t>
        </is>
      </c>
      <c r="N336" s="2" t="inlineStr">
        <is>
          <t>每日工作</t>
        </is>
      </c>
      <c r="O336" s="2" t="inlineStr">
        <is>
          <t>31-35岁</t>
        </is>
      </c>
      <c r="P336" s="2" t="inlineStr">
        <is>
          <t>C.已婚已育</t>
        </is>
      </c>
      <c r="Q336" s="2" t="inlineStr">
        <is>
          <t>B.是，主要照护子女</t>
        </is>
      </c>
      <c r="R336" s="2" t="inlineStr">
        <is>
          <t>B.有1名</t>
        </is>
      </c>
      <c r="S336" s="2" t="inlineStr">
        <is>
          <t>A.保持当前工作内容和节奏，收入相对稳定即可</t>
        </is>
      </c>
      <c r="T336" s="2" t="inlineStr">
        <is>
          <t>A.基本满意，希望保持</t>
        </is>
      </c>
      <c r="U336" s="2" t="inlineStr">
        <is>
          <t>A.减少重复性事务</t>
        </is>
      </c>
      <c r="V336" s="2" t="inlineStr">
        <is>
          <t>A.没有</t>
        </is>
      </c>
      <c r="W336" s="2"/>
      <c r="X336" s="2" t="inlineStr">
        <is>
          <t>B.满负荷 (100%-120%)</t>
        </is>
      </c>
      <c r="Y336" s="2" t="inlineStr">
        <is>
          <t>G.接收到任务分配单完成周期内要求的加班</t>
        </is>
      </c>
      <c r="Z336" s="2" t="inlineStr">
        <is>
          <t>探索研发类工作</t>
        </is>
      </c>
      <c r="AA336" s="2" t="inlineStr">
        <is>
          <t>跨部门对接</t>
        </is>
      </c>
      <c r="AB336" s="2" t="inlineStr">
        <is>
          <t>专业问题协调</t>
        </is>
      </c>
      <c r="AC336" s="2" t="inlineStr">
        <is>
          <t>B.基本匹配（正常履行）</t>
        </is>
      </c>
      <c r="AD336" s="2" t="inlineStr">
        <is>
          <t>无</t>
        </is>
      </c>
      <c r="AE336" s="2"/>
      <c r="AF336" s="2"/>
      <c r="AG336" s="2" t="inlineStr">
        <is>
          <t>D.配偶不是公司家属</t>
        </is>
      </c>
      <c r="AH336" s="2" t="inlineStr">
        <is>
          <t>D.无意向，但是可能会动态变化</t>
        </is>
      </c>
      <c r="AI336" s="7" t="n">
        <v>8</v>
      </c>
      <c r="AJ336" s="7" t="n">
        <v>8</v>
      </c>
      <c r="AK336" s="7" t="n">
        <v>0</v>
      </c>
      <c r="AL336" s="7" t="n">
        <v>0</v>
      </c>
      <c r="AM336" s="7" t="n">
        <v>0</v>
      </c>
      <c r="AN336" s="7" t="n">
        <v>0</v>
      </c>
      <c r="AO336" s="7" t="n">
        <v>0</v>
      </c>
      <c r="AP336" s="7" t="n">
        <v>0</v>
      </c>
      <c r="AQ336" s="7" t="n">
        <v>0</v>
      </c>
      <c r="AR336" s="7" t="n">
        <v>0</v>
      </c>
      <c r="AS336" s="7" t="n">
        <v>8</v>
      </c>
      <c r="AT336" s="7" t="n">
        <v>8</v>
      </c>
      <c r="AU336" s="7" t="n">
        <v>8</v>
      </c>
      <c r="AV336" s="2" t="inlineStr">
        <is>
          <t>满负荷</t>
        </is>
      </c>
      <c r="AW336" s="2" t="inlineStr">
        <is>
          <t>一致</t>
        </is>
      </c>
      <c r="AX336" s="2" t="inlineStr">
        <is>
          <t>3c83a865-efa8-47f1-aab6-44819511635f</t>
        </is>
      </c>
      <c r="AY336" s="2" t="inlineStr">
        <is>
          <t>安装一分公司    卢亚男</t>
        </is>
      </c>
      <c r="AZ336" s="2" t="inlineStr">
        <is>
          <t>Anonymous</t>
        </is>
      </c>
      <c r="BA336" s="2" t="inlineStr">
        <is>
          <t>Anonymous</t>
        </is>
      </c>
      <c r="BB336" s="2"/>
      <c r="BC336" s="2" t="inlineStr">
        <is>
          <t>2026-05-21 08:43:22</t>
        </is>
      </c>
      <c r="BD336" s="3" t="n">
        <v>1993</v>
      </c>
      <c r="BE336" s="3" t="n">
        <v>33</v>
      </c>
      <c r="BF336" s="2" t="inlineStr">
        <is>
          <t>A.无此需求</t>
        </is>
      </c>
      <c r="BG336" s="2" t="inlineStr">
        <is>
          <t>已生效</t>
        </is>
      </c>
      <c r="BH336" s="2" t="inlineStr">
        <is>
          <t>59f9025e-8266-4aba-ae8c-fbb5bce8b1c7</t>
        </is>
      </c>
      <c r="BI336" s="3" t="n">
        <v>1</v>
      </c>
      <c r="BJ336" s="2"/>
      <c r="BK336" s="2"/>
      <c r="BL336" s="2"/>
      <c r="BM336" s="2"/>
      <c r="BN336" s="2"/>
      <c r="BO336" s="2"/>
      <c r="BP336" s="2"/>
      <c r="BQ336" s="2"/>
      <c r="BR336" s="2"/>
      <c r="BS336" s="2" t="inlineStr">
        <is>
          <t>9bec8ea3-6554-4545-9414-34e1d9df5907</t>
        </is>
      </c>
      <c r="BT336" s="3" t="n">
        <v>1</v>
      </c>
      <c r="BU336" s="2" t="inlineStr">
        <is>
          <t>专业技术类</t>
        </is>
      </c>
      <c r="BV336" s="2" t="inlineStr">
        <is>
          <t>安全管理</t>
        </is>
      </c>
      <c r="BW336" s="2" t="inlineStr">
        <is>
          <t>1次</t>
        </is>
      </c>
      <c r="BX336" s="3" t="n">
        <v>1</v>
      </c>
      <c r="BY336" s="3" t="n">
        <v>1</v>
      </c>
      <c r="BZ336" s="2" t="inlineStr">
        <is>
          <t>E.8小时以上</t>
        </is>
      </c>
      <c r="CA336" s="7" t="n">
        <v>8</v>
      </c>
      <c r="CB336" s="7" t="n">
        <v>8</v>
      </c>
      <c r="CC336" s="7" t="n">
        <v>8</v>
      </c>
      <c r="CD336" s="7" t="n">
        <v>8</v>
      </c>
      <c r="CE336" s="2" t="inlineStr">
        <is>
          <t>专业技术类</t>
        </is>
      </c>
      <c r="CF336" s="2"/>
      <c r="CG336" s="2" t="inlineStr">
        <is>
          <t>专业问题协调</t>
        </is>
      </c>
      <c r="CH336" s="2" t="inlineStr">
        <is>
          <t>岗位职责</t>
        </is>
      </c>
      <c r="CI336" s="2" t="inlineStr">
        <is>
          <t>重要且紧急</t>
        </is>
      </c>
      <c r="CJ336" s="2" t="inlineStr">
        <is>
          <t>半标准化-有流程框架，需专业经验</t>
        </is>
      </c>
      <c r="CK336" s="2" t="inlineStr">
        <is>
          <t>低频（5%-10%）</t>
        </is>
      </c>
      <c r="CL336" s="2" t="inlineStr">
        <is>
          <t>责任/风险负荷</t>
        </is>
      </c>
      <c r="CM336" s="2"/>
      <c r="CN336" s="2" t="inlineStr">
        <is>
          <t>f73702e9-a434-44fa-b309-27a5d7187f04</t>
        </is>
      </c>
      <c r="CO336" s="3" t="n">
        <v>1</v>
      </c>
      <c r="CP336" s="2"/>
      <c r="CQ336" s="2"/>
      <c r="CR336" s="2"/>
      <c r="CS336" s="3"/>
      <c r="CT336" s="3"/>
      <c r="CU336" s="2"/>
      <c r="CV336" s="3"/>
      <c r="CW336" s="3"/>
      <c r="CX336" s="3"/>
      <c r="CY336" s="3"/>
      <c r="CZ336" s="2"/>
      <c r="DA336" s="2"/>
      <c r="DB336" s="2"/>
      <c r="DC336" s="2"/>
      <c r="DD336" s="2"/>
      <c r="DE336" s="2"/>
      <c r="DF336" s="2"/>
      <c r="DG336" s="2"/>
      <c r="DH336" s="2"/>
      <c r="DI336" s="2" t="inlineStr">
        <is>
          <t>4aad2c8d-5631-4eb5-a920-1ce90ef30f02</t>
        </is>
      </c>
      <c r="DJ336" s="3" t="n">
        <v>1</v>
      </c>
      <c r="DK336" s="2"/>
      <c r="DL336" s="2"/>
      <c r="DM336" s="2"/>
      <c r="DN336" s="3"/>
      <c r="DO336" s="3"/>
      <c r="DP336" s="2"/>
      <c r="DQ336" s="3"/>
      <c r="DR336" s="3"/>
      <c r="DS336" s="3"/>
      <c r="DT336" s="3"/>
      <c r="DU336" s="2"/>
      <c r="DV336" s="2"/>
      <c r="DW336" s="2"/>
      <c r="DX336" s="2"/>
      <c r="DY336" s="2"/>
      <c r="DZ336" s="2"/>
      <c r="EA336" s="2"/>
      <c r="EB336" s="2"/>
      <c r="EC336" s="2"/>
      <c r="ED336" s="2" t="inlineStr">
        <is>
          <t>6eccd2f6-109a-4e9a-a442-e1b3a2f575a0</t>
        </is>
      </c>
      <c r="EE336" s="3" t="n">
        <v>1</v>
      </c>
      <c r="EF336" s="2"/>
      <c r="EG336" s="2"/>
      <c r="EH336" s="2"/>
      <c r="EI336" s="3"/>
      <c r="EJ336" s="2"/>
      <c r="EK336" s="3"/>
      <c r="EL336" s="3"/>
      <c r="EM336" s="3"/>
      <c r="EN336" s="3"/>
      <c r="EO336" s="2"/>
      <c r="EP336" s="2"/>
      <c r="EQ336" s="2"/>
      <c r="ER336" s="2"/>
      <c r="ES336" s="2"/>
      <c r="ET336" s="2"/>
      <c r="EU336" s="2"/>
      <c r="EV336" s="2"/>
      <c r="EW336" s="2"/>
      <c r="EX336" s="2" t="inlineStr">
        <is>
          <t>bae126eb-1681-4f1e-a4a4-e98523f77d42</t>
        </is>
      </c>
      <c r="EY336" s="3" t="n">
        <v>1</v>
      </c>
      <c r="EZ336" s="2"/>
      <c r="FA336" s="2"/>
      <c r="FB336" s="2"/>
      <c r="FC336" s="2"/>
      <c r="FD336" s="3"/>
      <c r="FE336" s="3"/>
      <c r="FF336" s="2"/>
      <c r="FG336" s="3"/>
      <c r="FH336" s="3"/>
      <c r="FI336" s="7" t="n">
        <v>0</v>
      </c>
      <c r="FJ336" s="7" t="n">
        <v>0</v>
      </c>
      <c r="FK336" s="7" t="n">
        <v>0</v>
      </c>
      <c r="FL336" s="7" t="n">
        <v>0</v>
      </c>
      <c r="FM336" s="7" t="n">
        <v>0</v>
      </c>
      <c r="FN336" s="7" t="n">
        <v>0</v>
      </c>
      <c r="FO336" s="2"/>
      <c r="FP336" s="2"/>
      <c r="FQ336" s="2"/>
      <c r="FR336" s="2"/>
      <c r="FS336" s="2"/>
      <c r="FT336" s="2"/>
      <c r="FU336" s="2"/>
      <c r="FV336" s="2"/>
      <c r="FW336" s="2"/>
    </row>
    <row r="337">
      <c r="A337" s="2" t="inlineStr">
        <is>
          <t>2026-05-07 10:23:01</t>
        </is>
      </c>
      <c r="B337" s="2" t="inlineStr">
        <is>
          <t>周瑞</t>
        </is>
      </c>
      <c r="C337" s="2" t="inlineStr">
        <is>
          <t>安装一分公司</t>
        </is>
      </c>
      <c r="D337" s="2" t="inlineStr">
        <is>
          <t>男</t>
        </is>
      </c>
      <c r="E337" s="2" t="inlineStr">
        <is>
          <t>342224199610161913</t>
        </is>
      </c>
      <c r="F337" s="2" t="inlineStr">
        <is>
          <t>技术助理(一)</t>
        </is>
      </c>
      <c r="G337" s="2" t="inlineStr">
        <is>
          <t>2018-09</t>
        </is>
      </c>
      <c r="H337" s="2" t="inlineStr">
        <is>
          <t>安庆职业技术学院</t>
        </is>
      </c>
      <c r="I337" s="2" t="inlineStr">
        <is>
          <t>材料员</t>
        </is>
      </c>
      <c r="J337" s="2" t="inlineStr">
        <is>
          <t>大专</t>
        </is>
      </c>
      <c r="K337" s="2"/>
      <c r="L337" s="6">
        <f>HYPERLINK("https://www.h3yun.com/Form/Attachments/?schemacode=D1483577de63ede327d4760b10664bd57671d7e&amp;bizObjectId=13dc0608-61e5-4605-9540-4bbc67373cbe&amp;name=F0000046","点击查看")</f>
        <v>0</v>
      </c>
      <c r="M337" s="2" t="inlineStr">
        <is>
          <t>审批流程简化，技术专业协调配合</t>
        </is>
      </c>
      <c r="N337" s="2" t="inlineStr">
        <is>
          <t>每日工作</t>
        </is>
      </c>
      <c r="O337" s="2" t="inlineStr">
        <is>
          <t>26-30岁</t>
        </is>
      </c>
      <c r="P337" s="2" t="inlineStr">
        <is>
          <t>C.已婚已育</t>
        </is>
      </c>
      <c r="Q337" s="2" t="inlineStr">
        <is>
          <t>A.否</t>
        </is>
      </c>
      <c r="R337" s="2" t="inlineStr">
        <is>
          <t>B.有1名</t>
        </is>
      </c>
      <c r="S337" s="2" t="inlineStr">
        <is>
          <t>B.希望工作更稳定、更规律，便于兼顾家庭</t>
        </is>
      </c>
      <c r="T337" s="2" t="inlineStr">
        <is>
          <t>B.工作内容可接受，但负荷偏重</t>
        </is>
      </c>
      <c r="U337" s="2" t="inlineStr">
        <is>
          <t>A.减少重复性事务</t>
        </is>
      </c>
      <c r="V337" s="2" t="inlineStr">
        <is>
          <t>C.推动过局部优化</t>
        </is>
      </c>
      <c r="W337" s="2" t="inlineStr">
        <is>
          <t>B.涉及多部门，协调难度大</t>
        </is>
      </c>
      <c r="X337" s="2" t="inlineStr">
        <is>
          <t>C.均衡 (80%-100%)</t>
        </is>
      </c>
      <c r="Y337" s="2" t="inlineStr">
        <is>
          <t>E.项目服务按照项目作息考勤制加班;E.临时差旅、突发事件、会议加班;G.接收到任务分配单完成周期内要求的加班</t>
        </is>
      </c>
      <c r="Z337" s="2" t="inlineStr">
        <is>
          <t>专业问题协调</t>
        </is>
      </c>
      <c r="AA337" s="2" t="inlineStr">
        <is>
          <t>催办</t>
        </is>
      </c>
      <c r="AB337" s="2" t="inlineStr">
        <is>
          <t>专业问题协调</t>
        </is>
      </c>
      <c r="AC337" s="2" t="inlineStr">
        <is>
          <t>A.高度匹配（得心应手）</t>
        </is>
      </c>
      <c r="AD337" s="2" t="inlineStr">
        <is>
          <t>无</t>
        </is>
      </c>
      <c r="AE337" s="2"/>
      <c r="AF337" s="2"/>
      <c r="AG337" s="2" t="inlineStr">
        <is>
          <t>D.配偶不是公司家属</t>
        </is>
      </c>
      <c r="AH337" s="2"/>
      <c r="AI337" s="7" t="n">
        <v>4</v>
      </c>
      <c r="AJ337" s="7" t="n">
        <v>10</v>
      </c>
      <c r="AK337" s="7" t="n">
        <v>0</v>
      </c>
      <c r="AL337" s="7" t="n">
        <v>0</v>
      </c>
      <c r="AM337" s="7" t="n">
        <v>0</v>
      </c>
      <c r="AN337" s="7" t="n">
        <v>0</v>
      </c>
      <c r="AO337" s="7" t="n">
        <v>0</v>
      </c>
      <c r="AP337" s="7" t="n">
        <v>0</v>
      </c>
      <c r="AQ337" s="7" t="n">
        <v>0</v>
      </c>
      <c r="AR337" s="7" t="n">
        <v>0</v>
      </c>
      <c r="AS337" s="7" t="n">
        <v>4</v>
      </c>
      <c r="AT337" s="7" t="n">
        <v>10</v>
      </c>
      <c r="AU337" s="7" t="n">
        <v>7</v>
      </c>
      <c r="AV337" s="2" t="inlineStr">
        <is>
          <t>均衡</t>
        </is>
      </c>
      <c r="AW337" s="2" t="inlineStr">
        <is>
          <t>一致</t>
        </is>
      </c>
      <c r="AX337" s="2" t="inlineStr">
        <is>
          <t>13dc0608-61e5-4605-9540-4bbc67373cbe</t>
        </is>
      </c>
      <c r="AY337" s="2" t="inlineStr">
        <is>
          <t>安装一分公司    周瑞</t>
        </is>
      </c>
      <c r="AZ337" s="2" t="inlineStr">
        <is>
          <t>Anonymous</t>
        </is>
      </c>
      <c r="BA337" s="2" t="inlineStr">
        <is>
          <t>Anonymous</t>
        </is>
      </c>
      <c r="BB337" s="2"/>
      <c r="BC337" s="2" t="inlineStr">
        <is>
          <t>2026-05-21 08:43:22</t>
        </is>
      </c>
      <c r="BD337" s="3" t="n">
        <v>1996</v>
      </c>
      <c r="BE337" s="3" t="n">
        <v>30</v>
      </c>
      <c r="BF337" s="2" t="inlineStr">
        <is>
          <t>A.无此需求</t>
        </is>
      </c>
      <c r="BG337" s="2" t="inlineStr">
        <is>
          <t>已生效</t>
        </is>
      </c>
      <c r="BH337" s="2" t="inlineStr">
        <is>
          <t>e43a8ec7-57d8-4bc6-bd3b-10bcbb1e567f</t>
        </is>
      </c>
      <c r="BI337" s="3" t="n">
        <v>1</v>
      </c>
      <c r="BJ337" s="2"/>
      <c r="BK337" s="2"/>
      <c r="BL337" s="2"/>
      <c r="BM337" s="2"/>
      <c r="BN337" s="2"/>
      <c r="BO337" s="2"/>
      <c r="BP337" s="2"/>
      <c r="BQ337" s="2"/>
      <c r="BR337" s="2"/>
      <c r="BS337" s="2" t="inlineStr">
        <is>
          <t>1159e304-50e6-4a61-b828-e2059e9f556d</t>
        </is>
      </c>
      <c r="BT337" s="3" t="n">
        <v>1</v>
      </c>
      <c r="BU337" s="2" t="inlineStr">
        <is>
          <t>专业技术类</t>
        </is>
      </c>
      <c r="BV337" s="2" t="inlineStr">
        <is>
          <t>施工材料接收、信息核对(材料代码、炉批号表示)、材料管理、材料检验(光谱分析、尺寸外观)、材料发放、记录材料信息。联系供货商反馈材料到货计划，核对缺件少料。材料共检时业主和监理方提出的规范问题给与解答</t>
        </is>
      </c>
      <c r="BW337" s="2" t="inlineStr">
        <is>
          <t>2-5次</t>
        </is>
      </c>
      <c r="BX337" s="3" t="n">
        <v>2</v>
      </c>
      <c r="BY337" s="3" t="n">
        <v>5</v>
      </c>
      <c r="BZ337" s="2" t="inlineStr">
        <is>
          <t>B.2小时以内</t>
        </is>
      </c>
      <c r="CA337" s="7" t="n">
        <v>2</v>
      </c>
      <c r="CB337" s="7" t="n">
        <v>2</v>
      </c>
      <c r="CC337" s="7" t="n">
        <v>4</v>
      </c>
      <c r="CD337" s="7" t="n">
        <v>10</v>
      </c>
      <c r="CE337" s="2" t="inlineStr">
        <is>
          <t>专业技术类</t>
        </is>
      </c>
      <c r="CF337" s="2"/>
      <c r="CG337" s="2" t="inlineStr">
        <is>
          <t>专业问题协调</t>
        </is>
      </c>
      <c r="CH337" s="2" t="inlineStr">
        <is>
          <t>岗位职责</t>
        </is>
      </c>
      <c r="CI337" s="2" t="inlineStr">
        <is>
          <t>重要不紧急</t>
        </is>
      </c>
      <c r="CJ337" s="2" t="inlineStr">
        <is>
          <t>半标准化-有流程框架，需专业经验</t>
        </is>
      </c>
      <c r="CK337" s="2" t="inlineStr">
        <is>
          <t>极少（&lt;5%）</t>
        </is>
      </c>
      <c r="CL337" s="2" t="inlineStr">
        <is>
          <t>沟通/协调负荷</t>
        </is>
      </c>
      <c r="CM337" s="2"/>
      <c r="CN337" s="2" t="inlineStr">
        <is>
          <t>a0bd96c6-f0b4-4dd6-952e-39fd713c0fdb</t>
        </is>
      </c>
      <c r="CO337" s="3" t="n">
        <v>1</v>
      </c>
      <c r="CP337" s="2"/>
      <c r="CQ337" s="2" t="inlineStr">
        <is>
          <t>材料接收、管理、共检、发放</t>
        </is>
      </c>
      <c r="CR337" s="2"/>
      <c r="CS337" s="3"/>
      <c r="CT337" s="3"/>
      <c r="CU337" s="2" t="inlineStr">
        <is>
          <t>E.8小时以上</t>
        </is>
      </c>
      <c r="CV337" s="7" t="n">
        <v>8</v>
      </c>
      <c r="CW337" s="7" t="n">
        <v>8</v>
      </c>
      <c r="CX337" s="3"/>
      <c r="CY337" s="3"/>
      <c r="CZ337" s="2" t="inlineStr">
        <is>
          <t>专业技术类</t>
        </is>
      </c>
      <c r="DA337" s="2"/>
      <c r="DB337" s="2"/>
      <c r="DC337" s="2" t="inlineStr">
        <is>
          <t>岗位职责</t>
        </is>
      </c>
      <c r="DD337" s="2"/>
      <c r="DE337" s="2"/>
      <c r="DF337" s="2"/>
      <c r="DG337" s="2"/>
      <c r="DH337" s="2"/>
      <c r="DI337" s="2" t="inlineStr">
        <is>
          <t>a17cbcc2-abff-465e-84d3-097c2b53286d</t>
        </is>
      </c>
      <c r="DJ337" s="3" t="n">
        <v>1</v>
      </c>
      <c r="DK337" s="2"/>
      <c r="DL337" s="2"/>
      <c r="DM337" s="2"/>
      <c r="DN337" s="3"/>
      <c r="DO337" s="3"/>
      <c r="DP337" s="2"/>
      <c r="DQ337" s="3"/>
      <c r="DR337" s="3"/>
      <c r="DS337" s="3"/>
      <c r="DT337" s="3"/>
      <c r="DU337" s="2"/>
      <c r="DV337" s="2"/>
      <c r="DW337" s="2"/>
      <c r="DX337" s="2"/>
      <c r="DY337" s="2"/>
      <c r="DZ337" s="2"/>
      <c r="EA337" s="2"/>
      <c r="EB337" s="2"/>
      <c r="EC337" s="2"/>
      <c r="ED337" s="2" t="inlineStr">
        <is>
          <t>6e4865e6-18ba-4f70-b014-d2a58a7f54f1</t>
        </is>
      </c>
      <c r="EE337" s="3" t="n">
        <v>1</v>
      </c>
      <c r="EF337" s="2"/>
      <c r="EG337" s="2"/>
      <c r="EH337" s="2"/>
      <c r="EI337" s="3"/>
      <c r="EJ337" s="2"/>
      <c r="EK337" s="3"/>
      <c r="EL337" s="3"/>
      <c r="EM337" s="3"/>
      <c r="EN337" s="3"/>
      <c r="EO337" s="2"/>
      <c r="EP337" s="2"/>
      <c r="EQ337" s="2"/>
      <c r="ER337" s="2"/>
      <c r="ES337" s="2"/>
      <c r="ET337" s="2"/>
      <c r="EU337" s="2"/>
      <c r="EV337" s="2"/>
      <c r="EW337" s="2"/>
      <c r="EX337" s="2" t="inlineStr">
        <is>
          <t>864f5334-bd8b-4c96-b5a3-5582de887428</t>
        </is>
      </c>
      <c r="EY337" s="3" t="n">
        <v>1</v>
      </c>
      <c r="EZ337" s="2"/>
      <c r="FA337" s="2"/>
      <c r="FB337" s="2"/>
      <c r="FC337" s="2"/>
      <c r="FD337" s="3"/>
      <c r="FE337" s="3"/>
      <c r="FF337" s="2"/>
      <c r="FG337" s="3"/>
      <c r="FH337" s="3"/>
      <c r="FI337" s="7" t="n">
        <v>0</v>
      </c>
      <c r="FJ337" s="7" t="n">
        <v>0</v>
      </c>
      <c r="FK337" s="7" t="n">
        <v>0</v>
      </c>
      <c r="FL337" s="7" t="n">
        <v>0</v>
      </c>
      <c r="FM337" s="7" t="n">
        <v>0</v>
      </c>
      <c r="FN337" s="7" t="n">
        <v>0</v>
      </c>
      <c r="FO337" s="2"/>
      <c r="FP337" s="2"/>
      <c r="FQ337" s="2"/>
      <c r="FR337" s="2"/>
      <c r="FS337" s="2"/>
      <c r="FT337" s="2"/>
      <c r="FU337" s="2"/>
      <c r="FV337" s="2"/>
      <c r="FW337" s="2"/>
    </row>
    <row r="338">
      <c r="A338" s="2" t="inlineStr">
        <is>
          <t>2026-05-07 10:22:56</t>
        </is>
      </c>
      <c r="B338" s="2" t="inlineStr">
        <is>
          <t>王磊</t>
        </is>
      </c>
      <c r="C338" s="2" t="inlineStr">
        <is>
          <t>南京永利重工制造有限公司</t>
        </is>
      </c>
      <c r="D338" s="2" t="inlineStr">
        <is>
          <t>男</t>
        </is>
      </c>
      <c r="E338" s="2" t="inlineStr">
        <is>
          <t>520122200012130032</t>
        </is>
      </c>
      <c r="F338" s="2" t="inlineStr">
        <is>
          <t>技术助理(二)</t>
        </is>
      </c>
      <c r="G338" s="2" t="inlineStr">
        <is>
          <t>2023-08</t>
        </is>
      </c>
      <c r="H338" s="2" t="inlineStr">
        <is>
          <t>金陵科技学院</t>
        </is>
      </c>
      <c r="I338" s="2" t="inlineStr">
        <is>
          <t>化机</t>
        </is>
      </c>
      <c r="J338" s="2" t="inlineStr">
        <is>
          <t>本科</t>
        </is>
      </c>
      <c r="K338" s="2"/>
      <c r="L338" s="6">
        <f>HYPERLINK("https://www.h3yun.com/Form/Attachments/?schemacode=D1483577de63ede327d4760b10664bd57671d7e&amp;bizObjectId=f9cedc0e-6c9a-4de3-97a7-6ce41382c929&amp;name=F0000046","点击查看")</f>
        <v>0</v>
      </c>
      <c r="M338" s="2" t="inlineStr">
        <is>
          <t>无</t>
        </is>
      </c>
      <c r="N338" s="2" t="inlineStr">
        <is>
          <t>每日工作</t>
        </is>
      </c>
      <c r="O338" s="2" t="inlineStr">
        <is>
          <t>26-30岁</t>
        </is>
      </c>
      <c r="P338" s="2" t="inlineStr">
        <is>
          <t>A.未婚</t>
        </is>
      </c>
      <c r="Q338" s="2" t="inlineStr">
        <is>
          <t>A.否</t>
        </is>
      </c>
      <c r="R338" s="2" t="inlineStr">
        <is>
          <t>A.否</t>
        </is>
      </c>
      <c r="S338" s="2" t="inlineStr">
        <is>
          <t>D.希望承担更有挑战性的工作，并争取更大发展空间</t>
        </is>
      </c>
      <c r="T338" s="2" t="inlineStr">
        <is>
          <t>A.基本满意，希望保持</t>
        </is>
      </c>
      <c r="U338" s="2" t="inlineStr">
        <is>
          <t>A.减少重复性事务</t>
        </is>
      </c>
      <c r="V338" s="2" t="inlineStr">
        <is>
          <t>A.没有</t>
        </is>
      </c>
      <c r="W338" s="2"/>
      <c r="X338" s="2" t="inlineStr">
        <is>
          <t>C.均衡 (80%-100%)</t>
        </is>
      </c>
      <c r="Y338" s="2" t="inlineStr">
        <is>
          <t>G.接收到任务分配单完成周期内要求的加班;H.研发探索性质，保持研究不间断的主动加班</t>
        </is>
      </c>
      <c r="Z338" s="2" t="inlineStr">
        <is>
          <t>专项检查</t>
        </is>
      </c>
      <c r="AA338" s="2" t="inlineStr">
        <is>
          <t>无</t>
        </is>
      </c>
      <c r="AB338" s="2" t="inlineStr">
        <is>
          <t>探索研发类工作</t>
        </is>
      </c>
      <c r="AC338" s="2" t="inlineStr">
        <is>
          <t>B.基本匹配（正常履行）</t>
        </is>
      </c>
      <c r="AD338" s="2" t="inlineStr">
        <is>
          <t>暂无</t>
        </is>
      </c>
      <c r="AE338" s="2"/>
      <c r="AF338" s="2"/>
      <c r="AG338" s="2"/>
      <c r="AH338" s="2"/>
      <c r="AI338" s="7" t="n">
        <v>6</v>
      </c>
      <c r="AJ338" s="7" t="n">
        <v>22</v>
      </c>
      <c r="AK338" s="7" t="n">
        <v>0</v>
      </c>
      <c r="AL338" s="7" t="n">
        <v>0</v>
      </c>
      <c r="AM338" s="7" t="n">
        <v>0</v>
      </c>
      <c r="AN338" s="7" t="n">
        <v>0</v>
      </c>
      <c r="AO338" s="7" t="n">
        <v>0</v>
      </c>
      <c r="AP338" s="7" t="n">
        <v>0</v>
      </c>
      <c r="AQ338" s="7" t="n">
        <v>0</v>
      </c>
      <c r="AR338" s="7" t="n">
        <v>0</v>
      </c>
      <c r="AS338" s="7" t="n">
        <v>6</v>
      </c>
      <c r="AT338" s="7" t="n">
        <v>22</v>
      </c>
      <c r="AU338" s="7" t="n">
        <v>14</v>
      </c>
      <c r="AV338" s="2" t="inlineStr">
        <is>
          <t>超负荷</t>
        </is>
      </c>
      <c r="AW338" s="2" t="inlineStr">
        <is>
          <t>不一致</t>
        </is>
      </c>
      <c r="AX338" s="2" t="inlineStr">
        <is>
          <t>f9cedc0e-6c9a-4de3-97a7-6ce41382c929</t>
        </is>
      </c>
      <c r="AY338" s="2" t="inlineStr">
        <is>
          <t>南京永利重工制造有限公司    王磊</t>
        </is>
      </c>
      <c r="AZ338" s="2" t="inlineStr">
        <is>
          <t>Anonymous</t>
        </is>
      </c>
      <c r="BA338" s="2" t="inlineStr">
        <is>
          <t>Anonymous</t>
        </is>
      </c>
      <c r="BB338" s="2"/>
      <c r="BC338" s="2" t="inlineStr">
        <is>
          <t>2026-05-21 08:43:22</t>
        </is>
      </c>
      <c r="BD338" s="3" t="n">
        <v>2000</v>
      </c>
      <c r="BE338" s="3" t="n">
        <v>26</v>
      </c>
      <c r="BF338" s="2" t="inlineStr">
        <is>
          <t>A.无此需求</t>
        </is>
      </c>
      <c r="BG338" s="2" t="inlineStr">
        <is>
          <t>已生效</t>
        </is>
      </c>
      <c r="BH338" s="2" t="inlineStr">
        <is>
          <t>13536155-7978-44f6-970b-a902f6754b55</t>
        </is>
      </c>
      <c r="BI338" s="3" t="n">
        <v>1</v>
      </c>
      <c r="BJ338" s="2"/>
      <c r="BK338" s="2"/>
      <c r="BL338" s="2"/>
      <c r="BM338" s="2"/>
      <c r="BN338" s="2"/>
      <c r="BO338" s="2"/>
      <c r="BP338" s="2"/>
      <c r="BQ338" s="2"/>
      <c r="BR338" s="2"/>
      <c r="BS338" s="2" t="inlineStr">
        <is>
          <t>e9236d9f-cf1e-4859-bed0-dca3a15caab5</t>
        </is>
      </c>
      <c r="BT338" s="3" t="n">
        <v>1</v>
      </c>
      <c r="BU338" s="2" t="inlineStr">
        <is>
          <t>数据报表类</t>
        </is>
      </c>
      <c r="BV338" s="2" t="inlineStr">
        <is>
          <t>整理仪表盘数据</t>
        </is>
      </c>
      <c r="BW338" s="2" t="inlineStr">
        <is>
          <t>1次</t>
        </is>
      </c>
      <c r="BX338" s="3" t="n">
        <v>1</v>
      </c>
      <c r="BY338" s="3" t="n">
        <v>1</v>
      </c>
      <c r="BZ338" s="2" t="inlineStr">
        <is>
          <t>B.2小时以内</t>
        </is>
      </c>
      <c r="CA338" s="7" t="n">
        <v>2</v>
      </c>
      <c r="CB338" s="7" t="n">
        <v>2</v>
      </c>
      <c r="CC338" s="7" t="n">
        <v>2</v>
      </c>
      <c r="CD338" s="7" t="n">
        <v>2</v>
      </c>
      <c r="CE338" s="2" t="inlineStr">
        <is>
          <t>数据报表类</t>
        </is>
      </c>
      <c r="CF338" s="2"/>
      <c r="CG338" s="2" t="inlineStr">
        <is>
          <t>专项统计</t>
        </is>
      </c>
      <c r="CH338" s="2" t="inlineStr">
        <is>
          <t>部门计划</t>
        </is>
      </c>
      <c r="CI338" s="2" t="inlineStr">
        <is>
          <t>重要且紧急</t>
        </is>
      </c>
      <c r="CJ338" s="2" t="inlineStr">
        <is>
          <t>半标准化-有流程框架，需专业经验</t>
        </is>
      </c>
      <c r="CK338" s="2" t="inlineStr">
        <is>
          <t>低频（5%-10%）</t>
        </is>
      </c>
      <c r="CL338" s="2" t="inlineStr">
        <is>
          <t>脑力/复杂度负荷</t>
        </is>
      </c>
      <c r="CM338" s="2"/>
      <c r="CN338" s="2" t="inlineStr">
        <is>
          <t>a1e930b1-035f-4f98-a5c5-f9197d04e69e</t>
        </is>
      </c>
      <c r="CO338" s="3" t="n">
        <v>1</v>
      </c>
      <c r="CP338" s="2"/>
      <c r="CQ338" s="2"/>
      <c r="CR338" s="2"/>
      <c r="CS338" s="3"/>
      <c r="CT338" s="3"/>
      <c r="CU338" s="2"/>
      <c r="CV338" s="3"/>
      <c r="CW338" s="3"/>
      <c r="CX338" s="3"/>
      <c r="CY338" s="3"/>
      <c r="CZ338" s="2"/>
      <c r="DA338" s="2"/>
      <c r="DB338" s="2"/>
      <c r="DC338" s="2"/>
      <c r="DD338" s="2"/>
      <c r="DE338" s="2"/>
      <c r="DF338" s="2"/>
      <c r="DG338" s="2"/>
      <c r="DH338" s="2"/>
      <c r="DI338" s="2" t="inlineStr">
        <is>
          <t>3e8260bf-8f7d-4dc5-ba43-524d893f64ec</t>
        </is>
      </c>
      <c r="DJ338" s="3" t="n">
        <v>1</v>
      </c>
      <c r="DK338" s="2"/>
      <c r="DL338" s="2"/>
      <c r="DM338" s="2"/>
      <c r="DN338" s="3"/>
      <c r="DO338" s="3"/>
      <c r="DP338" s="2"/>
      <c r="DQ338" s="3"/>
      <c r="DR338" s="3"/>
      <c r="DS338" s="3"/>
      <c r="DT338" s="3"/>
      <c r="DU338" s="2"/>
      <c r="DV338" s="2"/>
      <c r="DW338" s="2"/>
      <c r="DX338" s="2"/>
      <c r="DY338" s="2"/>
      <c r="DZ338" s="2"/>
      <c r="EA338" s="2"/>
      <c r="EB338" s="2"/>
      <c r="EC338" s="2"/>
      <c r="ED338" s="2" t="inlineStr">
        <is>
          <t>ec08e8cb-e4dd-4a06-a002-25c446e62498</t>
        </is>
      </c>
      <c r="EE338" s="3" t="n">
        <v>1</v>
      </c>
      <c r="EF338" s="2"/>
      <c r="EG338" s="2"/>
      <c r="EH338" s="2"/>
      <c r="EI338" s="3"/>
      <c r="EJ338" s="2"/>
      <c r="EK338" s="3"/>
      <c r="EL338" s="3"/>
      <c r="EM338" s="3"/>
      <c r="EN338" s="3"/>
      <c r="EO338" s="2"/>
      <c r="EP338" s="2"/>
      <c r="EQ338" s="2"/>
      <c r="ER338" s="2"/>
      <c r="ES338" s="2"/>
      <c r="ET338" s="2"/>
      <c r="EU338" s="2"/>
      <c r="EV338" s="2"/>
      <c r="EW338" s="2"/>
      <c r="EX338" s="2" t="inlineStr">
        <is>
          <t>e87b8175-1c04-45b6-b40b-3498352410a5</t>
        </is>
      </c>
      <c r="EY338" s="3" t="n">
        <v>1</v>
      </c>
      <c r="EZ338" s="2"/>
      <c r="FA338" s="2"/>
      <c r="FB338" s="2"/>
      <c r="FC338" s="2"/>
      <c r="FD338" s="3"/>
      <c r="FE338" s="3"/>
      <c r="FF338" s="2"/>
      <c r="FG338" s="3"/>
      <c r="FH338" s="3"/>
      <c r="FI338" s="7" t="n">
        <v>0</v>
      </c>
      <c r="FJ338" s="7" t="n">
        <v>0</v>
      </c>
      <c r="FK338" s="7" t="n">
        <v>0</v>
      </c>
      <c r="FL338" s="7" t="n">
        <v>0</v>
      </c>
      <c r="FM338" s="7" t="n">
        <v>0</v>
      </c>
      <c r="FN338" s="7" t="n">
        <v>0</v>
      </c>
      <c r="FO338" s="2"/>
      <c r="FP338" s="2"/>
      <c r="FQ338" s="2"/>
      <c r="FR338" s="2"/>
      <c r="FS338" s="2"/>
      <c r="FT338" s="2"/>
      <c r="FU338" s="2"/>
      <c r="FV338" s="2"/>
      <c r="FW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t="inlineStr">
        <is>
          <t>fd67d124-4df5-47f6-8cfd-b7fb6bfacd8f</t>
        </is>
      </c>
      <c r="BT339" s="3" t="n">
        <v>2</v>
      </c>
      <c r="BU339" s="2" t="inlineStr">
        <is>
          <t>数据报表类</t>
        </is>
      </c>
      <c r="BV339" s="2" t="inlineStr">
        <is>
          <t>山西兰花仪表盘维护调整</t>
        </is>
      </c>
      <c r="BW339" s="2" t="inlineStr">
        <is>
          <t>2-5次</t>
        </is>
      </c>
      <c r="BX339" s="3" t="n">
        <v>2</v>
      </c>
      <c r="BY339" s="3" t="n">
        <v>5</v>
      </c>
      <c r="BZ339" s="2" t="inlineStr">
        <is>
          <t>C.2-4小时</t>
        </is>
      </c>
      <c r="CA339" s="7" t="n">
        <v>2</v>
      </c>
      <c r="CB339" s="7" t="n">
        <v>4</v>
      </c>
      <c r="CC339" s="7" t="n">
        <v>4</v>
      </c>
      <c r="CD339" s="7" t="n">
        <v>20</v>
      </c>
      <c r="CE339" s="2" t="inlineStr">
        <is>
          <t>数据报表类</t>
        </is>
      </c>
      <c r="CF339" s="2"/>
      <c r="CG339" s="2" t="inlineStr">
        <is>
          <t>专项统计</t>
        </is>
      </c>
      <c r="CH339" s="2" t="inlineStr">
        <is>
          <t>部门计划</t>
        </is>
      </c>
      <c r="CI339" s="2" t="inlineStr">
        <is>
          <t>重要且紧急</t>
        </is>
      </c>
      <c r="CJ339" s="2" t="inlineStr">
        <is>
          <t>半标准化-有流程框架，需专业经验</t>
        </is>
      </c>
      <c r="CK339" s="2" t="inlineStr">
        <is>
          <t>低频（5%-10%）</t>
        </is>
      </c>
      <c r="CL339" s="2" t="inlineStr">
        <is>
          <t>脑力/复杂度负荷</t>
        </is>
      </c>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row>
    <row r="340">
      <c r="A340" s="2" t="inlineStr">
        <is>
          <t>2026-05-07 10:22:30</t>
        </is>
      </c>
      <c r="B340" s="2" t="inlineStr">
        <is>
          <t>左晋铭</t>
        </is>
      </c>
      <c r="C340" s="2" t="inlineStr">
        <is>
          <t>信息化中心</t>
        </is>
      </c>
      <c r="D340" s="2" t="inlineStr">
        <is>
          <t>男</t>
        </is>
      </c>
      <c r="E340" s="2" t="inlineStr">
        <is>
          <t>440681200306202019</t>
        </is>
      </c>
      <c r="F340" s="2" t="inlineStr">
        <is>
          <t>p6工程师</t>
        </is>
      </c>
      <c r="G340" s="2" t="inlineStr">
        <is>
          <t>2025-08</t>
        </is>
      </c>
      <c r="H340" s="2" t="inlineStr">
        <is>
          <t>南京工程学院</t>
        </is>
      </c>
      <c r="I340" s="2" t="inlineStr">
        <is>
          <t>工程管理</t>
        </is>
      </c>
      <c r="J340" s="2" t="inlineStr">
        <is>
          <t>本科</t>
        </is>
      </c>
      <c r="K340" s="2"/>
      <c r="L340" s="6">
        <f>HYPERLINK("https://www.h3yun.com/Form/Attachments/?schemacode=D1483577de63ede327d4760b10664bd57671d7e&amp;bizObjectId=e0ff432d-a40e-4078-8e3d-1baaec815666&amp;name=F0000046","点击查看")</f>
        <v>0</v>
      </c>
      <c r="M340" s="2" t="inlineStr">
        <is>
          <t>目前工作情况暂无工作需要</t>
        </is>
      </c>
      <c r="N340" s="2" t="inlineStr">
        <is>
          <t>每日工作;每月工作;临时/突发工作</t>
        </is>
      </c>
      <c r="O340" s="2" t="inlineStr">
        <is>
          <t>25岁及以下</t>
        </is>
      </c>
      <c r="P340" s="2" t="inlineStr">
        <is>
          <t>A.未婚</t>
        </is>
      </c>
      <c r="Q340" s="2" t="inlineStr">
        <is>
          <t>A.否</t>
        </is>
      </c>
      <c r="R340" s="2" t="inlineStr">
        <is>
          <t>A.否</t>
        </is>
      </c>
      <c r="S340" s="2" t="inlineStr">
        <is>
          <t>C.希望工作压力适中，但职责边界更清晰</t>
        </is>
      </c>
      <c r="T340" s="2" t="inlineStr">
        <is>
          <t>A.基本满意，希望保持</t>
        </is>
      </c>
      <c r="U340" s="2" t="inlineStr">
        <is>
          <t>C.增加弹性和稳定性</t>
        </is>
      </c>
      <c r="V340" s="2" t="inlineStr">
        <is>
          <t>A.没有</t>
        </is>
      </c>
      <c r="W340" s="2"/>
      <c r="X340" s="2" t="inlineStr">
        <is>
          <t>C.均衡 (80%-100%)</t>
        </is>
      </c>
      <c r="Y340" s="2" t="inlineStr">
        <is>
          <t>E.临时差旅、突发事件、会议加班</t>
        </is>
      </c>
      <c r="Z340" s="2" t="inlineStr">
        <is>
          <t>经营数据汇总</t>
        </is>
      </c>
      <c r="AA340" s="2" t="inlineStr">
        <is>
          <t>无</t>
        </is>
      </c>
      <c r="AB340" s="2" t="inlineStr">
        <is>
          <t>无</t>
        </is>
      </c>
      <c r="AC340" s="2" t="inlineStr">
        <is>
          <t>B.基本匹配（正常履行）</t>
        </is>
      </c>
      <c r="AD340" s="2" t="inlineStr">
        <is>
          <t>暂无</t>
        </is>
      </c>
      <c r="AE340" s="2" t="inlineStr">
        <is>
          <t>无</t>
        </is>
      </c>
      <c r="AF340" s="2" t="inlineStr">
        <is>
          <t>无</t>
        </is>
      </c>
      <c r="AG340" s="2"/>
      <c r="AH340" s="2"/>
      <c r="AI340" s="7" t="n">
        <v>4</v>
      </c>
      <c r="AJ340" s="7" t="n">
        <v>10</v>
      </c>
      <c r="AK340" s="7" t="n">
        <v>0</v>
      </c>
      <c r="AL340" s="7" t="n">
        <v>0</v>
      </c>
      <c r="AM340" s="7" t="n">
        <v>0.21</v>
      </c>
      <c r="AN340" s="7" t="n">
        <v>0.21</v>
      </c>
      <c r="AO340" s="7" t="n">
        <v>0</v>
      </c>
      <c r="AP340" s="7" t="n">
        <v>0</v>
      </c>
      <c r="AQ340" s="7" t="n">
        <v>0</v>
      </c>
      <c r="AR340" s="7" t="n">
        <v>0</v>
      </c>
      <c r="AS340" s="7" t="n">
        <v>4.21</v>
      </c>
      <c r="AT340" s="7" t="n">
        <v>10.21</v>
      </c>
      <c r="AU340" s="7" t="n">
        <v>7.21</v>
      </c>
      <c r="AV340" s="2" t="inlineStr">
        <is>
          <t>均衡</t>
        </is>
      </c>
      <c r="AW340" s="2" t="inlineStr">
        <is>
          <t>一致</t>
        </is>
      </c>
      <c r="AX340" s="2" t="inlineStr">
        <is>
          <t>e0ff432d-a40e-4078-8e3d-1baaec815666</t>
        </is>
      </c>
      <c r="AY340" s="2" t="inlineStr">
        <is>
          <t>信息化中心    左晋铭</t>
        </is>
      </c>
      <c r="AZ340" s="2" t="inlineStr">
        <is>
          <t>Anonymous</t>
        </is>
      </c>
      <c r="BA340" s="2" t="inlineStr">
        <is>
          <t>Anonymous</t>
        </is>
      </c>
      <c r="BB340" s="2"/>
      <c r="BC340" s="2" t="inlineStr">
        <is>
          <t>2026-05-21 08:43:22</t>
        </is>
      </c>
      <c r="BD340" s="3" t="n">
        <v>2003</v>
      </c>
      <c r="BE340" s="3" t="n">
        <v>23</v>
      </c>
      <c r="BF340" s="2" t="inlineStr">
        <is>
          <t>A.无此需求</t>
        </is>
      </c>
      <c r="BG340" s="2" t="inlineStr">
        <is>
          <t>已生效</t>
        </is>
      </c>
      <c r="BH340" s="2" t="inlineStr">
        <is>
          <t>1d897f30-d77b-4c2b-bf6d-6842850734a9</t>
        </is>
      </c>
      <c r="BI340" s="3" t="n">
        <v>1</v>
      </c>
      <c r="BJ340" s="2"/>
      <c r="BK340" s="2"/>
      <c r="BL340" s="2"/>
      <c r="BM340" s="2"/>
      <c r="BN340" s="2"/>
      <c r="BO340" s="2"/>
      <c r="BP340" s="2"/>
      <c r="BQ340" s="2"/>
      <c r="BR340" s="2"/>
      <c r="BS340" s="2" t="inlineStr">
        <is>
          <t>e19ec7fe-e282-40d1-aac9-335d5d792669</t>
        </is>
      </c>
      <c r="BT340" s="3" t="n">
        <v>1</v>
      </c>
      <c r="BU340" s="2" t="inlineStr">
        <is>
          <t>数据报表类</t>
        </is>
      </c>
      <c r="BV340" s="2" t="inlineStr">
        <is>
          <t>更新WPS多维表相关数据</t>
        </is>
      </c>
      <c r="BW340" s="2" t="inlineStr">
        <is>
          <t>2-5次</t>
        </is>
      </c>
      <c r="BX340" s="3" t="n">
        <v>2</v>
      </c>
      <c r="BY340" s="3" t="n">
        <v>5</v>
      </c>
      <c r="BZ340" s="2" t="inlineStr">
        <is>
          <t>B.2小时以内</t>
        </is>
      </c>
      <c r="CA340" s="7" t="n">
        <v>2</v>
      </c>
      <c r="CB340" s="7" t="n">
        <v>2</v>
      </c>
      <c r="CC340" s="7" t="n">
        <v>4</v>
      </c>
      <c r="CD340" s="7" t="n">
        <v>10</v>
      </c>
      <c r="CE340" s="2" t="inlineStr">
        <is>
          <t>数据报表类</t>
        </is>
      </c>
      <c r="CF340" s="2"/>
      <c r="CG340" s="2" t="inlineStr">
        <is>
          <t>专项统计</t>
        </is>
      </c>
      <c r="CH340" s="2" t="inlineStr">
        <is>
          <t>上级指令</t>
        </is>
      </c>
      <c r="CI340" s="2" t="inlineStr">
        <is>
          <t>重要不紧急</t>
        </is>
      </c>
      <c r="CJ340" s="2" t="inlineStr">
        <is>
          <t>非标准化-无先例参考，需创新协调</t>
        </is>
      </c>
      <c r="CK340" s="2" t="inlineStr">
        <is>
          <t>极少（&lt;5%）</t>
        </is>
      </c>
      <c r="CL340" s="2" t="inlineStr">
        <is>
          <t>沟通/协调负荷</t>
        </is>
      </c>
      <c r="CM340" s="2"/>
      <c r="CN340" s="2" t="inlineStr">
        <is>
          <t>45549b68-8e30-4fa5-92fd-d628618194fd</t>
        </is>
      </c>
      <c r="CO340" s="3" t="n">
        <v>1</v>
      </c>
      <c r="CP340" s="2"/>
      <c r="CQ340" s="2"/>
      <c r="CR340" s="2"/>
      <c r="CS340" s="3"/>
      <c r="CT340" s="3"/>
      <c r="CU340" s="2"/>
      <c r="CV340" s="3"/>
      <c r="CW340" s="3"/>
      <c r="CX340" s="3"/>
      <c r="CY340" s="3"/>
      <c r="CZ340" s="2"/>
      <c r="DA340" s="2"/>
      <c r="DB340" s="2"/>
      <c r="DC340" s="2"/>
      <c r="DD340" s="2"/>
      <c r="DE340" s="2"/>
      <c r="DF340" s="2"/>
      <c r="DG340" s="2"/>
      <c r="DH340" s="2"/>
      <c r="DI340" s="2" t="inlineStr">
        <is>
          <t>38422b9d-d1bc-491b-b640-60bfaa9f0e71</t>
        </is>
      </c>
      <c r="DJ340" s="3" t="n">
        <v>1</v>
      </c>
      <c r="DK340" s="2"/>
      <c r="DL340" s="2" t="inlineStr">
        <is>
          <t>初审ERP产值报表模块各分公司提交的文件</t>
        </is>
      </c>
      <c r="DM340" s="2" t="inlineStr">
        <is>
          <t>8次以上</t>
        </is>
      </c>
      <c r="DN340" s="3" t="n">
        <v>8</v>
      </c>
      <c r="DO340" s="3" t="n">
        <v>8</v>
      </c>
      <c r="DP340" s="2" t="inlineStr">
        <is>
          <t>A.20分钟以内</t>
        </is>
      </c>
      <c r="DQ340" s="7" t="n">
        <v>0.33</v>
      </c>
      <c r="DR340" s="7" t="n">
        <v>0.33</v>
      </c>
      <c r="DS340" s="7" t="n">
        <v>2.64</v>
      </c>
      <c r="DT340" s="7" t="n">
        <v>2.64</v>
      </c>
      <c r="DU340" s="2" t="inlineStr">
        <is>
          <t>数据报表类</t>
        </is>
      </c>
      <c r="DV340" s="2"/>
      <c r="DW340" s="2" t="inlineStr">
        <is>
          <t>经营数据汇总</t>
        </is>
      </c>
      <c r="DX340" s="2" t="inlineStr">
        <is>
          <t>岗位职责</t>
        </is>
      </c>
      <c r="DY340" s="2" t="inlineStr">
        <is>
          <t>重要不紧急</t>
        </is>
      </c>
      <c r="DZ340" s="2" t="inlineStr">
        <is>
          <t>半标准化-有流程框架，需专业经验</t>
        </is>
      </c>
      <c r="EA340" s="2" t="inlineStr">
        <is>
          <t>极少（&lt;5%）</t>
        </is>
      </c>
      <c r="EB340" s="2" t="inlineStr">
        <is>
          <t>沟通/协调负荷</t>
        </is>
      </c>
      <c r="EC340" s="2"/>
      <c r="ED340" s="2" t="inlineStr">
        <is>
          <t>0c2bc576-bf04-4e88-a2df-62c189f807fa</t>
        </is>
      </c>
      <c r="EE340" s="3" t="n">
        <v>1</v>
      </c>
      <c r="EF340" s="2"/>
      <c r="EG340" s="2"/>
      <c r="EH340" s="2"/>
      <c r="EI340" s="3"/>
      <c r="EJ340" s="2"/>
      <c r="EK340" s="3"/>
      <c r="EL340" s="3"/>
      <c r="EM340" s="3"/>
      <c r="EN340" s="3"/>
      <c r="EO340" s="2"/>
      <c r="EP340" s="2"/>
      <c r="EQ340" s="2"/>
      <c r="ER340" s="2"/>
      <c r="ES340" s="2"/>
      <c r="ET340" s="2"/>
      <c r="EU340" s="2"/>
      <c r="EV340" s="2"/>
      <c r="EW340" s="2"/>
      <c r="EX340" s="2" t="inlineStr">
        <is>
          <t>5eb65990-021a-4691-8e02-8d9961c038e4</t>
        </is>
      </c>
      <c r="EY340" s="3" t="n">
        <v>1</v>
      </c>
      <c r="EZ340" s="2"/>
      <c r="FA340" s="2" t="inlineStr">
        <is>
          <t>项目p6进度计划文件编制</t>
        </is>
      </c>
      <c r="FB340" s="2" t="inlineStr">
        <is>
          <t>也有可能不发生</t>
        </is>
      </c>
      <c r="FC340" s="2" t="inlineStr">
        <is>
          <t>无</t>
        </is>
      </c>
      <c r="FD340" s="3" t="n">
        <v>0</v>
      </c>
      <c r="FE340" s="3" t="n">
        <v>0</v>
      </c>
      <c r="FF340" s="2" t="inlineStr">
        <is>
          <t>D.4-8小时</t>
        </is>
      </c>
      <c r="FG340" s="7" t="n">
        <v>4</v>
      </c>
      <c r="FH340" s="7" t="n">
        <v>8</v>
      </c>
      <c r="FI340" s="7" t="n">
        <v>0</v>
      </c>
      <c r="FJ340" s="7" t="n">
        <v>0</v>
      </c>
      <c r="FK340" s="7" t="n">
        <v>0</v>
      </c>
      <c r="FL340" s="7" t="n">
        <v>0</v>
      </c>
      <c r="FM340" s="7" t="n">
        <v>0</v>
      </c>
      <c r="FN340" s="7" t="n">
        <v>0</v>
      </c>
      <c r="FO340" s="2" t="inlineStr">
        <is>
          <t>专业技术类</t>
        </is>
      </c>
      <c r="FP340" s="2"/>
      <c r="FQ340" s="2" t="inlineStr">
        <is>
          <t>标准研究</t>
        </is>
      </c>
      <c r="FR340" s="2" t="inlineStr">
        <is>
          <t>上级指令</t>
        </is>
      </c>
      <c r="FS340" s="2" t="inlineStr">
        <is>
          <t>重要且紧急</t>
        </is>
      </c>
      <c r="FT340" s="2" t="inlineStr">
        <is>
          <t>半标准化-有流程框架，需专业经验</t>
        </is>
      </c>
      <c r="FU340" s="2" t="inlineStr">
        <is>
          <t>极少（&lt;5%）</t>
        </is>
      </c>
      <c r="FV340" s="2" t="inlineStr">
        <is>
          <t>脑力/复杂度负荷</t>
        </is>
      </c>
      <c r="FW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t="inlineStr">
        <is>
          <t>501dd12b-a4a7-48b8-9c99-549e1bc81f62</t>
        </is>
      </c>
      <c r="DJ341" s="3" t="n">
        <v>2</v>
      </c>
      <c r="DK341" s="2"/>
      <c r="DL341" s="2" t="inlineStr">
        <is>
          <t>每月进度计划相关月报内容更新</t>
        </is>
      </c>
      <c r="DM341" s="2" t="inlineStr">
        <is>
          <t>1次</t>
        </is>
      </c>
      <c r="DN341" s="3" t="n">
        <v>1</v>
      </c>
      <c r="DO341" s="3" t="n">
        <v>1</v>
      </c>
      <c r="DP341" s="2" t="inlineStr">
        <is>
          <t>B.2小时以内</t>
        </is>
      </c>
      <c r="DQ341" s="7" t="n">
        <v>2</v>
      </c>
      <c r="DR341" s="7" t="n">
        <v>2</v>
      </c>
      <c r="DS341" s="7" t="n">
        <v>2</v>
      </c>
      <c r="DT341" s="7" t="n">
        <v>2</v>
      </c>
      <c r="DU341" s="2" t="inlineStr">
        <is>
          <t>数据报表类</t>
        </is>
      </c>
      <c r="DV341" s="2"/>
      <c r="DW341" s="2" t="inlineStr">
        <is>
          <t>月报</t>
        </is>
      </c>
      <c r="DX341" s="2" t="inlineStr">
        <is>
          <t>岗位职责</t>
        </is>
      </c>
      <c r="DY341" s="2" t="inlineStr">
        <is>
          <t>重要且紧急</t>
        </is>
      </c>
      <c r="DZ341" s="2" t="inlineStr">
        <is>
          <t>半标准化-有流程框架，需专业经验</t>
        </is>
      </c>
      <c r="EA341" s="2" t="inlineStr">
        <is>
          <t>极少（&lt;5%）</t>
        </is>
      </c>
      <c r="EB341" s="2" t="inlineStr">
        <is>
          <t>时效/强度负荷</t>
        </is>
      </c>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row>
    <row r="342">
      <c r="A342" s="2" t="inlineStr">
        <is>
          <t>2026-05-07 10:20:11</t>
        </is>
      </c>
      <c r="B342" s="2" t="inlineStr">
        <is>
          <t>方祥</t>
        </is>
      </c>
      <c r="C342" s="2" t="inlineStr">
        <is>
          <t>技术中心</t>
        </is>
      </c>
      <c r="D342" s="2" t="inlineStr">
        <is>
          <t>男</t>
        </is>
      </c>
      <c r="E342" s="2" t="inlineStr">
        <is>
          <t>341021200001065250</t>
        </is>
      </c>
      <c r="F342" s="2" t="inlineStr">
        <is>
          <t>技术助理(二)</t>
        </is>
      </c>
      <c r="G342" s="2" t="inlineStr">
        <is>
          <t>2023-08</t>
        </is>
      </c>
      <c r="H342" s="2" t="inlineStr">
        <is>
          <t>池州学院</t>
        </is>
      </c>
      <c r="I342" s="2" t="inlineStr">
        <is>
          <t>其他</t>
        </is>
      </c>
      <c r="J342" s="2" t="inlineStr">
        <is>
          <t>本科</t>
        </is>
      </c>
      <c r="K342" s="2"/>
      <c r="L342" s="6">
        <f>HYPERLINK("https://www.h3yun.com/Form/Attachments/?schemacode=D1483577de63ede327d4760b10664bd57671d7e&amp;bizObjectId=959f4d53-58e9-48dc-944d-5ba0818f0e50&amp;name=F0000046","点击查看")</f>
        <v>0</v>
      </c>
      <c r="M342" s="2" t="inlineStr">
        <is>
          <t>月薪资确认还是之前本人手签的比较准</t>
        </is>
      </c>
      <c r="N342" s="2" t="inlineStr">
        <is>
          <t>每日工作</t>
        </is>
      </c>
      <c r="O342" s="2" t="inlineStr">
        <is>
          <t>26-30岁</t>
        </is>
      </c>
      <c r="P342" s="2" t="inlineStr">
        <is>
          <t>A.未婚</t>
        </is>
      </c>
      <c r="Q342" s="2" t="inlineStr">
        <is>
          <t>A.否</t>
        </is>
      </c>
      <c r="R342" s="2" t="inlineStr">
        <is>
          <t>A.否</t>
        </is>
      </c>
      <c r="S342" s="2" t="inlineStr">
        <is>
          <t>D.希望承担更有挑战性的工作，并争取更大发展空间</t>
        </is>
      </c>
      <c r="T342" s="2" t="inlineStr">
        <is>
          <t>E.希望承担更重要、更有挑战的职责</t>
        </is>
      </c>
      <c r="U342" s="2" t="inlineStr">
        <is>
          <t>A.减少重复性事务</t>
        </is>
      </c>
      <c r="V342" s="2" t="inlineStr">
        <is>
          <t>B.提出过建议，但未推动</t>
        </is>
      </c>
      <c r="W342" s="2" t="inlineStr">
        <is>
          <t>F.责任边界不清</t>
        </is>
      </c>
      <c r="X342" s="2" t="inlineStr">
        <is>
          <t>C.均衡 (80%-100%)</t>
        </is>
      </c>
      <c r="Y342" s="2" t="inlineStr">
        <is>
          <t>E.项目服务按照项目作息考勤制加班;G.接收到任务分配单完成周期内要求的加班</t>
        </is>
      </c>
      <c r="Z342" s="2" t="inlineStr">
        <is>
          <t>专业问题协调</t>
        </is>
      </c>
      <c r="AA342" s="2" t="inlineStr">
        <is>
          <t>合同流程</t>
        </is>
      </c>
      <c r="AB342" s="2" t="inlineStr">
        <is>
          <t>专业问题协调</t>
        </is>
      </c>
      <c r="AC342" s="2" t="inlineStr">
        <is>
          <t>B.基本匹配（正常履行）</t>
        </is>
      </c>
      <c r="AD342" s="2" t="inlineStr">
        <is>
          <t>应建立基于职能定位的专业化分工体系，确保“人适其岗，岗尽其责”。各类业务应由对应职能部门承接，形成专业化闭环管理，严禁跨职能的随意处置。避免因“顺手而为”导致的职能边界模糊，从源头上杜绝职责交叉与管理混乱.</t>
        </is>
      </c>
      <c r="AE342" s="2"/>
      <c r="AF342" s="2"/>
      <c r="AG342" s="2"/>
      <c r="AH342" s="2"/>
      <c r="AI342" s="7" t="n">
        <v>20</v>
      </c>
      <c r="AJ342" s="7" t="n">
        <v>20</v>
      </c>
      <c r="AK342" s="7" t="n">
        <v>0</v>
      </c>
      <c r="AL342" s="7" t="n">
        <v>0</v>
      </c>
      <c r="AM342" s="7" t="n">
        <v>0</v>
      </c>
      <c r="AN342" s="7" t="n">
        <v>0</v>
      </c>
      <c r="AO342" s="7" t="n">
        <v>0</v>
      </c>
      <c r="AP342" s="7" t="n">
        <v>0</v>
      </c>
      <c r="AQ342" s="7" t="n">
        <v>0</v>
      </c>
      <c r="AR342" s="7" t="n">
        <v>0</v>
      </c>
      <c r="AS342" s="7" t="n">
        <v>20</v>
      </c>
      <c r="AT342" s="7" t="n">
        <v>20</v>
      </c>
      <c r="AU342" s="7" t="n">
        <v>20</v>
      </c>
      <c r="AV342" s="2" t="inlineStr">
        <is>
          <t>超负荷</t>
        </is>
      </c>
      <c r="AW342" s="2" t="inlineStr">
        <is>
          <t>不一致</t>
        </is>
      </c>
      <c r="AX342" s="2" t="inlineStr">
        <is>
          <t>959f4d53-58e9-48dc-944d-5ba0818f0e50</t>
        </is>
      </c>
      <c r="AY342" s="2" t="inlineStr">
        <is>
          <t>技术中心    方祥</t>
        </is>
      </c>
      <c r="AZ342" s="2" t="inlineStr">
        <is>
          <t>Anonymous</t>
        </is>
      </c>
      <c r="BA342" s="2" t="inlineStr">
        <is>
          <t>Anonymous</t>
        </is>
      </c>
      <c r="BB342" s="2"/>
      <c r="BC342" s="2" t="inlineStr">
        <is>
          <t>2026-05-21 08:43:22</t>
        </is>
      </c>
      <c r="BD342" s="3" t="n">
        <v>2000</v>
      </c>
      <c r="BE342" s="3" t="n">
        <v>26</v>
      </c>
      <c r="BF342" s="2" t="inlineStr">
        <is>
          <t>A.无此需求</t>
        </is>
      </c>
      <c r="BG342" s="2" t="inlineStr">
        <is>
          <t>已生效</t>
        </is>
      </c>
      <c r="BH342" s="2" t="inlineStr">
        <is>
          <t>a5622dba-5569-4b63-8c7f-68bf406217ec</t>
        </is>
      </c>
      <c r="BI342" s="3" t="n">
        <v>1</v>
      </c>
      <c r="BJ342" s="2"/>
      <c r="BK342" s="2"/>
      <c r="BL342" s="2"/>
      <c r="BM342" s="2"/>
      <c r="BN342" s="2"/>
      <c r="BO342" s="2"/>
      <c r="BP342" s="2"/>
      <c r="BQ342" s="2"/>
      <c r="BR342" s="2"/>
      <c r="BS342" s="2" t="inlineStr">
        <is>
          <t>d9d49c47-3660-4d23-bfa0-69b4befe8756</t>
        </is>
      </c>
      <c r="BT342" s="3" t="n">
        <v>1</v>
      </c>
      <c r="BU342" s="2" t="inlineStr">
        <is>
          <t>专业技术类</t>
        </is>
      </c>
      <c r="BV342" s="2" t="inlineStr">
        <is>
          <t>氚云技术支持以及硬件二次开发事宜</t>
        </is>
      </c>
      <c r="BW342" s="2" t="inlineStr">
        <is>
          <t>10次以上</t>
        </is>
      </c>
      <c r="BX342" s="3" t="n">
        <v>10</v>
      </c>
      <c r="BY342" s="3" t="n">
        <v>10</v>
      </c>
      <c r="BZ342" s="2" t="inlineStr">
        <is>
          <t>B.2小时以内</t>
        </is>
      </c>
      <c r="CA342" s="7" t="n">
        <v>2</v>
      </c>
      <c r="CB342" s="7" t="n">
        <v>2</v>
      </c>
      <c r="CC342" s="7" t="n">
        <v>20</v>
      </c>
      <c r="CD342" s="7" t="n">
        <v>20</v>
      </c>
      <c r="CE342" s="2" t="inlineStr">
        <is>
          <t>专业技术类</t>
        </is>
      </c>
      <c r="CF342" s="2"/>
      <c r="CG342" s="2" t="inlineStr">
        <is>
          <t>专业问题协调</t>
        </is>
      </c>
      <c r="CH342" s="2" t="inlineStr">
        <is>
          <t>部门计划</t>
        </is>
      </c>
      <c r="CI342" s="2" t="inlineStr">
        <is>
          <t>重要不紧急</t>
        </is>
      </c>
      <c r="CJ342" s="2" t="inlineStr">
        <is>
          <t>半标准化-有流程框架，需专业经验</t>
        </is>
      </c>
      <c r="CK342" s="2" t="inlineStr">
        <is>
          <t>低频（5%-10%）</t>
        </is>
      </c>
      <c r="CL342" s="2" t="inlineStr">
        <is>
          <t>沟通/协调负荷</t>
        </is>
      </c>
      <c r="CM342" s="2"/>
      <c r="CN342" s="2" t="inlineStr">
        <is>
          <t>3ba39d2c-f6a1-4ccd-b74f-af5a9bfa9da4</t>
        </is>
      </c>
      <c r="CO342" s="3" t="n">
        <v>1</v>
      </c>
      <c r="CP342" s="2"/>
      <c r="CQ342" s="2"/>
      <c r="CR342" s="2"/>
      <c r="CS342" s="3"/>
      <c r="CT342" s="3"/>
      <c r="CU342" s="2"/>
      <c r="CV342" s="3"/>
      <c r="CW342" s="3"/>
      <c r="CX342" s="3"/>
      <c r="CY342" s="3"/>
      <c r="CZ342" s="2"/>
      <c r="DA342" s="2"/>
      <c r="DB342" s="2"/>
      <c r="DC342" s="2"/>
      <c r="DD342" s="2"/>
      <c r="DE342" s="2"/>
      <c r="DF342" s="2"/>
      <c r="DG342" s="2"/>
      <c r="DH342" s="2"/>
      <c r="DI342" s="2" t="inlineStr">
        <is>
          <t>d9659ceb-f749-4112-afb5-ef6cd1f77f44</t>
        </is>
      </c>
      <c r="DJ342" s="3" t="n">
        <v>1</v>
      </c>
      <c r="DK342" s="2"/>
      <c r="DL342" s="2"/>
      <c r="DM342" s="2"/>
      <c r="DN342" s="3"/>
      <c r="DO342" s="3"/>
      <c r="DP342" s="2"/>
      <c r="DQ342" s="3"/>
      <c r="DR342" s="3"/>
      <c r="DS342" s="3"/>
      <c r="DT342" s="3"/>
      <c r="DU342" s="2"/>
      <c r="DV342" s="2"/>
      <c r="DW342" s="2"/>
      <c r="DX342" s="2"/>
      <c r="DY342" s="2"/>
      <c r="DZ342" s="2"/>
      <c r="EA342" s="2"/>
      <c r="EB342" s="2"/>
      <c r="EC342" s="2"/>
      <c r="ED342" s="2" t="inlineStr">
        <is>
          <t>81463c58-d9c7-4f95-9d00-31d18b9bed4c</t>
        </is>
      </c>
      <c r="EE342" s="3" t="n">
        <v>1</v>
      </c>
      <c r="EF342" s="2"/>
      <c r="EG342" s="2"/>
      <c r="EH342" s="2"/>
      <c r="EI342" s="3"/>
      <c r="EJ342" s="2"/>
      <c r="EK342" s="3"/>
      <c r="EL342" s="3"/>
      <c r="EM342" s="3"/>
      <c r="EN342" s="3"/>
      <c r="EO342" s="2"/>
      <c r="EP342" s="2"/>
      <c r="EQ342" s="2"/>
      <c r="ER342" s="2"/>
      <c r="ES342" s="2"/>
      <c r="ET342" s="2"/>
      <c r="EU342" s="2"/>
      <c r="EV342" s="2"/>
      <c r="EW342" s="2"/>
      <c r="EX342" s="2" t="inlineStr">
        <is>
          <t>9d89c920-451e-4547-bf38-94ed44abcef5</t>
        </is>
      </c>
      <c r="EY342" s="3" t="n">
        <v>1</v>
      </c>
      <c r="EZ342" s="2"/>
      <c r="FA342" s="2"/>
      <c r="FB342" s="2"/>
      <c r="FC342" s="2"/>
      <c r="FD342" s="3"/>
      <c r="FE342" s="3"/>
      <c r="FF342" s="2"/>
      <c r="FG342" s="3"/>
      <c r="FH342" s="3"/>
      <c r="FI342" s="7" t="n">
        <v>0</v>
      </c>
      <c r="FJ342" s="7" t="n">
        <v>0</v>
      </c>
      <c r="FK342" s="7" t="n">
        <v>0</v>
      </c>
      <c r="FL342" s="7" t="n">
        <v>0</v>
      </c>
      <c r="FM342" s="7" t="n">
        <v>0</v>
      </c>
      <c r="FN342" s="7" t="n">
        <v>0</v>
      </c>
      <c r="FO342" s="2"/>
      <c r="FP342" s="2"/>
      <c r="FQ342" s="2"/>
      <c r="FR342" s="2"/>
      <c r="FS342" s="2"/>
      <c r="FT342" s="2"/>
      <c r="FU342" s="2"/>
      <c r="FV342" s="2"/>
      <c r="FW342" s="2"/>
    </row>
    <row r="343">
      <c r="A343" s="2" t="inlineStr">
        <is>
          <t>2026-05-07 10:17:37</t>
        </is>
      </c>
      <c r="B343" s="2" t="inlineStr">
        <is>
          <t>汤冉</t>
        </is>
      </c>
      <c r="C343" s="2" t="inlineStr">
        <is>
          <t>技术中心</t>
        </is>
      </c>
      <c r="D343" s="2" t="inlineStr">
        <is>
          <t>男</t>
        </is>
      </c>
      <c r="E343" s="2" t="inlineStr">
        <is>
          <t>320112198809020439</t>
        </is>
      </c>
      <c r="F343" s="2" t="inlineStr">
        <is>
          <t>业务主管</t>
        </is>
      </c>
      <c r="G343" s="2" t="inlineStr">
        <is>
          <t>2023-07</t>
        </is>
      </c>
      <c r="H343" s="2" t="inlineStr">
        <is>
          <t>仁荷大学</t>
        </is>
      </c>
      <c r="I343" s="2" t="inlineStr">
        <is>
          <t>其他</t>
        </is>
      </c>
      <c r="J343" s="2" t="inlineStr">
        <is>
          <t>硕士</t>
        </is>
      </c>
      <c r="K343" s="2"/>
      <c r="L343" s="6">
        <f>HYPERLINK("https://www.h3yun.com/Form/Attachments/?schemacode=D1483577de63ede327d4760b10664bd57671d7e&amp;bizObjectId=278814b7-9036-445e-a9e5-722fc81ba40a&amp;name=F0000046","点击查看")</f>
        <v>0</v>
      </c>
      <c r="M343" s="2" t="inlineStr">
        <is>
          <t>无</t>
        </is>
      </c>
      <c r="N343" s="2" t="inlineStr">
        <is>
          <t>每周工作</t>
        </is>
      </c>
      <c r="O343" s="2" t="inlineStr">
        <is>
          <t>30-40岁</t>
        </is>
      </c>
      <c r="P343" s="2" t="inlineStr">
        <is>
          <t>A.未婚</t>
        </is>
      </c>
      <c r="Q343" s="2" t="inlineStr">
        <is>
          <t>A.否</t>
        </is>
      </c>
      <c r="R343" s="2" t="inlineStr">
        <is>
          <t>A.否</t>
        </is>
      </c>
      <c r="S343" s="2" t="inlineStr">
        <is>
          <t>E.愿意承担更高挑战和更大压力，以换取更高回报或晋升机会</t>
        </is>
      </c>
      <c r="T343" s="2" t="inlineStr">
        <is>
          <t>E.希望承担更重要、更有挑战的职责</t>
        </is>
      </c>
      <c r="U343" s="2" t="inlineStr">
        <is>
          <t>E.增加成长性和挑战性</t>
        </is>
      </c>
      <c r="V343" s="2" t="inlineStr">
        <is>
          <t>A.没有</t>
        </is>
      </c>
      <c r="W343" s="2"/>
      <c r="X343" s="2" t="inlineStr">
        <is>
          <t>C.均衡 (80%-100%)</t>
        </is>
      </c>
      <c r="Y343" s="2" t="inlineStr">
        <is>
          <t>H.研发探索性质，保持研究不间断的主动加班</t>
        </is>
      </c>
      <c r="Z343" s="2" t="inlineStr">
        <is>
          <t>专题工作推进</t>
        </is>
      </c>
      <c r="AA343" s="2" t="inlineStr">
        <is>
          <t>无</t>
        </is>
      </c>
      <c r="AB343" s="2" t="inlineStr">
        <is>
          <t>探索研发类工作</t>
        </is>
      </c>
      <c r="AC343" s="2" t="inlineStr">
        <is>
          <t>B.基本匹配（正常履行）</t>
        </is>
      </c>
      <c r="AD343" s="2" t="inlineStr">
        <is>
          <t>无</t>
        </is>
      </c>
      <c r="AE343" s="2"/>
      <c r="AF343" s="2"/>
      <c r="AG343" s="2"/>
      <c r="AH343" s="2"/>
      <c r="AI343" s="7" t="n">
        <v>0</v>
      </c>
      <c r="AJ343" s="7" t="n">
        <v>0</v>
      </c>
      <c r="AK343" s="7" t="n">
        <v>8.8</v>
      </c>
      <c r="AL343" s="7" t="n">
        <v>15.2</v>
      </c>
      <c r="AM343" s="7" t="n">
        <v>0</v>
      </c>
      <c r="AN343" s="7" t="n">
        <v>0</v>
      </c>
      <c r="AO343" s="7" t="n">
        <v>0</v>
      </c>
      <c r="AP343" s="7" t="n">
        <v>0</v>
      </c>
      <c r="AQ343" s="7" t="n">
        <v>0</v>
      </c>
      <c r="AR343" s="7" t="n">
        <v>0</v>
      </c>
      <c r="AS343" s="7" t="n">
        <v>8.8</v>
      </c>
      <c r="AT343" s="7" t="n">
        <v>15.2</v>
      </c>
      <c r="AU343" s="7" t="n">
        <v>12</v>
      </c>
      <c r="AV343" s="2" t="inlineStr">
        <is>
          <t>超负荷</t>
        </is>
      </c>
      <c r="AW343" s="2" t="inlineStr">
        <is>
          <t>不一致</t>
        </is>
      </c>
      <c r="AX343" s="2" t="inlineStr">
        <is>
          <t>278814b7-9036-445e-a9e5-722fc81ba40a</t>
        </is>
      </c>
      <c r="AY343" s="2" t="inlineStr">
        <is>
          <t>技术中心    汤冉</t>
        </is>
      </c>
      <c r="AZ343" s="2" t="inlineStr">
        <is>
          <t>Anonymous</t>
        </is>
      </c>
      <c r="BA343" s="2" t="inlineStr">
        <is>
          <t>Anonymous</t>
        </is>
      </c>
      <c r="BB343" s="2"/>
      <c r="BC343" s="2" t="inlineStr">
        <is>
          <t>2026-05-21 08:43:22</t>
        </is>
      </c>
      <c r="BD343" s="3" t="n">
        <v>1988</v>
      </c>
      <c r="BE343" s="3" t="n">
        <v>38</v>
      </c>
      <c r="BF343" s="2" t="inlineStr">
        <is>
          <t>A.无此需求</t>
        </is>
      </c>
      <c r="BG343" s="2" t="inlineStr">
        <is>
          <t>已生效</t>
        </is>
      </c>
      <c r="BH343" s="2" t="inlineStr">
        <is>
          <t>01451eeb-23ee-43f5-ba32-0d47020c90f2</t>
        </is>
      </c>
      <c r="BI343" s="3" t="n">
        <v>1</v>
      </c>
      <c r="BJ343" s="2"/>
      <c r="BK343" s="2"/>
      <c r="BL343" s="2"/>
      <c r="BM343" s="2"/>
      <c r="BN343" s="2"/>
      <c r="BO343" s="2"/>
      <c r="BP343" s="2"/>
      <c r="BQ343" s="2"/>
      <c r="BR343" s="2"/>
      <c r="BS343" s="2" t="inlineStr">
        <is>
          <t>b740e5c4-ed0d-4cd3-b563-548f3ae4fb1e</t>
        </is>
      </c>
      <c r="BT343" s="3" t="n">
        <v>1</v>
      </c>
      <c r="BU343" s="2"/>
      <c r="BV343" s="2" t="inlineStr">
        <is>
          <t>专业技术类</t>
        </is>
      </c>
      <c r="BW343" s="2"/>
      <c r="BX343" s="3"/>
      <c r="BY343" s="3"/>
      <c r="BZ343" s="2"/>
      <c r="CA343" s="3"/>
      <c r="CB343" s="3"/>
      <c r="CC343" s="3"/>
      <c r="CD343" s="3"/>
      <c r="CE343" s="2"/>
      <c r="CF343" s="2"/>
      <c r="CG343" s="2"/>
      <c r="CH343" s="2"/>
      <c r="CI343" s="2"/>
      <c r="CJ343" s="2"/>
      <c r="CK343" s="2"/>
      <c r="CL343" s="2"/>
      <c r="CM343" s="2"/>
      <c r="CN343" s="2" t="inlineStr">
        <is>
          <t>747da13d-cb17-45b3-bb94-a31ed48013d5</t>
        </is>
      </c>
      <c r="CO343" s="3" t="n">
        <v>1</v>
      </c>
      <c r="CP343" s="2"/>
      <c r="CQ343" s="2" t="inlineStr">
        <is>
          <t>管道材料编码系统开发</t>
        </is>
      </c>
      <c r="CR343" s="2" t="inlineStr">
        <is>
          <t>5次以上</t>
        </is>
      </c>
      <c r="CS343" s="3" t="n">
        <v>5</v>
      </c>
      <c r="CT343" s="3" t="n">
        <v>5</v>
      </c>
      <c r="CU343" s="2" t="inlineStr">
        <is>
          <t>D.4-8小时</t>
        </is>
      </c>
      <c r="CV343" s="7" t="n">
        <v>4</v>
      </c>
      <c r="CW343" s="7" t="n">
        <v>8</v>
      </c>
      <c r="CX343" s="7" t="n">
        <v>20</v>
      </c>
      <c r="CY343" s="7" t="n">
        <v>40</v>
      </c>
      <c r="CZ343" s="2" t="inlineStr">
        <is>
          <t>专业技术类</t>
        </is>
      </c>
      <c r="DA343" s="2"/>
      <c r="DB343" s="2" t="inlineStr">
        <is>
          <t>探索研发类工作</t>
        </is>
      </c>
      <c r="DC343" s="2" t="inlineStr">
        <is>
          <t>岗位职责</t>
        </is>
      </c>
      <c r="DD343" s="2" t="inlineStr">
        <is>
          <t>重要且紧急</t>
        </is>
      </c>
      <c r="DE343" s="2" t="inlineStr">
        <is>
          <t>半标准化-有流程框架，需专业经验</t>
        </is>
      </c>
      <c r="DF343" s="2" t="inlineStr">
        <is>
          <t>中频（10%-30%）</t>
        </is>
      </c>
      <c r="DG343" s="2" t="inlineStr">
        <is>
          <t>脑力/复杂度负荷</t>
        </is>
      </c>
      <c r="DH343" s="2"/>
      <c r="DI343" s="2" t="inlineStr">
        <is>
          <t>cd7589d3-3afc-499f-ab2b-87f564977d45</t>
        </is>
      </c>
      <c r="DJ343" s="3" t="n">
        <v>1</v>
      </c>
      <c r="DK343" s="2"/>
      <c r="DL343" s="2"/>
      <c r="DM343" s="2"/>
      <c r="DN343" s="3"/>
      <c r="DO343" s="3"/>
      <c r="DP343" s="2"/>
      <c r="DQ343" s="3"/>
      <c r="DR343" s="3"/>
      <c r="DS343" s="3"/>
      <c r="DT343" s="3"/>
      <c r="DU343" s="2"/>
      <c r="DV343" s="2"/>
      <c r="DW343" s="2"/>
      <c r="DX343" s="2"/>
      <c r="DY343" s="2"/>
      <c r="DZ343" s="2"/>
      <c r="EA343" s="2"/>
      <c r="EB343" s="2"/>
      <c r="EC343" s="2"/>
      <c r="ED343" s="2" t="inlineStr">
        <is>
          <t>0edf4416-7aa7-484d-a1b7-6d2f1b383f2c</t>
        </is>
      </c>
      <c r="EE343" s="3" t="n">
        <v>1</v>
      </c>
      <c r="EF343" s="2"/>
      <c r="EG343" s="2"/>
      <c r="EH343" s="2"/>
      <c r="EI343" s="3"/>
      <c r="EJ343" s="2"/>
      <c r="EK343" s="3"/>
      <c r="EL343" s="3"/>
      <c r="EM343" s="3"/>
      <c r="EN343" s="3"/>
      <c r="EO343" s="2"/>
      <c r="EP343" s="2"/>
      <c r="EQ343" s="2"/>
      <c r="ER343" s="2"/>
      <c r="ES343" s="2"/>
      <c r="ET343" s="2"/>
      <c r="EU343" s="2"/>
      <c r="EV343" s="2"/>
      <c r="EW343" s="2"/>
      <c r="EX343" s="2" t="inlineStr">
        <is>
          <t>a1a80c6c-a25f-473c-ba49-1248505fcb06</t>
        </is>
      </c>
      <c r="EY343" s="3" t="n">
        <v>1</v>
      </c>
      <c r="EZ343" s="2"/>
      <c r="FA343" s="2"/>
      <c r="FB343" s="2"/>
      <c r="FC343" s="2"/>
      <c r="FD343" s="3"/>
      <c r="FE343" s="3"/>
      <c r="FF343" s="2"/>
      <c r="FG343" s="3"/>
      <c r="FH343" s="3"/>
      <c r="FI343" s="7" t="n">
        <v>0</v>
      </c>
      <c r="FJ343" s="7" t="n">
        <v>0</v>
      </c>
      <c r="FK343" s="7" t="n">
        <v>0</v>
      </c>
      <c r="FL343" s="7" t="n">
        <v>0</v>
      </c>
      <c r="FM343" s="7" t="n">
        <v>0</v>
      </c>
      <c r="FN343" s="7" t="n">
        <v>0</v>
      </c>
      <c r="FO343" s="2"/>
      <c r="FP343" s="2"/>
      <c r="FQ343" s="2"/>
      <c r="FR343" s="2"/>
      <c r="FS343" s="2"/>
      <c r="FT343" s="2"/>
      <c r="FU343" s="2"/>
      <c r="FV343" s="2"/>
      <c r="FW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t="inlineStr">
        <is>
          <t>c6c7ef5c-255f-4989-917e-421ede00b81e</t>
        </is>
      </c>
      <c r="CO344" s="3" t="n">
        <v>2</v>
      </c>
      <c r="CP344" s="2"/>
      <c r="CQ344" s="2" t="inlineStr">
        <is>
          <t>大模型部署及优化</t>
        </is>
      </c>
      <c r="CR344" s="2" t="inlineStr">
        <is>
          <t>2-3次</t>
        </is>
      </c>
      <c r="CS344" s="3" t="n">
        <v>2</v>
      </c>
      <c r="CT344" s="3" t="n">
        <v>3</v>
      </c>
      <c r="CU344" s="2" t="inlineStr">
        <is>
          <t>B.2小时以内</t>
        </is>
      </c>
      <c r="CV344" s="7" t="n">
        <v>2</v>
      </c>
      <c r="CW344" s="7" t="n">
        <v>2</v>
      </c>
      <c r="CX344" s="7" t="n">
        <v>4</v>
      </c>
      <c r="CY344" s="7" t="n">
        <v>6</v>
      </c>
      <c r="CZ344" s="2" t="inlineStr">
        <is>
          <t>专业技术类</t>
        </is>
      </c>
      <c r="DA344" s="2"/>
      <c r="DB344" s="2" t="inlineStr">
        <is>
          <t>探索研发类工作</t>
        </is>
      </c>
      <c r="DC344" s="2" t="inlineStr">
        <is>
          <t>岗位职责</t>
        </is>
      </c>
      <c r="DD344" s="2" t="inlineStr">
        <is>
          <t>重要且紧急</t>
        </is>
      </c>
      <c r="DE344" s="2" t="inlineStr">
        <is>
          <t>半标准化-有流程框架，需专业经验</t>
        </is>
      </c>
      <c r="DF344" s="2" t="inlineStr">
        <is>
          <t>低频（5%-10%）</t>
        </is>
      </c>
      <c r="DG344" s="2" t="inlineStr">
        <is>
          <t>脑力/复杂度负荷</t>
        </is>
      </c>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t="inlineStr">
        <is>
          <t>a765d16d-958e-468f-b7b5-34d48ea1a70f</t>
        </is>
      </c>
      <c r="CO345" s="3" t="n">
        <v>3</v>
      </c>
      <c r="CP345" s="2"/>
      <c r="CQ345" s="2" t="inlineStr">
        <is>
          <t>数据分析和归纳</t>
        </is>
      </c>
      <c r="CR345" s="2" t="inlineStr">
        <is>
          <t>5次以上</t>
        </is>
      </c>
      <c r="CS345" s="3" t="n">
        <v>5</v>
      </c>
      <c r="CT345" s="3" t="n">
        <v>5</v>
      </c>
      <c r="CU345" s="2" t="inlineStr">
        <is>
          <t>B.2小时以内</t>
        </is>
      </c>
      <c r="CV345" s="7" t="n">
        <v>2</v>
      </c>
      <c r="CW345" s="7" t="n">
        <v>2</v>
      </c>
      <c r="CX345" s="7" t="n">
        <v>10</v>
      </c>
      <c r="CY345" s="7" t="n">
        <v>10</v>
      </c>
      <c r="CZ345" s="2" t="inlineStr">
        <is>
          <t>专业技术类</t>
        </is>
      </c>
      <c r="DA345" s="2"/>
      <c r="DB345" s="2" t="inlineStr">
        <is>
          <t>探索研发类工作</t>
        </is>
      </c>
      <c r="DC345" s="2" t="inlineStr">
        <is>
          <t>岗位职责</t>
        </is>
      </c>
      <c r="DD345" s="2" t="inlineStr">
        <is>
          <t>重要且紧急</t>
        </is>
      </c>
      <c r="DE345" s="2" t="inlineStr">
        <is>
          <t>半标准化-有流程框架，需专业经验</t>
        </is>
      </c>
      <c r="DF345" s="2" t="inlineStr">
        <is>
          <t>低频（5%-10%）</t>
        </is>
      </c>
      <c r="DG345" s="2" t="inlineStr">
        <is>
          <t>脑力/复杂度负荷</t>
        </is>
      </c>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t="inlineStr">
        <is>
          <t>1ba74153-efed-4f61-a186-b1737a382d07</t>
        </is>
      </c>
      <c r="CO346" s="3" t="n">
        <v>4</v>
      </c>
      <c r="CP346" s="2"/>
      <c r="CQ346" s="2" t="inlineStr">
        <is>
          <t>新技术迭代和学习</t>
        </is>
      </c>
      <c r="CR346" s="2" t="inlineStr">
        <is>
          <t>5次以上</t>
        </is>
      </c>
      <c r="CS346" s="3" t="n">
        <v>5</v>
      </c>
      <c r="CT346" s="3" t="n">
        <v>5</v>
      </c>
      <c r="CU346" s="2" t="inlineStr">
        <is>
          <t>C.2-4小时</t>
        </is>
      </c>
      <c r="CV346" s="7" t="n">
        <v>2</v>
      </c>
      <c r="CW346" s="7" t="n">
        <v>4</v>
      </c>
      <c r="CX346" s="7" t="n">
        <v>10</v>
      </c>
      <c r="CY346" s="7" t="n">
        <v>20</v>
      </c>
      <c r="CZ346" s="2" t="inlineStr">
        <is>
          <t>专业技术类</t>
        </is>
      </c>
      <c r="DA346" s="2"/>
      <c r="DB346" s="2" t="inlineStr">
        <is>
          <t>探索研发类工作</t>
        </is>
      </c>
      <c r="DC346" s="2" t="inlineStr">
        <is>
          <t>岗位职责</t>
        </is>
      </c>
      <c r="DD346" s="2" t="inlineStr">
        <is>
          <t>重要不紧急</t>
        </is>
      </c>
      <c r="DE346" s="2" t="inlineStr">
        <is>
          <t>半标准化-有流程框架，需专业经验</t>
        </is>
      </c>
      <c r="DF346" s="2" t="inlineStr">
        <is>
          <t>低频（5%-10%）</t>
        </is>
      </c>
      <c r="DG346" s="2" t="inlineStr">
        <is>
          <t>脑力/复杂度负荷</t>
        </is>
      </c>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row>
    <row r="347">
      <c r="A347" s="2" t="inlineStr">
        <is>
          <t>2026-05-07 10:13:00</t>
        </is>
      </c>
      <c r="B347" s="2" t="inlineStr">
        <is>
          <t>杨荣康</t>
        </is>
      </c>
      <c r="C347" s="2" t="inlineStr">
        <is>
          <t>信息化中心</t>
        </is>
      </c>
      <c r="D347" s="2" t="inlineStr">
        <is>
          <t>男</t>
        </is>
      </c>
      <c r="E347" s="2" t="inlineStr">
        <is>
          <t>32118319970712481x</t>
        </is>
      </c>
      <c r="F347" s="2" t="inlineStr">
        <is>
          <t>系统维护</t>
        </is>
      </c>
      <c r="G347" s="2" t="inlineStr">
        <is>
          <t>2026-01</t>
        </is>
      </c>
      <c r="H347" s="2" t="inlineStr">
        <is>
          <t>南京理工大学泰州科技学院</t>
        </is>
      </c>
      <c r="I347" s="2" t="inlineStr">
        <is>
          <t>计算机科学与技术</t>
        </is>
      </c>
      <c r="J347" s="2" t="inlineStr">
        <is>
          <t>本科</t>
        </is>
      </c>
      <c r="K347" s="2"/>
      <c r="L347" s="6">
        <f>HYPERLINK("https://www.h3yun.com/Form/Attachments/?schemacode=D1483577de63ede327d4760b10664bd57671d7e&amp;bizObjectId=c39d0469-8cd0-40c9-b923-b8fca3504aaa&amp;name=F0000046","点击查看")</f>
        <v>0</v>
      </c>
      <c r="M347" s="2" t="inlineStr">
        <is>
          <t>文档整理相关</t>
        </is>
      </c>
      <c r="N347" s="2" t="inlineStr">
        <is>
          <t>每日工作;每周工作;每月工作;临时/突发工作</t>
        </is>
      </c>
      <c r="O347" s="2" t="inlineStr">
        <is>
          <t>26-30岁</t>
        </is>
      </c>
      <c r="P347" s="2" t="inlineStr">
        <is>
          <t>C.已婚已育</t>
        </is>
      </c>
      <c r="Q347" s="2" t="inlineStr">
        <is>
          <t>B.是，主要照护子女</t>
        </is>
      </c>
      <c r="R347" s="2" t="inlineStr">
        <is>
          <t>B.有1名</t>
        </is>
      </c>
      <c r="S347" s="2" t="inlineStr">
        <is>
          <t>B.希望工作更稳定、更规律，便于兼顾家庭</t>
        </is>
      </c>
      <c r="T347" s="2" t="inlineStr">
        <is>
          <t>B.工作内容可接受，但负荷偏重</t>
        </is>
      </c>
      <c r="U347" s="2" t="inlineStr">
        <is>
          <t>D.明确职责边界</t>
        </is>
      </c>
      <c r="V347" s="2" t="inlineStr">
        <is>
          <t>A.没有</t>
        </is>
      </c>
      <c r="W347" s="2"/>
      <c r="X347" s="2" t="inlineStr">
        <is>
          <t>B.满负荷 (100%-120%)</t>
        </is>
      </c>
      <c r="Y347" s="2" t="inlineStr">
        <is>
          <t>A.岗位工作量饱和，已达人效上限;C.会议或日常协调过多，压缩产出时间</t>
        </is>
      </c>
      <c r="Z347" s="2" t="inlineStr">
        <is>
          <t>专业问题协调</t>
        </is>
      </c>
      <c r="AA347" s="2" t="inlineStr">
        <is>
          <t>专项检查</t>
        </is>
      </c>
      <c r="AB347" s="2" t="inlineStr">
        <is>
          <t>专业问题协调</t>
        </is>
      </c>
      <c r="AC347" s="2" t="inlineStr">
        <is>
          <t>A.高度匹配（得心应手）</t>
        </is>
      </c>
      <c r="AD347" s="2" t="inlineStr">
        <is>
          <t>暂无</t>
        </is>
      </c>
      <c r="AE347" s="2"/>
      <c r="AF347" s="2"/>
      <c r="AG347" s="2"/>
      <c r="AH347" s="2"/>
      <c r="AI347" s="7" t="n">
        <v>6</v>
      </c>
      <c r="AJ347" s="7" t="n">
        <v>12</v>
      </c>
      <c r="AK347" s="7" t="n">
        <v>0.4</v>
      </c>
      <c r="AL347" s="7" t="n">
        <v>0.4</v>
      </c>
      <c r="AM347" s="7" t="n">
        <v>0.09</v>
      </c>
      <c r="AN347" s="7" t="n">
        <v>0.09</v>
      </c>
      <c r="AO347" s="7" t="n">
        <v>0</v>
      </c>
      <c r="AP347" s="7" t="n">
        <v>0</v>
      </c>
      <c r="AQ347" s="7" t="n">
        <v>0</v>
      </c>
      <c r="AR347" s="7" t="n">
        <v>0</v>
      </c>
      <c r="AS347" s="7" t="n">
        <v>6.49</v>
      </c>
      <c r="AT347" s="7" t="n">
        <v>12.49</v>
      </c>
      <c r="AU347" s="7" t="n">
        <v>9.49</v>
      </c>
      <c r="AV347" s="2" t="inlineStr">
        <is>
          <t>满负荷</t>
        </is>
      </c>
      <c r="AW347" s="2" t="inlineStr">
        <is>
          <t>一致</t>
        </is>
      </c>
      <c r="AX347" s="2" t="inlineStr">
        <is>
          <t>c39d0469-8cd0-40c9-b923-b8fca3504aaa</t>
        </is>
      </c>
      <c r="AY347" s="2" t="inlineStr">
        <is>
          <t>信息化中心    杨荣康</t>
        </is>
      </c>
      <c r="AZ347" s="2" t="inlineStr">
        <is>
          <t>Anonymous</t>
        </is>
      </c>
      <c r="BA347" s="2" t="inlineStr">
        <is>
          <t>Anonymous</t>
        </is>
      </c>
      <c r="BB347" s="2"/>
      <c r="BC347" s="2" t="inlineStr">
        <is>
          <t>2026-05-21 08:43:22</t>
        </is>
      </c>
      <c r="BD347" s="3" t="n">
        <v>1997</v>
      </c>
      <c r="BE347" s="3" t="n">
        <v>29</v>
      </c>
      <c r="BF347" s="2" t="inlineStr">
        <is>
          <t>A.无此需求</t>
        </is>
      </c>
      <c r="BG347" s="2" t="inlineStr">
        <is>
          <t>已生效</t>
        </is>
      </c>
      <c r="BH347" s="2" t="inlineStr">
        <is>
          <t>7fdda389-9698-44ea-af5d-da2ccca5b6bd</t>
        </is>
      </c>
      <c r="BI347" s="3" t="n">
        <v>1</v>
      </c>
      <c r="BJ347" s="2"/>
      <c r="BK347" s="2"/>
      <c r="BL347" s="2"/>
      <c r="BM347" s="2"/>
      <c r="BN347" s="2"/>
      <c r="BO347" s="2"/>
      <c r="BP347" s="2"/>
      <c r="BQ347" s="2"/>
      <c r="BR347" s="2"/>
      <c r="BS347" s="2" t="inlineStr">
        <is>
          <t>0eec9f9f-a07f-4091-bd98-7c0494e1af42</t>
        </is>
      </c>
      <c r="BT347" s="3" t="n">
        <v>1</v>
      </c>
      <c r="BU347" s="2" t="inlineStr">
        <is>
          <t>专业技术类</t>
        </is>
      </c>
      <c r="BV347" s="2" t="inlineStr">
        <is>
          <t>ERP信息事务相关</t>
        </is>
      </c>
      <c r="BW347" s="2" t="inlineStr">
        <is>
          <t>2-5次</t>
        </is>
      </c>
      <c r="BX347" s="3" t="n">
        <v>2</v>
      </c>
      <c r="BY347" s="3" t="n">
        <v>5</v>
      </c>
      <c r="BZ347" s="2" t="inlineStr">
        <is>
          <t>B.2小时以内</t>
        </is>
      </c>
      <c r="CA347" s="7" t="n">
        <v>2</v>
      </c>
      <c r="CB347" s="7" t="n">
        <v>2</v>
      </c>
      <c r="CC347" s="7" t="n">
        <v>4</v>
      </c>
      <c r="CD347" s="7" t="n">
        <v>10</v>
      </c>
      <c r="CE347" s="2" t="inlineStr">
        <is>
          <t>专业技术类</t>
        </is>
      </c>
      <c r="CF347" s="2"/>
      <c r="CG347" s="2" t="inlineStr">
        <is>
          <t>专业问题协调</t>
        </is>
      </c>
      <c r="CH347" s="2" t="inlineStr">
        <is>
          <t>跨部门协同</t>
        </is>
      </c>
      <c r="CI347" s="2" t="inlineStr">
        <is>
          <t>重要不紧急</t>
        </is>
      </c>
      <c r="CJ347" s="2" t="inlineStr">
        <is>
          <t>半标准化-有流程框架，需专业经验</t>
        </is>
      </c>
      <c r="CK347" s="2" t="inlineStr">
        <is>
          <t>低频（5%-10%）</t>
        </is>
      </c>
      <c r="CL347" s="2" t="inlineStr">
        <is>
          <t>沟通/协调负荷</t>
        </is>
      </c>
      <c r="CM347" s="2"/>
      <c r="CN347" s="2" t="inlineStr">
        <is>
          <t>50772ea2-a755-4ebe-adab-2bd181f0597b</t>
        </is>
      </c>
      <c r="CO347" s="3" t="n">
        <v>1</v>
      </c>
      <c r="CP347" s="2"/>
      <c r="CQ347" s="2" t="inlineStr">
        <is>
          <t>文档/会议</t>
        </is>
      </c>
      <c r="CR347" s="2" t="inlineStr">
        <is>
          <t>1次</t>
        </is>
      </c>
      <c r="CS347" s="3" t="n">
        <v>1</v>
      </c>
      <c r="CT347" s="3" t="n">
        <v>1</v>
      </c>
      <c r="CU347" s="2" t="inlineStr">
        <is>
          <t>B.2小时以内</t>
        </is>
      </c>
      <c r="CV347" s="7" t="n">
        <v>2</v>
      </c>
      <c r="CW347" s="7" t="n">
        <v>2</v>
      </c>
      <c r="CX347" s="7" t="n">
        <v>2</v>
      </c>
      <c r="CY347" s="7" t="n">
        <v>2</v>
      </c>
      <c r="CZ347" s="2" t="inlineStr">
        <is>
          <t>数据报表类</t>
        </is>
      </c>
      <c r="DA347" s="2"/>
      <c r="DB347" s="2" t="inlineStr">
        <is>
          <t>专项统计</t>
        </is>
      </c>
      <c r="DC347" s="2" t="inlineStr">
        <is>
          <t>部门计划</t>
        </is>
      </c>
      <c r="DD347" s="2" t="inlineStr">
        <is>
          <t>重要且紧急</t>
        </is>
      </c>
      <c r="DE347" s="2" t="inlineStr">
        <is>
          <t>半标准化-有流程框架，需专业经验</t>
        </is>
      </c>
      <c r="DF347" s="2" t="inlineStr">
        <is>
          <t>极少（&lt;5%）</t>
        </is>
      </c>
      <c r="DG347" s="2" t="inlineStr">
        <is>
          <t>时效/强度负荷</t>
        </is>
      </c>
      <c r="DH347" s="2"/>
      <c r="DI347" s="2" t="inlineStr">
        <is>
          <t>ada5ec27-7d71-4c71-8c70-6136c1fd9dac</t>
        </is>
      </c>
      <c r="DJ347" s="3" t="n">
        <v>1</v>
      </c>
      <c r="DK347" s="2"/>
      <c r="DL347" s="2" t="inlineStr">
        <is>
          <t>月报整理</t>
        </is>
      </c>
      <c r="DM347" s="2" t="inlineStr">
        <is>
          <t>1次</t>
        </is>
      </c>
      <c r="DN347" s="3" t="n">
        <v>1</v>
      </c>
      <c r="DO347" s="3" t="n">
        <v>1</v>
      </c>
      <c r="DP347" s="2" t="inlineStr">
        <is>
          <t>B.2小时以内</t>
        </is>
      </c>
      <c r="DQ347" s="7" t="n">
        <v>2</v>
      </c>
      <c r="DR347" s="7" t="n">
        <v>2</v>
      </c>
      <c r="DS347" s="7" t="n">
        <v>2</v>
      </c>
      <c r="DT347" s="7" t="n">
        <v>2</v>
      </c>
      <c r="DU347" s="2" t="inlineStr">
        <is>
          <t>数据报表类</t>
        </is>
      </c>
      <c r="DV347" s="2"/>
      <c r="DW347" s="2" t="inlineStr">
        <is>
          <t>月报</t>
        </is>
      </c>
      <c r="DX347" s="2" t="inlineStr">
        <is>
          <t>上级指令</t>
        </is>
      </c>
      <c r="DY347" s="2" t="inlineStr">
        <is>
          <t>重要且紧急</t>
        </is>
      </c>
      <c r="DZ347" s="2" t="inlineStr">
        <is>
          <t>半标准化-有流程框架，需专业经验</t>
        </is>
      </c>
      <c r="EA347" s="2" t="inlineStr">
        <is>
          <t>极少（&lt;5%）</t>
        </is>
      </c>
      <c r="EB347" s="2" t="inlineStr">
        <is>
          <t>时效/强度负荷</t>
        </is>
      </c>
      <c r="EC347" s="2"/>
      <c r="ED347" s="2" t="inlineStr">
        <is>
          <t>c62440d0-8977-4c17-b953-2d6b645bcd67</t>
        </is>
      </c>
      <c r="EE347" s="3" t="n">
        <v>1</v>
      </c>
      <c r="EF347" s="2"/>
      <c r="EG347" s="2"/>
      <c r="EH347" s="2"/>
      <c r="EI347" s="3"/>
      <c r="EJ347" s="2"/>
      <c r="EK347" s="3"/>
      <c r="EL347" s="3"/>
      <c r="EM347" s="3"/>
      <c r="EN347" s="3"/>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t="inlineStr">
        <is>
          <t>04e505b7-2da0-4bc3-b54b-ecbeed5647c2</t>
        </is>
      </c>
      <c r="BT348" s="3" t="n">
        <v>2</v>
      </c>
      <c r="BU348" s="2" t="inlineStr">
        <is>
          <t>数据报表类</t>
        </is>
      </c>
      <c r="BV348" s="2" t="inlineStr">
        <is>
          <t>日报相关</t>
        </is>
      </c>
      <c r="BW348" s="2" t="inlineStr">
        <is>
          <t>1次</t>
        </is>
      </c>
      <c r="BX348" s="3" t="n">
        <v>1</v>
      </c>
      <c r="BY348" s="3" t="n">
        <v>1</v>
      </c>
      <c r="BZ348" s="2" t="inlineStr">
        <is>
          <t>B.2小时以内</t>
        </is>
      </c>
      <c r="CA348" s="7" t="n">
        <v>2</v>
      </c>
      <c r="CB348" s="7" t="n">
        <v>2</v>
      </c>
      <c r="CC348" s="7" t="n">
        <v>2</v>
      </c>
      <c r="CD348" s="7" t="n">
        <v>2</v>
      </c>
      <c r="CE348" s="2" t="inlineStr">
        <is>
          <t>数据报表类</t>
        </is>
      </c>
      <c r="CF348" s="2"/>
      <c r="CG348" s="2" t="inlineStr">
        <is>
          <t>专项统计</t>
        </is>
      </c>
      <c r="CH348" s="2" t="inlineStr">
        <is>
          <t>部门计划</t>
        </is>
      </c>
      <c r="CI348" s="2" t="inlineStr">
        <is>
          <t>重要不紧急</t>
        </is>
      </c>
      <c r="CJ348" s="2" t="inlineStr">
        <is>
          <t>高度标准化-有成熟SOP，照做即可</t>
        </is>
      </c>
      <c r="CK348" s="2" t="inlineStr">
        <is>
          <t>极少（&lt;5%）</t>
        </is>
      </c>
      <c r="CL348" s="2" t="inlineStr">
        <is>
          <t>时效/强度负荷</t>
        </is>
      </c>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row>
    <row r="349">
      <c r="A349" s="2" t="inlineStr">
        <is>
          <t>2026-05-07 10:12:05</t>
        </is>
      </c>
      <c r="B349" s="2" t="inlineStr">
        <is>
          <t>朱家亮</t>
        </is>
      </c>
      <c r="C349" s="2" t="inlineStr">
        <is>
          <t>技术中心</t>
        </is>
      </c>
      <c r="D349" s="2" t="inlineStr">
        <is>
          <t>男</t>
        </is>
      </c>
      <c r="E349" s="2" t="inlineStr">
        <is>
          <t>320125199703273610</t>
        </is>
      </c>
      <c r="F349" s="2" t="inlineStr">
        <is>
          <t>技术助理(一)</t>
        </is>
      </c>
      <c r="G349" s="2" t="inlineStr">
        <is>
          <t>2019-08</t>
        </is>
      </c>
      <c r="H349" s="2" t="inlineStr">
        <is>
          <t>盐城工学院</t>
        </is>
      </c>
      <c r="I349" s="2" t="inlineStr">
        <is>
          <t>材料员</t>
        </is>
      </c>
      <c r="J349" s="2" t="inlineStr">
        <is>
          <t>本科</t>
        </is>
      </c>
      <c r="K349" s="2"/>
      <c r="L349" s="6">
        <f>HYPERLINK("https://www.h3yun.com/Form/Attachments/?schemacode=D1483577de63ede327d4760b10664bd57671d7e&amp;bizObjectId=aa9f8ee9-ab05-4ec0-a81d-42c747ec2253&amp;name=F0000046","点击查看")</f>
        <v>0</v>
      </c>
      <c r="M349" s="2" t="inlineStr">
        <is>
          <t>暂时没有想到合理化的建议</t>
        </is>
      </c>
      <c r="N349" s="2" t="inlineStr">
        <is>
          <t>每周工作</t>
        </is>
      </c>
      <c r="O349" s="2" t="inlineStr">
        <is>
          <t>26-30岁</t>
        </is>
      </c>
      <c r="P349" s="2" t="inlineStr">
        <is>
          <t>A.未婚</t>
        </is>
      </c>
      <c r="Q349" s="2" t="inlineStr">
        <is>
          <t>A.否</t>
        </is>
      </c>
      <c r="R349" s="2" t="inlineStr">
        <is>
          <t>A.否</t>
        </is>
      </c>
      <c r="S349" s="2" t="inlineStr">
        <is>
          <t>D.希望承担更有挑战性的工作，并争取更大发展空间</t>
        </is>
      </c>
      <c r="T349" s="2" t="inlineStr">
        <is>
          <t>E.希望承担更重要、更有挑战的职责</t>
        </is>
      </c>
      <c r="U349" s="2" t="inlineStr">
        <is>
          <t>A.减少重复性事务</t>
        </is>
      </c>
      <c r="V349" s="2" t="inlineStr">
        <is>
          <t>A.没有</t>
        </is>
      </c>
      <c r="W349" s="2"/>
      <c r="X349" s="2" t="inlineStr">
        <is>
          <t>C.均衡 (80%-100%)</t>
        </is>
      </c>
      <c r="Y349" s="2" t="inlineStr">
        <is>
          <t>G.接收到任务分配单完成周期内要求的加班;H.研发探索性质，保持研究不间断的主动加班</t>
        </is>
      </c>
      <c r="Z349" s="2" t="inlineStr">
        <is>
          <t>专题工作推进</t>
        </is>
      </c>
      <c r="AA349" s="2" t="inlineStr">
        <is>
          <t>无</t>
        </is>
      </c>
      <c r="AB349" s="2" t="inlineStr">
        <is>
          <t>专题工作推进</t>
        </is>
      </c>
      <c r="AC349" s="2" t="inlineStr">
        <is>
          <t>B.基本匹配（正常履行）</t>
        </is>
      </c>
      <c r="AD349" s="2" t="inlineStr">
        <is>
          <t>暂时没有想到合理化的建议</t>
        </is>
      </c>
      <c r="AE349" s="2"/>
      <c r="AF349" s="2"/>
      <c r="AG349" s="2"/>
      <c r="AH349" s="2"/>
      <c r="AI349" s="7" t="n">
        <v>0</v>
      </c>
      <c r="AJ349" s="7" t="n">
        <v>0</v>
      </c>
      <c r="AK349" s="7" t="n">
        <v>1.6</v>
      </c>
      <c r="AL349" s="7" t="n">
        <v>4.8</v>
      </c>
      <c r="AM349" s="7" t="n">
        <v>0</v>
      </c>
      <c r="AN349" s="7" t="n">
        <v>0</v>
      </c>
      <c r="AO349" s="7" t="n">
        <v>0</v>
      </c>
      <c r="AP349" s="7" t="n">
        <v>0</v>
      </c>
      <c r="AQ349" s="7" t="n">
        <v>0</v>
      </c>
      <c r="AR349" s="7" t="n">
        <v>0</v>
      </c>
      <c r="AS349" s="7" t="n">
        <v>1.6</v>
      </c>
      <c r="AT349" s="7" t="n">
        <v>4.8</v>
      </c>
      <c r="AU349" s="7" t="n">
        <v>3.2</v>
      </c>
      <c r="AV349" s="2" t="inlineStr">
        <is>
          <t>非饱和</t>
        </is>
      </c>
      <c r="AW349" s="2" t="inlineStr">
        <is>
          <t>不一致</t>
        </is>
      </c>
      <c r="AX349" s="2" t="inlineStr">
        <is>
          <t>aa9f8ee9-ab05-4ec0-a81d-42c747ec2253</t>
        </is>
      </c>
      <c r="AY349" s="2" t="inlineStr">
        <is>
          <t>技术中心    朱家亮</t>
        </is>
      </c>
      <c r="AZ349" s="2" t="inlineStr">
        <is>
          <t>Anonymous</t>
        </is>
      </c>
      <c r="BA349" s="2" t="inlineStr">
        <is>
          <t>Anonymous</t>
        </is>
      </c>
      <c r="BB349" s="2"/>
      <c r="BC349" s="2" t="inlineStr">
        <is>
          <t>2026-05-21 08:43:22</t>
        </is>
      </c>
      <c r="BD349" s="3" t="n">
        <v>1997</v>
      </c>
      <c r="BE349" s="3" t="n">
        <v>29</v>
      </c>
      <c r="BF349" s="2" t="inlineStr">
        <is>
          <t>A.无此需求</t>
        </is>
      </c>
      <c r="BG349" s="2" t="inlineStr">
        <is>
          <t>已生效</t>
        </is>
      </c>
      <c r="BH349" s="2" t="inlineStr">
        <is>
          <t>5a2fda02-514b-4586-9c69-9ddebc02dcd1</t>
        </is>
      </c>
      <c r="BI349" s="3" t="n">
        <v>1</v>
      </c>
      <c r="BJ349" s="2"/>
      <c r="BK349" s="2"/>
      <c r="BL349" s="2"/>
      <c r="BM349" s="2"/>
      <c r="BN349" s="2"/>
      <c r="BO349" s="2"/>
      <c r="BP349" s="2"/>
      <c r="BQ349" s="2"/>
      <c r="BR349" s="2"/>
      <c r="BS349" s="2" t="inlineStr">
        <is>
          <t>5ed7bf3d-c3f3-4853-ba9c-5923ff6fb99f</t>
        </is>
      </c>
      <c r="BT349" s="3" t="n">
        <v>1</v>
      </c>
      <c r="BU349" s="2"/>
      <c r="BV349" s="2"/>
      <c r="BW349" s="2"/>
      <c r="BX349" s="3"/>
      <c r="BY349" s="3"/>
      <c r="BZ349" s="2"/>
      <c r="CA349" s="3"/>
      <c r="CB349" s="3"/>
      <c r="CC349" s="3"/>
      <c r="CD349" s="3"/>
      <c r="CE349" s="2"/>
      <c r="CF349" s="2"/>
      <c r="CG349" s="2"/>
      <c r="CH349" s="2"/>
      <c r="CI349" s="2"/>
      <c r="CJ349" s="2"/>
      <c r="CK349" s="2"/>
      <c r="CL349" s="2"/>
      <c r="CM349" s="2"/>
      <c r="CN349" s="2" t="inlineStr">
        <is>
          <t>84e4d0fd-f1c3-474f-b527-3d46fae5097b</t>
        </is>
      </c>
      <c r="CO349" s="3" t="n">
        <v>1</v>
      </c>
      <c r="CP349" s="2"/>
      <c r="CQ349" s="2" t="inlineStr">
        <is>
          <t>基于Dify的应用型工作流研究</t>
        </is>
      </c>
      <c r="CR349" s="2" t="inlineStr">
        <is>
          <t>2-3次</t>
        </is>
      </c>
      <c r="CS349" s="3" t="n">
        <v>2</v>
      </c>
      <c r="CT349" s="3" t="n">
        <v>3</v>
      </c>
      <c r="CU349" s="2" t="inlineStr">
        <is>
          <t>D.4-8小时</t>
        </is>
      </c>
      <c r="CV349" s="7" t="n">
        <v>4</v>
      </c>
      <c r="CW349" s="7" t="n">
        <v>8</v>
      </c>
      <c r="CX349" s="7" t="n">
        <v>8</v>
      </c>
      <c r="CY349" s="7" t="n">
        <v>24</v>
      </c>
      <c r="CZ349" s="2" t="inlineStr">
        <is>
          <t>其他</t>
        </is>
      </c>
      <c r="DA349" s="2" t="inlineStr">
        <is>
          <t>研发类</t>
        </is>
      </c>
      <c r="DB349" s="2"/>
      <c r="DC349" s="2" t="inlineStr">
        <is>
          <t>部门计划</t>
        </is>
      </c>
      <c r="DD349" s="2" t="inlineStr">
        <is>
          <t>重要且紧急</t>
        </is>
      </c>
      <c r="DE349" s="2" t="inlineStr">
        <is>
          <t>半标准化-有流程框架，需专业经验</t>
        </is>
      </c>
      <c r="DF349" s="2" t="inlineStr">
        <is>
          <t>低频（5%-10%）</t>
        </is>
      </c>
      <c r="DG349" s="2" t="inlineStr">
        <is>
          <t>脑力/复杂度负荷</t>
        </is>
      </c>
      <c r="DH349" s="2"/>
      <c r="DI349" s="2" t="inlineStr">
        <is>
          <t>d96a8e52-66de-4521-b47f-0f8754ae0391</t>
        </is>
      </c>
      <c r="DJ349" s="3" t="n">
        <v>1</v>
      </c>
      <c r="DK349" s="2"/>
      <c r="DL349" s="2"/>
      <c r="DM349" s="2"/>
      <c r="DN349" s="3"/>
      <c r="DO349" s="3"/>
      <c r="DP349" s="2"/>
      <c r="DQ349" s="3"/>
      <c r="DR349" s="3"/>
      <c r="DS349" s="3"/>
      <c r="DT349" s="3"/>
      <c r="DU349" s="2"/>
      <c r="DV349" s="2"/>
      <c r="DW349" s="2"/>
      <c r="DX349" s="2"/>
      <c r="DY349" s="2"/>
      <c r="DZ349" s="2"/>
      <c r="EA349" s="2"/>
      <c r="EB349" s="2"/>
      <c r="EC349" s="2"/>
      <c r="ED349" s="2" t="inlineStr">
        <is>
          <t>89ef6f6a-e09b-4897-995a-cd70fbb6ace4</t>
        </is>
      </c>
      <c r="EE349" s="3" t="n">
        <v>1</v>
      </c>
      <c r="EF349" s="2"/>
      <c r="EG349" s="2"/>
      <c r="EH349" s="2"/>
      <c r="EI349" s="3"/>
      <c r="EJ349" s="2"/>
      <c r="EK349" s="3"/>
      <c r="EL349" s="3"/>
      <c r="EM349" s="3"/>
      <c r="EN349" s="3"/>
      <c r="EO349" s="2"/>
      <c r="EP349" s="2"/>
      <c r="EQ349" s="2"/>
      <c r="ER349" s="2"/>
      <c r="ES349" s="2"/>
      <c r="ET349" s="2"/>
      <c r="EU349" s="2"/>
      <c r="EV349" s="2"/>
      <c r="EW349" s="2"/>
      <c r="EX349" s="2" t="inlineStr">
        <is>
          <t>7df0b9ac-66ce-4179-9050-e08de7a9a1db</t>
        </is>
      </c>
      <c r="EY349" s="3" t="n">
        <v>1</v>
      </c>
      <c r="EZ349" s="2"/>
      <c r="FA349" s="2"/>
      <c r="FB349" s="2"/>
      <c r="FC349" s="2"/>
      <c r="FD349" s="3"/>
      <c r="FE349" s="3"/>
      <c r="FF349" s="2"/>
      <c r="FG349" s="3"/>
      <c r="FH349" s="3"/>
      <c r="FI349" s="7" t="n">
        <v>0</v>
      </c>
      <c r="FJ349" s="7" t="n">
        <v>0</v>
      </c>
      <c r="FK349" s="7" t="n">
        <v>0</v>
      </c>
      <c r="FL349" s="7" t="n">
        <v>0</v>
      </c>
      <c r="FM349" s="7" t="n">
        <v>0</v>
      </c>
      <c r="FN349" s="7" t="n">
        <v>0</v>
      </c>
      <c r="FO349" s="2"/>
      <c r="FP349" s="2"/>
      <c r="FQ349" s="2"/>
      <c r="FR349" s="2"/>
      <c r="FS349" s="2"/>
      <c r="FT349" s="2"/>
      <c r="FU349" s="2"/>
      <c r="FV349" s="2"/>
      <c r="FW349" s="2"/>
    </row>
    <row r="350">
      <c r="A350" s="2" t="inlineStr">
        <is>
          <t>2026-05-07 10:12:05</t>
        </is>
      </c>
      <c r="B350" s="2" t="inlineStr">
        <is>
          <t>徐成威</t>
        </is>
      </c>
      <c r="C350" s="2" t="inlineStr">
        <is>
          <t>技术中心</t>
        </is>
      </c>
      <c r="D350" s="2" t="inlineStr">
        <is>
          <t>男</t>
        </is>
      </c>
      <c r="E350" s="2" t="inlineStr">
        <is>
          <t>320123200309304813</t>
        </is>
      </c>
      <c r="F350" s="2" t="inlineStr">
        <is>
          <t>试用</t>
        </is>
      </c>
      <c r="G350" s="2" t="inlineStr">
        <is>
          <t>2025-08</t>
        </is>
      </c>
      <c r="H350" s="2" t="inlineStr">
        <is>
          <t>江苏海洋大学</t>
        </is>
      </c>
      <c r="I350" s="2" t="inlineStr">
        <is>
          <t>化机</t>
        </is>
      </c>
      <c r="J350" s="2" t="inlineStr">
        <is>
          <t>本科</t>
        </is>
      </c>
      <c r="K350" s="2"/>
      <c r="L350" s="6">
        <f>HYPERLINK("https://www.h3yun.com/Form/Attachments/?schemacode=D1483577de63ede327d4760b10664bd57671d7e&amp;bizObjectId=9e6e1679-804b-4dc1-ac87-91aa2d3586f8&amp;name=F0000046","点击查看")</f>
        <v>0</v>
      </c>
      <c r="M350" s="2" t="inlineStr">
        <is>
          <t>暂无</t>
        </is>
      </c>
      <c r="N350" s="2" t="inlineStr">
        <is>
          <t>每周工作;临时/突发工作</t>
        </is>
      </c>
      <c r="O350" s="2" t="inlineStr">
        <is>
          <t>25岁及以下</t>
        </is>
      </c>
      <c r="P350" s="2" t="inlineStr">
        <is>
          <t>A.未婚</t>
        </is>
      </c>
      <c r="Q350" s="2" t="inlineStr">
        <is>
          <t>A.否</t>
        </is>
      </c>
      <c r="R350" s="2" t="inlineStr">
        <is>
          <t>A.否</t>
        </is>
      </c>
      <c r="S350" s="2" t="inlineStr">
        <is>
          <t>A.保持当前工作内容和节奏，收入相对稳定即可</t>
        </is>
      </c>
      <c r="T350" s="2" t="inlineStr">
        <is>
          <t>B.工作内容可接受，但负荷偏重</t>
        </is>
      </c>
      <c r="U350" s="2" t="inlineStr">
        <is>
          <t>D.明确职责边界</t>
        </is>
      </c>
      <c r="V350" s="2" t="inlineStr">
        <is>
          <t>A.没有</t>
        </is>
      </c>
      <c r="W350" s="2"/>
      <c r="X350" s="2" t="inlineStr">
        <is>
          <t>B.满负荷 (100%-120%)</t>
        </is>
      </c>
      <c r="Y350" s="2" t="inlineStr">
        <is>
          <t>E.项目服务按照项目作息考勤制加班;E.临时差旅、突发事件、会议加班</t>
        </is>
      </c>
      <c r="Z350" s="2" t="inlineStr">
        <is>
          <t>探索研发类工作</t>
        </is>
      </c>
      <c r="AA350" s="2" t="inlineStr">
        <is>
          <t>专业问题协调</t>
        </is>
      </c>
      <c r="AB350" s="2" t="inlineStr">
        <is>
          <t>无</t>
        </is>
      </c>
      <c r="AC350" s="2" t="inlineStr">
        <is>
          <t>B.基本匹配（正常履行）</t>
        </is>
      </c>
      <c r="AD350" s="2" t="inlineStr">
        <is>
          <t>暂时未想到</t>
        </is>
      </c>
      <c r="AE350" s="2"/>
      <c r="AF350" s="2"/>
      <c r="AG350" s="2"/>
      <c r="AH350" s="2"/>
      <c r="AI350" s="7" t="n">
        <v>0</v>
      </c>
      <c r="AJ350" s="7" t="n">
        <v>0</v>
      </c>
      <c r="AK350" s="7" t="n">
        <v>2.4</v>
      </c>
      <c r="AL350" s="7" t="n">
        <v>3.6</v>
      </c>
      <c r="AM350" s="7" t="n">
        <v>0</v>
      </c>
      <c r="AN350" s="7" t="n">
        <v>0</v>
      </c>
      <c r="AO350" s="7" t="n">
        <v>0</v>
      </c>
      <c r="AP350" s="7" t="n">
        <v>0</v>
      </c>
      <c r="AQ350" s="7" t="n">
        <v>0</v>
      </c>
      <c r="AR350" s="7" t="n">
        <v>0</v>
      </c>
      <c r="AS350" s="7" t="n">
        <v>2.4</v>
      </c>
      <c r="AT350" s="7" t="n">
        <v>3.6</v>
      </c>
      <c r="AU350" s="7" t="n">
        <v>3</v>
      </c>
      <c r="AV350" s="2" t="inlineStr">
        <is>
          <t>非饱和</t>
        </is>
      </c>
      <c r="AW350" s="2" t="inlineStr">
        <is>
          <t>不一致</t>
        </is>
      </c>
      <c r="AX350" s="2" t="inlineStr">
        <is>
          <t>9e6e1679-804b-4dc1-ac87-91aa2d3586f8</t>
        </is>
      </c>
      <c r="AY350" s="2" t="inlineStr">
        <is>
          <t>技术中心    徐成威</t>
        </is>
      </c>
      <c r="AZ350" s="2" t="inlineStr">
        <is>
          <t>Anonymous</t>
        </is>
      </c>
      <c r="BA350" s="2" t="inlineStr">
        <is>
          <t>Anonymous</t>
        </is>
      </c>
      <c r="BB350" s="2"/>
      <c r="BC350" s="2" t="inlineStr">
        <is>
          <t>2026-05-21 08:43:22</t>
        </is>
      </c>
      <c r="BD350" s="3" t="n">
        <v>2003</v>
      </c>
      <c r="BE350" s="3" t="n">
        <v>23</v>
      </c>
      <c r="BF350" s="2" t="inlineStr">
        <is>
          <t>A.无此需求</t>
        </is>
      </c>
      <c r="BG350" s="2" t="inlineStr">
        <is>
          <t>已生效</t>
        </is>
      </c>
      <c r="BH350" s="2" t="inlineStr">
        <is>
          <t>d3857f60-f085-4deb-8bd1-1ff1ad612e9f</t>
        </is>
      </c>
      <c r="BI350" s="3" t="n">
        <v>1</v>
      </c>
      <c r="BJ350" s="2"/>
      <c r="BK350" s="2"/>
      <c r="BL350" s="2"/>
      <c r="BM350" s="2"/>
      <c r="BN350" s="2"/>
      <c r="BO350" s="2"/>
      <c r="BP350" s="2"/>
      <c r="BQ350" s="2"/>
      <c r="BR350" s="2"/>
      <c r="BS350" s="2" t="inlineStr">
        <is>
          <t>78552a29-184d-40d3-8824-ffaf84d20480</t>
        </is>
      </c>
      <c r="BT350" s="3" t="n">
        <v>1</v>
      </c>
      <c r="BU350" s="2"/>
      <c r="BV350" s="2"/>
      <c r="BW350" s="2"/>
      <c r="BX350" s="3"/>
      <c r="BY350" s="3"/>
      <c r="BZ350" s="2"/>
      <c r="CA350" s="3"/>
      <c r="CB350" s="3"/>
      <c r="CC350" s="3"/>
      <c r="CD350" s="3"/>
      <c r="CE350" s="2"/>
      <c r="CF350" s="2"/>
      <c r="CG350" s="2"/>
      <c r="CH350" s="2"/>
      <c r="CI350" s="2"/>
      <c r="CJ350" s="2"/>
      <c r="CK350" s="2"/>
      <c r="CL350" s="2"/>
      <c r="CM350" s="2"/>
      <c r="CN350" s="2" t="inlineStr">
        <is>
          <t>b4609169-2766-40cb-9109-74b97ff7d9de</t>
        </is>
      </c>
      <c r="CO350" s="3" t="n">
        <v>1</v>
      </c>
      <c r="CP350" s="2"/>
      <c r="CQ350" s="2" t="inlineStr">
        <is>
          <t>福海创项目</t>
        </is>
      </c>
      <c r="CR350" s="2" t="inlineStr">
        <is>
          <t>2-3次</t>
        </is>
      </c>
      <c r="CS350" s="3" t="n">
        <v>2</v>
      </c>
      <c r="CT350" s="3" t="n">
        <v>3</v>
      </c>
      <c r="CU350" s="2" t="inlineStr">
        <is>
          <t>B.2小时以内</t>
        </is>
      </c>
      <c r="CV350" s="7" t="n">
        <v>2</v>
      </c>
      <c r="CW350" s="7" t="n">
        <v>2</v>
      </c>
      <c r="CX350" s="7" t="n">
        <v>4</v>
      </c>
      <c r="CY350" s="7" t="n">
        <v>6</v>
      </c>
      <c r="CZ350" s="2" t="inlineStr">
        <is>
          <t>专业技术类</t>
        </is>
      </c>
      <c r="DA350" s="2"/>
      <c r="DB350" s="2" t="inlineStr">
        <is>
          <t>探索研发类工作</t>
        </is>
      </c>
      <c r="DC350" s="2" t="inlineStr">
        <is>
          <t>上级指令</t>
        </is>
      </c>
      <c r="DD350" s="2" t="inlineStr">
        <is>
          <t>重要且紧急</t>
        </is>
      </c>
      <c r="DE350" s="2" t="inlineStr">
        <is>
          <t>非标准化-无先例参考，需创新协调</t>
        </is>
      </c>
      <c r="DF350" s="2" t="inlineStr">
        <is>
          <t>低频（5%-10%）</t>
        </is>
      </c>
      <c r="DG350" s="2" t="inlineStr">
        <is>
          <t>时效/强度负荷</t>
        </is>
      </c>
      <c r="DH350" s="2"/>
      <c r="DI350" s="2" t="inlineStr">
        <is>
          <t>eb39f3d8-8c5f-4f27-8506-24c1e53990bc</t>
        </is>
      </c>
      <c r="DJ350" s="3" t="n">
        <v>1</v>
      </c>
      <c r="DK350" s="2"/>
      <c r="DL350" s="2"/>
      <c r="DM350" s="2"/>
      <c r="DN350" s="3"/>
      <c r="DO350" s="3"/>
      <c r="DP350" s="2"/>
      <c r="DQ350" s="3"/>
      <c r="DR350" s="3"/>
      <c r="DS350" s="3"/>
      <c r="DT350" s="3"/>
      <c r="DU350" s="2"/>
      <c r="DV350" s="2"/>
      <c r="DW350" s="2"/>
      <c r="DX350" s="2"/>
      <c r="DY350" s="2"/>
      <c r="DZ350" s="2"/>
      <c r="EA350" s="2"/>
      <c r="EB350" s="2"/>
      <c r="EC350" s="2"/>
      <c r="ED350" s="2" t="inlineStr">
        <is>
          <t>1d748060-b77f-4201-be3b-9119ce53bf7a</t>
        </is>
      </c>
      <c r="EE350" s="3" t="n">
        <v>1</v>
      </c>
      <c r="EF350" s="2"/>
      <c r="EG350" s="2"/>
      <c r="EH350" s="2"/>
      <c r="EI350" s="3"/>
      <c r="EJ350" s="2"/>
      <c r="EK350" s="3"/>
      <c r="EL350" s="3"/>
      <c r="EM350" s="3"/>
      <c r="EN350" s="3"/>
      <c r="EO350" s="2"/>
      <c r="EP350" s="2"/>
      <c r="EQ350" s="2"/>
      <c r="ER350" s="2"/>
      <c r="ES350" s="2"/>
      <c r="ET350" s="2"/>
      <c r="EU350" s="2"/>
      <c r="EV350" s="2"/>
      <c r="EW350" s="2"/>
      <c r="EX350" s="2" t="inlineStr">
        <is>
          <t>63fb2de3-43eb-416a-9f36-f9907a34e3b1</t>
        </is>
      </c>
      <c r="EY350" s="3" t="n">
        <v>1</v>
      </c>
      <c r="EZ350" s="2"/>
      <c r="FA350" s="2" t="inlineStr">
        <is>
          <t>山西兰花项目</t>
        </is>
      </c>
      <c r="FB350" s="2" t="inlineStr">
        <is>
          <t>也有可能不发生</t>
        </is>
      </c>
      <c r="FC350" s="2" t="inlineStr">
        <is>
          <t>无</t>
        </is>
      </c>
      <c r="FD350" s="3" t="n">
        <v>0</v>
      </c>
      <c r="FE350" s="3" t="n">
        <v>0</v>
      </c>
      <c r="FF350" s="2" t="inlineStr">
        <is>
          <t>C.2-4小时</t>
        </is>
      </c>
      <c r="FG350" s="7" t="n">
        <v>2</v>
      </c>
      <c r="FH350" s="7" t="n">
        <v>4</v>
      </c>
      <c r="FI350" s="7" t="n">
        <v>0</v>
      </c>
      <c r="FJ350" s="7" t="n">
        <v>0</v>
      </c>
      <c r="FK350" s="7" t="n">
        <v>0</v>
      </c>
      <c r="FL350" s="7" t="n">
        <v>0</v>
      </c>
      <c r="FM350" s="7" t="n">
        <v>0</v>
      </c>
      <c r="FN350" s="7" t="n">
        <v>0</v>
      </c>
      <c r="FO350" s="2" t="inlineStr">
        <is>
          <t>专业技术类</t>
        </is>
      </c>
      <c r="FP350" s="2"/>
      <c r="FQ350" s="2" t="inlineStr">
        <is>
          <t>专业问题协调</t>
        </is>
      </c>
      <c r="FR350" s="2" t="inlineStr">
        <is>
          <t>上级指令</t>
        </is>
      </c>
      <c r="FS350" s="2" t="inlineStr">
        <is>
          <t>重要且紧急</t>
        </is>
      </c>
      <c r="FT350" s="2" t="inlineStr">
        <is>
          <t>非标准化-无先例参考，需创新协调</t>
        </is>
      </c>
      <c r="FU350" s="2" t="inlineStr">
        <is>
          <t>极少（&lt;5%）</t>
        </is>
      </c>
      <c r="FV350" s="2" t="inlineStr">
        <is>
          <t>时效/强度负荷</t>
        </is>
      </c>
      <c r="FW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t="inlineStr">
        <is>
          <t>fba63fdf-d041-4038-ab63-0557d4a8409d</t>
        </is>
      </c>
      <c r="CO351" s="3" t="n">
        <v>2</v>
      </c>
      <c r="CP351" s="2"/>
      <c r="CQ351" s="2" t="inlineStr">
        <is>
          <t>山西兰花项目</t>
        </is>
      </c>
      <c r="CR351" s="2" t="inlineStr">
        <is>
          <t>2-3次</t>
        </is>
      </c>
      <c r="CS351" s="3" t="n">
        <v>2</v>
      </c>
      <c r="CT351" s="3" t="n">
        <v>3</v>
      </c>
      <c r="CU351" s="2" t="inlineStr">
        <is>
          <t>B.2小时以内</t>
        </is>
      </c>
      <c r="CV351" s="7" t="n">
        <v>2</v>
      </c>
      <c r="CW351" s="7" t="n">
        <v>2</v>
      </c>
      <c r="CX351" s="7" t="n">
        <v>4</v>
      </c>
      <c r="CY351" s="7" t="n">
        <v>6</v>
      </c>
      <c r="CZ351" s="2" t="inlineStr">
        <is>
          <t>专业技术类</t>
        </is>
      </c>
      <c r="DA351" s="2"/>
      <c r="DB351" s="2" t="inlineStr">
        <is>
          <t>探索研发类工作</t>
        </is>
      </c>
      <c r="DC351" s="2" t="inlineStr">
        <is>
          <t>上级指令</t>
        </is>
      </c>
      <c r="DD351" s="2" t="inlineStr">
        <is>
          <t>重要且紧急</t>
        </is>
      </c>
      <c r="DE351" s="2" t="inlineStr">
        <is>
          <t>非标准化-无先例参考，需创新协调</t>
        </is>
      </c>
      <c r="DF351" s="2" t="inlineStr">
        <is>
          <t>低频（5%-10%）</t>
        </is>
      </c>
      <c r="DG351" s="2" t="inlineStr">
        <is>
          <t>时效/强度负荷</t>
        </is>
      </c>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t="inlineStr">
        <is>
          <t>78c37441-6192-49ca-8b87-3d9ee5a8016e</t>
        </is>
      </c>
      <c r="EY351" s="3" t="n">
        <v>2</v>
      </c>
      <c r="EZ351" s="2"/>
      <c r="FA351" s="2" t="inlineStr">
        <is>
          <t>金陵分馏项目</t>
        </is>
      </c>
      <c r="FB351" s="2" t="inlineStr">
        <is>
          <t>也有可能不发生</t>
        </is>
      </c>
      <c r="FC351" s="2" t="inlineStr">
        <is>
          <t>无</t>
        </is>
      </c>
      <c r="FD351" s="3" t="n">
        <v>0</v>
      </c>
      <c r="FE351" s="3" t="n">
        <v>0</v>
      </c>
      <c r="FF351" s="2" t="inlineStr">
        <is>
          <t>C.2-4小时</t>
        </is>
      </c>
      <c r="FG351" s="7" t="n">
        <v>2</v>
      </c>
      <c r="FH351" s="7" t="n">
        <v>4</v>
      </c>
      <c r="FI351" s="7" t="n">
        <v>0</v>
      </c>
      <c r="FJ351" s="7" t="n">
        <v>0</v>
      </c>
      <c r="FK351" s="7" t="n">
        <v>0</v>
      </c>
      <c r="FL351" s="7" t="n">
        <v>0</v>
      </c>
      <c r="FM351" s="7" t="n">
        <v>0</v>
      </c>
      <c r="FN351" s="7" t="n">
        <v>0</v>
      </c>
      <c r="FO351" s="2" t="inlineStr">
        <is>
          <t>专业技术类</t>
        </is>
      </c>
      <c r="FP351" s="2"/>
      <c r="FQ351" s="2" t="inlineStr">
        <is>
          <t>专业问题协调</t>
        </is>
      </c>
      <c r="FR351" s="2" t="inlineStr">
        <is>
          <t>上级指令</t>
        </is>
      </c>
      <c r="FS351" s="2" t="inlineStr">
        <is>
          <t>重要且紧急</t>
        </is>
      </c>
      <c r="FT351" s="2" t="inlineStr">
        <is>
          <t>非标准化-无先例参考，需创新协调</t>
        </is>
      </c>
      <c r="FU351" s="2" t="inlineStr">
        <is>
          <t>极少（&lt;5%）</t>
        </is>
      </c>
      <c r="FV351" s="2" t="inlineStr">
        <is>
          <t>时效/强度负荷</t>
        </is>
      </c>
      <c r="FW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t="inlineStr">
        <is>
          <t>89fd5439-a9ee-42b7-9ac1-c945125d116d</t>
        </is>
      </c>
      <c r="CO352" s="3" t="n">
        <v>3</v>
      </c>
      <c r="CP352" s="2"/>
      <c r="CQ352" s="2" t="inlineStr">
        <is>
          <t>金陵分馏项目</t>
        </is>
      </c>
      <c r="CR352" s="2" t="inlineStr">
        <is>
          <t>2-3次</t>
        </is>
      </c>
      <c r="CS352" s="3" t="n">
        <v>2</v>
      </c>
      <c r="CT352" s="3" t="n">
        <v>3</v>
      </c>
      <c r="CU352" s="2" t="inlineStr">
        <is>
          <t>B.2小时以内</t>
        </is>
      </c>
      <c r="CV352" s="7" t="n">
        <v>2</v>
      </c>
      <c r="CW352" s="7" t="n">
        <v>2</v>
      </c>
      <c r="CX352" s="7" t="n">
        <v>4</v>
      </c>
      <c r="CY352" s="7" t="n">
        <v>6</v>
      </c>
      <c r="CZ352" s="2" t="inlineStr">
        <is>
          <t>专业技术类</t>
        </is>
      </c>
      <c r="DA352" s="2"/>
      <c r="DB352" s="2" t="inlineStr">
        <is>
          <t>探索研发类工作</t>
        </is>
      </c>
      <c r="DC352" s="2" t="inlineStr">
        <is>
          <t>上级指令</t>
        </is>
      </c>
      <c r="DD352" s="2" t="inlineStr">
        <is>
          <t>重要且紧急</t>
        </is>
      </c>
      <c r="DE352" s="2" t="inlineStr">
        <is>
          <t>非标准化-无先例参考，需创新协调</t>
        </is>
      </c>
      <c r="DF352" s="2" t="inlineStr">
        <is>
          <t>低频（5%-10%）</t>
        </is>
      </c>
      <c r="DG352" s="2" t="inlineStr">
        <is>
          <t>时效/强度负荷</t>
        </is>
      </c>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row>
    <row r="353">
      <c r="A353" s="2" t="inlineStr">
        <is>
          <t>2026-05-07 10:11:39</t>
        </is>
      </c>
      <c r="B353" s="2" t="inlineStr">
        <is>
          <t>张笑</t>
        </is>
      </c>
      <c r="C353" s="2" t="inlineStr">
        <is>
          <t>技术中心</t>
        </is>
      </c>
      <c r="D353" s="2" t="inlineStr">
        <is>
          <t>男</t>
        </is>
      </c>
      <c r="E353" s="2" t="inlineStr">
        <is>
          <t>320324199602015932</t>
        </is>
      </c>
      <c r="F353" s="2" t="inlineStr">
        <is>
          <t>技术助理(一)</t>
        </is>
      </c>
      <c r="G353" s="2" t="inlineStr">
        <is>
          <t>2020-08</t>
        </is>
      </c>
      <c r="H353" s="2" t="inlineStr">
        <is>
          <t>常州大学</t>
        </is>
      </c>
      <c r="I353" s="2" t="inlineStr">
        <is>
          <t>其他</t>
        </is>
      </c>
      <c r="J353" s="2" t="inlineStr">
        <is>
          <t>本科</t>
        </is>
      </c>
      <c r="K353" s="2"/>
      <c r="L353" s="6">
        <f>HYPERLINK("https://www.h3yun.com/Form/Attachments/?schemacode=D1483577de63ede327d4760b10664bd57671d7e&amp;bizObjectId=43ec81c3-ceaa-4b28-9caf-44b8645247c3&amp;name=F0000046","点击查看")</f>
        <v>0</v>
      </c>
      <c r="M353" s="2" t="inlineStr">
        <is>
          <t>无</t>
        </is>
      </c>
      <c r="N353" s="2" t="inlineStr">
        <is>
          <t>每周工作</t>
        </is>
      </c>
      <c r="O353" s="2" t="inlineStr">
        <is>
          <t>26-30岁</t>
        </is>
      </c>
      <c r="P353" s="2" t="inlineStr">
        <is>
          <t>A.未婚</t>
        </is>
      </c>
      <c r="Q353" s="2" t="inlineStr">
        <is>
          <t>A.否</t>
        </is>
      </c>
      <c r="R353" s="2" t="inlineStr">
        <is>
          <t>A.否</t>
        </is>
      </c>
      <c r="S353" s="2" t="inlineStr">
        <is>
          <t>E.愿意承担更高挑战和更大压力，以换取更高回报或晋升机会</t>
        </is>
      </c>
      <c r="T353" s="2" t="inlineStr">
        <is>
          <t>A.基本满意，希望保持</t>
        </is>
      </c>
      <c r="U353" s="2" t="inlineStr">
        <is>
          <t>B.减少无效流转和返工</t>
        </is>
      </c>
      <c r="V353" s="2" t="inlineStr">
        <is>
          <t>A.没有</t>
        </is>
      </c>
      <c r="W353" s="2"/>
      <c r="X353" s="2" t="inlineStr">
        <is>
          <t>C.均衡 (80%-100%)</t>
        </is>
      </c>
      <c r="Y353" s="2" t="inlineStr">
        <is>
          <t>A.岗位工作量饱和，已达人效上限;B.上游资料不全，导致反复沟通/返工;H.研发探索性质，保持研究不间断的主动加班</t>
        </is>
      </c>
      <c r="Z353" s="2" t="inlineStr">
        <is>
          <t>探索研发类工作</t>
        </is>
      </c>
      <c r="AA353" s="2" t="inlineStr">
        <is>
          <t>无</t>
        </is>
      </c>
      <c r="AB353" s="2" t="inlineStr">
        <is>
          <t>无</t>
        </is>
      </c>
      <c r="AC353" s="2" t="inlineStr">
        <is>
          <t>B.基本匹配（正常履行）</t>
        </is>
      </c>
      <c r="AD353" s="2" t="inlineStr">
        <is>
          <t>无</t>
        </is>
      </c>
      <c r="AE353" s="2"/>
      <c r="AF353" s="2"/>
      <c r="AG353" s="2"/>
      <c r="AH353" s="2"/>
      <c r="AI353" s="7" t="n">
        <v>0</v>
      </c>
      <c r="AJ353" s="7" t="n">
        <v>0</v>
      </c>
      <c r="AK353" s="7" t="n">
        <v>4.8</v>
      </c>
      <c r="AL353" s="7" t="n">
        <v>9.2</v>
      </c>
      <c r="AM353" s="7" t="n">
        <v>0</v>
      </c>
      <c r="AN353" s="7" t="n">
        <v>0</v>
      </c>
      <c r="AO353" s="7" t="n">
        <v>0</v>
      </c>
      <c r="AP353" s="7" t="n">
        <v>0</v>
      </c>
      <c r="AQ353" s="7" t="n">
        <v>0</v>
      </c>
      <c r="AR353" s="7" t="n">
        <v>0</v>
      </c>
      <c r="AS353" s="7" t="n">
        <v>4.8</v>
      </c>
      <c r="AT353" s="7" t="n">
        <v>9.2</v>
      </c>
      <c r="AU353" s="7" t="n">
        <v>7</v>
      </c>
      <c r="AV353" s="2" t="inlineStr">
        <is>
          <t>均衡</t>
        </is>
      </c>
      <c r="AW353" s="2" t="inlineStr">
        <is>
          <t>一致</t>
        </is>
      </c>
      <c r="AX353" s="2" t="inlineStr">
        <is>
          <t>43ec81c3-ceaa-4b28-9caf-44b8645247c3</t>
        </is>
      </c>
      <c r="AY353" s="2" t="inlineStr">
        <is>
          <t>技术中心    张笑</t>
        </is>
      </c>
      <c r="AZ353" s="2" t="inlineStr">
        <is>
          <t>Anonymous</t>
        </is>
      </c>
      <c r="BA353" s="2" t="inlineStr">
        <is>
          <t>Anonymous</t>
        </is>
      </c>
      <c r="BB353" s="2"/>
      <c r="BC353" s="2" t="inlineStr">
        <is>
          <t>2026-05-21 08:43:22</t>
        </is>
      </c>
      <c r="BD353" s="3" t="n">
        <v>1996</v>
      </c>
      <c r="BE353" s="3" t="n">
        <v>30</v>
      </c>
      <c r="BF353" s="2" t="inlineStr">
        <is>
          <t>A.无此需求</t>
        </is>
      </c>
      <c r="BG353" s="2" t="inlineStr">
        <is>
          <t>已生效</t>
        </is>
      </c>
      <c r="BH353" s="2" t="inlineStr">
        <is>
          <t>4bb09710-16bc-43bd-86d6-dff238f5091c</t>
        </is>
      </c>
      <c r="BI353" s="3" t="n">
        <v>1</v>
      </c>
      <c r="BJ353" s="2"/>
      <c r="BK353" s="2"/>
      <c r="BL353" s="2"/>
      <c r="BM353" s="2"/>
      <c r="BN353" s="2"/>
      <c r="BO353" s="2"/>
      <c r="BP353" s="2"/>
      <c r="BQ353" s="2"/>
      <c r="BR353" s="2"/>
      <c r="BS353" s="2" t="inlineStr">
        <is>
          <t>020cb1d8-628b-4ac3-ba73-887c4de99c6c</t>
        </is>
      </c>
      <c r="BT353" s="3" t="n">
        <v>1</v>
      </c>
      <c r="BU353" s="2"/>
      <c r="BV353" s="2"/>
      <c r="BW353" s="2"/>
      <c r="BX353" s="3"/>
      <c r="BY353" s="3"/>
      <c r="BZ353" s="2"/>
      <c r="CA353" s="3"/>
      <c r="CB353" s="3"/>
      <c r="CC353" s="3"/>
      <c r="CD353" s="3"/>
      <c r="CE353" s="2"/>
      <c r="CF353" s="2"/>
      <c r="CG353" s="2"/>
      <c r="CH353" s="2"/>
      <c r="CI353" s="2"/>
      <c r="CJ353" s="2"/>
      <c r="CK353" s="2"/>
      <c r="CL353" s="2"/>
      <c r="CM353" s="2"/>
      <c r="CN353" s="2" t="inlineStr">
        <is>
          <t>14ff05d6-e86c-4689-85a3-8fc6c6571b75</t>
        </is>
      </c>
      <c r="CO353" s="3" t="n">
        <v>1</v>
      </c>
      <c r="CP353" s="2"/>
      <c r="CQ353" s="2" t="inlineStr">
        <is>
          <t>管道材料编码系统</t>
        </is>
      </c>
      <c r="CR353" s="2" t="inlineStr">
        <is>
          <t>5次以上</t>
        </is>
      </c>
      <c r="CS353" s="3" t="n">
        <v>5</v>
      </c>
      <c r="CT353" s="3" t="n">
        <v>5</v>
      </c>
      <c r="CU353" s="2" t="inlineStr">
        <is>
          <t>D.4-8小时</t>
        </is>
      </c>
      <c r="CV353" s="7" t="n">
        <v>4</v>
      </c>
      <c r="CW353" s="7" t="n">
        <v>8</v>
      </c>
      <c r="CX353" s="7" t="n">
        <v>20</v>
      </c>
      <c r="CY353" s="7" t="n">
        <v>40</v>
      </c>
      <c r="CZ353" s="2" t="inlineStr">
        <is>
          <t>专业技术类</t>
        </is>
      </c>
      <c r="DA353" s="2"/>
      <c r="DB353" s="2" t="inlineStr">
        <is>
          <t>探索研发类工作</t>
        </is>
      </c>
      <c r="DC353" s="2" t="inlineStr">
        <is>
          <t>部门计划</t>
        </is>
      </c>
      <c r="DD353" s="2" t="inlineStr">
        <is>
          <t>重要且紧急</t>
        </is>
      </c>
      <c r="DE353" s="2" t="inlineStr">
        <is>
          <t>半标准化-有流程框架，需专业经验</t>
        </is>
      </c>
      <c r="DF353" s="2" t="inlineStr">
        <is>
          <t>高频（&gt;30%）</t>
        </is>
      </c>
      <c r="DG353" s="2" t="inlineStr">
        <is>
          <t>脑力/复杂度负荷</t>
        </is>
      </c>
      <c r="DH353" s="2"/>
      <c r="DI353" s="2" t="inlineStr">
        <is>
          <t>3b69c7e2-0c64-4e5f-864a-771619dee08d</t>
        </is>
      </c>
      <c r="DJ353" s="3" t="n">
        <v>1</v>
      </c>
      <c r="DK353" s="2"/>
      <c r="DL353" s="2"/>
      <c r="DM353" s="2"/>
      <c r="DN353" s="3"/>
      <c r="DO353" s="3"/>
      <c r="DP353" s="2"/>
      <c r="DQ353" s="3"/>
      <c r="DR353" s="3"/>
      <c r="DS353" s="3"/>
      <c r="DT353" s="3"/>
      <c r="DU353" s="2"/>
      <c r="DV353" s="2"/>
      <c r="DW353" s="2"/>
      <c r="DX353" s="2"/>
      <c r="DY353" s="2"/>
      <c r="DZ353" s="2"/>
      <c r="EA353" s="2"/>
      <c r="EB353" s="2"/>
      <c r="EC353" s="2"/>
      <c r="ED353" s="2" t="inlineStr">
        <is>
          <t>3c5bf93a-e660-4a69-ae8d-50fd11aaa466</t>
        </is>
      </c>
      <c r="EE353" s="3" t="n">
        <v>1</v>
      </c>
      <c r="EF353" s="2"/>
      <c r="EG353" s="2"/>
      <c r="EH353" s="2"/>
      <c r="EI353" s="3"/>
      <c r="EJ353" s="2"/>
      <c r="EK353" s="3"/>
      <c r="EL353" s="3"/>
      <c r="EM353" s="3"/>
      <c r="EN353" s="3"/>
      <c r="EO353" s="2"/>
      <c r="EP353" s="2"/>
      <c r="EQ353" s="2"/>
      <c r="ER353" s="2"/>
      <c r="ES353" s="2"/>
      <c r="ET353" s="2"/>
      <c r="EU353" s="2"/>
      <c r="EV353" s="2"/>
      <c r="EW353" s="2"/>
      <c r="EX353" s="2" t="inlineStr">
        <is>
          <t>eb0fadf7-8d7c-4d32-95be-ff60ea4e410f</t>
        </is>
      </c>
      <c r="EY353" s="3" t="n">
        <v>1</v>
      </c>
      <c r="EZ353" s="2"/>
      <c r="FA353" s="2"/>
      <c r="FB353" s="2"/>
      <c r="FC353" s="2"/>
      <c r="FD353" s="3"/>
      <c r="FE353" s="3"/>
      <c r="FF353" s="2"/>
      <c r="FG353" s="3"/>
      <c r="FH353" s="3"/>
      <c r="FI353" s="7" t="n">
        <v>0</v>
      </c>
      <c r="FJ353" s="7" t="n">
        <v>0</v>
      </c>
      <c r="FK353" s="7" t="n">
        <v>0</v>
      </c>
      <c r="FL353" s="7" t="n">
        <v>0</v>
      </c>
      <c r="FM353" s="7" t="n">
        <v>0</v>
      </c>
      <c r="FN353" s="7" t="n">
        <v>0</v>
      </c>
      <c r="FO353" s="2"/>
      <c r="FP353" s="2"/>
      <c r="FQ353" s="2"/>
      <c r="FR353" s="2"/>
      <c r="FS353" s="2"/>
      <c r="FT353" s="2"/>
      <c r="FU353" s="2"/>
      <c r="FV353" s="2"/>
      <c r="FW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t="inlineStr">
        <is>
          <t>09575db0-ad88-436a-8927-5f315e1e97d1</t>
        </is>
      </c>
      <c r="CO354" s="3" t="n">
        <v>2</v>
      </c>
      <c r="CP354" s="2"/>
      <c r="CQ354" s="2" t="inlineStr">
        <is>
          <t>报表统计</t>
        </is>
      </c>
      <c r="CR354" s="2" t="inlineStr">
        <is>
          <t>2-3次</t>
        </is>
      </c>
      <c r="CS354" s="3" t="n">
        <v>2</v>
      </c>
      <c r="CT354" s="3" t="n">
        <v>3</v>
      </c>
      <c r="CU354" s="2" t="inlineStr">
        <is>
          <t>B.2小时以内</t>
        </is>
      </c>
      <c r="CV354" s="7" t="n">
        <v>2</v>
      </c>
      <c r="CW354" s="7" t="n">
        <v>2</v>
      </c>
      <c r="CX354" s="7" t="n">
        <v>4</v>
      </c>
      <c r="CY354" s="7" t="n">
        <v>6</v>
      </c>
      <c r="CZ354" s="2" t="inlineStr">
        <is>
          <t>数据报表类</t>
        </is>
      </c>
      <c r="DA354" s="2"/>
      <c r="DB354" s="2" t="inlineStr">
        <is>
          <t>专项统计</t>
        </is>
      </c>
      <c r="DC354" s="2" t="inlineStr">
        <is>
          <t>上级指令</t>
        </is>
      </c>
      <c r="DD354" s="2" t="inlineStr">
        <is>
          <t>重要且紧急</t>
        </is>
      </c>
      <c r="DE354" s="2" t="inlineStr">
        <is>
          <t>高度标准化-有成熟SOP，照做即可</t>
        </is>
      </c>
      <c r="DF354" s="2" t="inlineStr">
        <is>
          <t>低频（5%-10%）</t>
        </is>
      </c>
      <c r="DG354" s="2" t="inlineStr">
        <is>
          <t>脑力/复杂度负荷</t>
        </is>
      </c>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row>
    <row r="355">
      <c r="A355" s="2" t="inlineStr">
        <is>
          <t>2026-05-07 10:11:35</t>
        </is>
      </c>
      <c r="B355" s="2" t="inlineStr">
        <is>
          <t>王玮</t>
        </is>
      </c>
      <c r="C355" s="2" t="inlineStr">
        <is>
          <t>安装一分公司</t>
        </is>
      </c>
      <c r="D355" s="2" t="inlineStr">
        <is>
          <t>男</t>
        </is>
      </c>
      <c r="E355" s="2" t="inlineStr">
        <is>
          <t>320112197610250451</t>
        </is>
      </c>
      <c r="F355" s="2" t="inlineStr">
        <is>
          <t>业务主办B</t>
        </is>
      </c>
      <c r="G355" s="2" t="inlineStr">
        <is>
          <t>1995-08</t>
        </is>
      </c>
      <c r="H355" s="2" t="inlineStr">
        <is>
          <t>南化技工技术学校</t>
        </is>
      </c>
      <c r="I355" s="2" t="inlineStr">
        <is>
          <t>安全员</t>
        </is>
      </c>
      <c r="J355" s="2" t="inlineStr">
        <is>
          <t>技校</t>
        </is>
      </c>
      <c r="K355" s="2"/>
      <c r="L355" s="6">
        <f>HYPERLINK("https://www.h3yun.com/Form/Attachments/?schemacode=D1483577de63ede327d4760b10664bd57671d7e&amp;bizObjectId=4ac6ef95-397e-423c-baea-6e7349677879&amp;name=F0000046","点击查看")</f>
        <v>0</v>
      </c>
      <c r="M355" s="2" t="inlineStr">
        <is>
          <t>流程</t>
        </is>
      </c>
      <c r="N355" s="2" t="inlineStr">
        <is>
          <t>每日工作;每周工作;每月工作;每季度/阶段性工作;临时/突发工作</t>
        </is>
      </c>
      <c r="O355" s="2" t="inlineStr">
        <is>
          <t>46岁及以上</t>
        </is>
      </c>
      <c r="P355" s="2" t="inlineStr">
        <is>
          <t>A.未婚</t>
        </is>
      </c>
      <c r="Q355" s="2" t="inlineStr">
        <is>
          <t>C.是，主要照护老人</t>
        </is>
      </c>
      <c r="R355" s="2" t="inlineStr">
        <is>
          <t>A.否</t>
        </is>
      </c>
      <c r="S355" s="2" t="inlineStr">
        <is>
          <t>C.希望工作压力适中，但职责边界更清晰</t>
        </is>
      </c>
      <c r="T355" s="2" t="inlineStr">
        <is>
          <t>A.基本满意，希望保持</t>
        </is>
      </c>
      <c r="U355" s="2" t="inlineStr">
        <is>
          <t>D.明确职责边界</t>
        </is>
      </c>
      <c r="V355" s="2" t="inlineStr">
        <is>
          <t>A.没有</t>
        </is>
      </c>
      <c r="W355" s="2"/>
      <c r="X355" s="2" t="inlineStr">
        <is>
          <t>C.均衡 (80%-100%)</t>
        </is>
      </c>
      <c r="Y355" s="2" t="inlineStr">
        <is>
          <t>A.岗位工作量饱和，已达人效上限</t>
        </is>
      </c>
      <c r="Z355" s="2" t="inlineStr">
        <is>
          <t>合规监督</t>
        </is>
      </c>
      <c r="AA355" s="2" t="inlineStr">
        <is>
          <t>跨部门对接</t>
        </is>
      </c>
      <c r="AB355" s="2" t="inlineStr">
        <is>
          <t>专业问题协调</t>
        </is>
      </c>
      <c r="AC355" s="2" t="inlineStr">
        <is>
          <t>B.基本匹配（正常履行）</t>
        </is>
      </c>
      <c r="AD355" s="2" t="inlineStr">
        <is>
          <t>混合型部门便于协同、辅助及时</t>
        </is>
      </c>
      <c r="AE355" s="2"/>
      <c r="AF355" s="2"/>
      <c r="AG355" s="2"/>
      <c r="AH355" s="2"/>
      <c r="AI355" s="7" t="n">
        <v>20</v>
      </c>
      <c r="AJ355" s="7" t="n">
        <v>40</v>
      </c>
      <c r="AK355" s="7" t="n">
        <v>2</v>
      </c>
      <c r="AL355" s="7" t="n">
        <v>4</v>
      </c>
      <c r="AM355" s="7" t="n">
        <v>0.73</v>
      </c>
      <c r="AN355" s="7" t="n">
        <v>1.45</v>
      </c>
      <c r="AO355" s="7" t="n">
        <v>0.02</v>
      </c>
      <c r="AP355" s="7" t="n">
        <v>0.05</v>
      </c>
      <c r="AQ355" s="7" t="n">
        <v>0.27</v>
      </c>
      <c r="AR355" s="7" t="n">
        <v>0.55</v>
      </c>
      <c r="AS355" s="7" t="n">
        <v>23.02</v>
      </c>
      <c r="AT355" s="7" t="n">
        <v>46.05</v>
      </c>
      <c r="AU355" s="7" t="n">
        <v>34.54</v>
      </c>
      <c r="AV355" s="2" t="inlineStr">
        <is>
          <t>超负荷</t>
        </is>
      </c>
      <c r="AW355" s="2" t="inlineStr">
        <is>
          <t>不一致</t>
        </is>
      </c>
      <c r="AX355" s="2" t="inlineStr">
        <is>
          <t>4ac6ef95-397e-423c-baea-6e7349677879</t>
        </is>
      </c>
      <c r="AY355" s="2" t="inlineStr">
        <is>
          <t>安装一分公司    王玮</t>
        </is>
      </c>
      <c r="AZ355" s="2" t="inlineStr">
        <is>
          <t>Anonymous</t>
        </is>
      </c>
      <c r="BA355" s="2" t="inlineStr">
        <is>
          <t>Anonymous</t>
        </is>
      </c>
      <c r="BB355" s="2"/>
      <c r="BC355" s="2" t="inlineStr">
        <is>
          <t>2026-05-21 08:43:22</t>
        </is>
      </c>
      <c r="BD355" s="3" t="n">
        <v>1976</v>
      </c>
      <c r="BE355" s="3" t="n">
        <v>50</v>
      </c>
      <c r="BF355" s="2" t="inlineStr">
        <is>
          <t>A.无此需求</t>
        </is>
      </c>
      <c r="BG355" s="2" t="inlineStr">
        <is>
          <t>已生效</t>
        </is>
      </c>
      <c r="BH355" s="2" t="inlineStr">
        <is>
          <t>cfb0ef17-f7de-413c-b22a-6de453cefd7c</t>
        </is>
      </c>
      <c r="BI355" s="3" t="n">
        <v>1</v>
      </c>
      <c r="BJ355" s="2"/>
      <c r="BK355" s="2"/>
      <c r="BL355" s="2"/>
      <c r="BM355" s="2"/>
      <c r="BN355" s="2"/>
      <c r="BO355" s="2"/>
      <c r="BP355" s="2"/>
      <c r="BQ355" s="2"/>
      <c r="BR355" s="2"/>
      <c r="BS355" s="2" t="inlineStr">
        <is>
          <t>c6cbf473-b2f0-4525-a958-4accc33c2a4c</t>
        </is>
      </c>
      <c r="BT355" s="3" t="n">
        <v>1</v>
      </c>
      <c r="BU355" s="2" t="inlineStr">
        <is>
          <t>其他</t>
        </is>
      </c>
      <c r="BV355" s="2" t="inlineStr">
        <is>
          <t>人员，设备，场地，资料</t>
        </is>
      </c>
      <c r="BW355" s="2" t="inlineStr">
        <is>
          <t>10次以上</t>
        </is>
      </c>
      <c r="BX355" s="3" t="n">
        <v>10</v>
      </c>
      <c r="BY355" s="3" t="n">
        <v>10</v>
      </c>
      <c r="BZ355" s="2" t="inlineStr">
        <is>
          <t>C.2-4小时</t>
        </is>
      </c>
      <c r="CA355" s="7" t="n">
        <v>2</v>
      </c>
      <c r="CB355" s="7" t="n">
        <v>4</v>
      </c>
      <c r="CC355" s="7" t="n">
        <v>20</v>
      </c>
      <c r="CD355" s="7" t="n">
        <v>40</v>
      </c>
      <c r="CE355" s="2" t="inlineStr">
        <is>
          <t>其他</t>
        </is>
      </c>
      <c r="CF355" s="2"/>
      <c r="CG355" s="2"/>
      <c r="CH355" s="2" t="inlineStr">
        <is>
          <t>岗位职责</t>
        </is>
      </c>
      <c r="CI355" s="2" t="inlineStr">
        <is>
          <t>重要且紧急</t>
        </is>
      </c>
      <c r="CJ355" s="2" t="inlineStr">
        <is>
          <t>半标准化-有流程框架，需专业经验</t>
        </is>
      </c>
      <c r="CK355" s="2" t="inlineStr">
        <is>
          <t>极少（&lt;5%）</t>
        </is>
      </c>
      <c r="CL355" s="2" t="inlineStr">
        <is>
          <t>责任/风险负荷</t>
        </is>
      </c>
      <c r="CM355" s="2"/>
      <c r="CN355" s="2" t="inlineStr">
        <is>
          <t>fbb4beb7-ad34-43c0-835d-9dca6cf3f6f0</t>
        </is>
      </c>
      <c r="CO355" s="3" t="n">
        <v>1</v>
      </c>
      <c r="CP355" s="2"/>
      <c r="CQ355" s="2" t="inlineStr">
        <is>
          <t>安全</t>
        </is>
      </c>
      <c r="CR355" s="2" t="inlineStr">
        <is>
          <t>5次以上</t>
        </is>
      </c>
      <c r="CS355" s="3" t="n">
        <v>5</v>
      </c>
      <c r="CT355" s="3" t="n">
        <v>5</v>
      </c>
      <c r="CU355" s="2" t="inlineStr">
        <is>
          <t>C.2-4小时</t>
        </is>
      </c>
      <c r="CV355" s="7" t="n">
        <v>2</v>
      </c>
      <c r="CW355" s="7" t="n">
        <v>4</v>
      </c>
      <c r="CX355" s="7" t="n">
        <v>10</v>
      </c>
      <c r="CY355" s="7" t="n">
        <v>20</v>
      </c>
      <c r="CZ355" s="2" t="inlineStr">
        <is>
          <t>其他</t>
        </is>
      </c>
      <c r="DA355" s="2"/>
      <c r="DB355" s="2"/>
      <c r="DC355" s="2" t="inlineStr">
        <is>
          <t>岗位职责</t>
        </is>
      </c>
      <c r="DD355" s="2" t="inlineStr">
        <is>
          <t>重要且紧急</t>
        </is>
      </c>
      <c r="DE355" s="2" t="inlineStr">
        <is>
          <t>半标准化-有流程框架，需专业经验</t>
        </is>
      </c>
      <c r="DF355" s="2" t="inlineStr">
        <is>
          <t>极少（&lt;5%）</t>
        </is>
      </c>
      <c r="DG355" s="2" t="inlineStr">
        <is>
          <t>责任/风险负荷</t>
        </is>
      </c>
      <c r="DH355" s="2"/>
      <c r="DI355" s="2" t="inlineStr">
        <is>
          <t>50ad4f0c-7ec9-4cc8-af54-29b8811291cb</t>
        </is>
      </c>
      <c r="DJ355" s="3" t="n">
        <v>1</v>
      </c>
      <c r="DK355" s="2"/>
      <c r="DL355" s="2" t="inlineStr">
        <is>
          <t>安全工作</t>
        </is>
      </c>
      <c r="DM355" s="2" t="inlineStr">
        <is>
          <t>8次以上</t>
        </is>
      </c>
      <c r="DN355" s="3" t="n">
        <v>8</v>
      </c>
      <c r="DO355" s="3" t="n">
        <v>8</v>
      </c>
      <c r="DP355" s="2" t="inlineStr">
        <is>
          <t>C.2-4小时</t>
        </is>
      </c>
      <c r="DQ355" s="7" t="n">
        <v>2</v>
      </c>
      <c r="DR355" s="7" t="n">
        <v>4</v>
      </c>
      <c r="DS355" s="7" t="n">
        <v>16</v>
      </c>
      <c r="DT355" s="7" t="n">
        <v>32</v>
      </c>
      <c r="DU355" s="2" t="inlineStr">
        <is>
          <t>其他</t>
        </is>
      </c>
      <c r="DV355" s="2"/>
      <c r="DW355" s="2"/>
      <c r="DX355" s="2" t="inlineStr">
        <is>
          <t>岗位职责</t>
        </is>
      </c>
      <c r="DY355" s="2" t="inlineStr">
        <is>
          <t>重要且紧急</t>
        </is>
      </c>
      <c r="DZ355" s="2" t="inlineStr">
        <is>
          <t>半标准化-有流程框架，需专业经验</t>
        </is>
      </c>
      <c r="EA355" s="2" t="inlineStr">
        <is>
          <t>极少（&lt;5%）</t>
        </is>
      </c>
      <c r="EB355" s="2" t="inlineStr">
        <is>
          <t>责任/风险负荷</t>
        </is>
      </c>
      <c r="EC355" s="2"/>
      <c r="ED355" s="2" t="inlineStr">
        <is>
          <t>d5f19add-6288-4806-9375-6e0712262937</t>
        </is>
      </c>
      <c r="EE355" s="3" t="n">
        <v>1</v>
      </c>
      <c r="EF355" s="2"/>
      <c r="EG355" s="2" t="inlineStr">
        <is>
          <t>安全</t>
        </is>
      </c>
      <c r="EH355" s="2" t="inlineStr">
        <is>
          <t>3次及以上</t>
        </is>
      </c>
      <c r="EI355" s="3" t="n">
        <v>3</v>
      </c>
      <c r="EJ355" s="2" t="inlineStr">
        <is>
          <t>C.2-4小时</t>
        </is>
      </c>
      <c r="EK355" s="7" t="n">
        <v>2</v>
      </c>
      <c r="EL355" s="7" t="n">
        <v>4</v>
      </c>
      <c r="EM355" s="7" t="n">
        <v>6</v>
      </c>
      <c r="EN355" s="7" t="n">
        <v>12</v>
      </c>
      <c r="EO355" s="2" t="inlineStr">
        <is>
          <t>其他</t>
        </is>
      </c>
      <c r="EP355" s="2"/>
      <c r="EQ355" s="2"/>
      <c r="ER355" s="2" t="inlineStr">
        <is>
          <t>岗位职责</t>
        </is>
      </c>
      <c r="ES355" s="2" t="inlineStr">
        <is>
          <t>重要且紧急</t>
        </is>
      </c>
      <c r="ET355" s="2" t="inlineStr">
        <is>
          <t>半标准化-有流程框架，需专业经验</t>
        </is>
      </c>
      <c r="EU355" s="2" t="inlineStr">
        <is>
          <t>极少（&lt;5%）</t>
        </is>
      </c>
      <c r="EV355" s="2" t="inlineStr">
        <is>
          <t>责任/风险负荷</t>
        </is>
      </c>
      <c r="EW355" s="2"/>
      <c r="EX355" s="2" t="inlineStr">
        <is>
          <t>04a56215-ea78-4ac6-a65a-c633b49f84d1</t>
        </is>
      </c>
      <c r="EY355" s="3" t="n">
        <v>1</v>
      </c>
      <c r="EZ355" s="2"/>
      <c r="FA355" s="2" t="inlineStr">
        <is>
          <t>安全，维修</t>
        </is>
      </c>
      <c r="FB355" s="2" t="inlineStr">
        <is>
          <t>每月3次以上</t>
        </is>
      </c>
      <c r="FC355" s="2" t="inlineStr">
        <is>
          <t>月</t>
        </is>
      </c>
      <c r="FD355" s="3" t="n">
        <v>3</v>
      </c>
      <c r="FE355" s="3" t="n">
        <v>3</v>
      </c>
      <c r="FF355" s="2" t="inlineStr">
        <is>
          <t>C.2-4小时</t>
        </is>
      </c>
      <c r="FG355" s="7" t="n">
        <v>2</v>
      </c>
      <c r="FH355" s="7" t="n">
        <v>4</v>
      </c>
      <c r="FI355" s="7" t="n">
        <v>6</v>
      </c>
      <c r="FJ355" s="7" t="n">
        <v>12</v>
      </c>
      <c r="FK355" s="7" t="n">
        <v>0</v>
      </c>
      <c r="FL355" s="7" t="n">
        <v>0</v>
      </c>
      <c r="FM355" s="7" t="n">
        <v>0</v>
      </c>
      <c r="FN355" s="7" t="n">
        <v>0</v>
      </c>
      <c r="FO355" s="2" t="inlineStr">
        <is>
          <t>其他</t>
        </is>
      </c>
      <c r="FP355" s="2"/>
      <c r="FQ355" s="2"/>
      <c r="FR355" s="2" t="inlineStr">
        <is>
          <t>岗位职责</t>
        </is>
      </c>
      <c r="FS355" s="2" t="inlineStr">
        <is>
          <t>重要且紧急</t>
        </is>
      </c>
      <c r="FT355" s="2" t="inlineStr">
        <is>
          <t>半标准化-有流程框架，需专业经验</t>
        </is>
      </c>
      <c r="FU355" s="2" t="inlineStr">
        <is>
          <t>极少（&lt;5%）</t>
        </is>
      </c>
      <c r="FV355" s="2" t="inlineStr">
        <is>
          <t>责任/风险负荷</t>
        </is>
      </c>
      <c r="FW355" s="2"/>
    </row>
    <row r="356">
      <c r="A356" s="2" t="inlineStr">
        <is>
          <t>2026-05-07 10:09:17</t>
        </is>
      </c>
      <c r="B356" s="2" t="inlineStr">
        <is>
          <t>王佳诚</t>
        </is>
      </c>
      <c r="C356" s="2" t="inlineStr">
        <is>
          <t>安装一分公司</t>
        </is>
      </c>
      <c r="D356" s="2" t="inlineStr">
        <is>
          <t>男</t>
        </is>
      </c>
      <c r="E356" s="2" t="inlineStr">
        <is>
          <t>320382199608026513</t>
        </is>
      </c>
      <c r="F356" s="2" t="inlineStr">
        <is>
          <t>主要工种初级工</t>
        </is>
      </c>
      <c r="G356" s="2" t="inlineStr">
        <is>
          <t>2021-04</t>
        </is>
      </c>
      <c r="H356" s="2" t="inlineStr">
        <is>
          <t>邳州市碾庄镇碾庄中学</t>
        </is>
      </c>
      <c r="I356" s="2" t="inlineStr">
        <is>
          <t>焊接</t>
        </is>
      </c>
      <c r="J356" s="2" t="inlineStr">
        <is>
          <t>初中</t>
        </is>
      </c>
      <c r="K356" s="2"/>
      <c r="L356" s="6">
        <f>HYPERLINK("https://www.h3yun.com/Form/Attachments/?schemacode=D1483577de63ede327d4760b10664bd57671d7e&amp;bizObjectId=6aadf72d-4b56-419b-a575-9be9f6efe8e6&amp;name=F0000046","点击查看")</f>
        <v>0</v>
      </c>
      <c r="M356" s="2" t="inlineStr">
        <is>
          <t>无</t>
        </is>
      </c>
      <c r="N356" s="2" t="inlineStr">
        <is>
          <t>每日工作</t>
        </is>
      </c>
      <c r="O356" s="2" t="inlineStr">
        <is>
          <t>26-30岁</t>
        </is>
      </c>
      <c r="P356" s="2" t="inlineStr">
        <is>
          <t>C.已婚已育</t>
        </is>
      </c>
      <c r="Q356" s="2" t="inlineStr">
        <is>
          <t>D.是，同时照护子女和老人</t>
        </is>
      </c>
      <c r="R356" s="2" t="inlineStr">
        <is>
          <t>B.有1名</t>
        </is>
      </c>
      <c r="S356" s="2" t="inlineStr">
        <is>
          <t>A.保持当前工作内容和节奏，收入相对稳定即可</t>
        </is>
      </c>
      <c r="T356" s="2" t="inlineStr">
        <is>
          <t>B.工作内容可接受，但负荷偏重</t>
        </is>
      </c>
      <c r="U356" s="2" t="inlineStr">
        <is>
          <t>C.增加弹性和稳定性</t>
        </is>
      </c>
      <c r="V356" s="2" t="inlineStr">
        <is>
          <t>A.没有</t>
        </is>
      </c>
      <c r="W356" s="2"/>
      <c r="X356" s="2" t="inlineStr">
        <is>
          <t>B.满负荷 (100%-120%)</t>
        </is>
      </c>
      <c r="Y356" s="2" t="inlineStr">
        <is>
          <t>I.无需加班</t>
        </is>
      </c>
      <c r="Z356" s="2" t="inlineStr">
        <is>
          <t>无</t>
        </is>
      </c>
      <c r="AA356" s="2" t="inlineStr">
        <is>
          <t>无</t>
        </is>
      </c>
      <c r="AB356" s="2" t="inlineStr">
        <is>
          <t>无</t>
        </is>
      </c>
      <c r="AC356" s="2" t="inlineStr">
        <is>
          <t>A.高度匹配（得心应手）</t>
        </is>
      </c>
      <c r="AD356" s="2" t="inlineStr">
        <is>
          <t>无</t>
        </is>
      </c>
      <c r="AE356" s="2" t="inlineStr">
        <is>
          <t>你这问卷里，有工人的选项吗？都没做我们的选项，针对性不详细</t>
        </is>
      </c>
      <c r="AF356" s="2" t="inlineStr">
        <is>
          <t>可以再细化一些</t>
        </is>
      </c>
      <c r="AG356" s="2" t="inlineStr">
        <is>
          <t>D.配偶不是公司家属</t>
        </is>
      </c>
      <c r="AH356" s="2" t="inlineStr">
        <is>
          <t>D.无意向，但是可能会动态变化</t>
        </is>
      </c>
      <c r="AI356" s="7" t="n">
        <v>20</v>
      </c>
      <c r="AJ356" s="7" t="n">
        <v>20</v>
      </c>
      <c r="AK356" s="7" t="n">
        <v>0</v>
      </c>
      <c r="AL356" s="7" t="n">
        <v>0</v>
      </c>
      <c r="AM356" s="7" t="n">
        <v>0</v>
      </c>
      <c r="AN356" s="7" t="n">
        <v>0</v>
      </c>
      <c r="AO356" s="7" t="n">
        <v>0</v>
      </c>
      <c r="AP356" s="7" t="n">
        <v>0</v>
      </c>
      <c r="AQ356" s="7" t="n">
        <v>0</v>
      </c>
      <c r="AR356" s="7" t="n">
        <v>0</v>
      </c>
      <c r="AS356" s="7" t="n">
        <v>20</v>
      </c>
      <c r="AT356" s="7" t="n">
        <v>20</v>
      </c>
      <c r="AU356" s="7" t="n">
        <v>20</v>
      </c>
      <c r="AV356" s="2" t="inlineStr">
        <is>
          <t>超负荷</t>
        </is>
      </c>
      <c r="AW356" s="2" t="inlineStr">
        <is>
          <t>不一致</t>
        </is>
      </c>
      <c r="AX356" s="2" t="inlineStr">
        <is>
          <t>6aadf72d-4b56-419b-a575-9be9f6efe8e6</t>
        </is>
      </c>
      <c r="AY356" s="2" t="inlineStr">
        <is>
          <t>安装一分公司    王佳诚</t>
        </is>
      </c>
      <c r="AZ356" s="2" t="inlineStr">
        <is>
          <t>Anonymous</t>
        </is>
      </c>
      <c r="BA356" s="2" t="inlineStr">
        <is>
          <t>Anonymous</t>
        </is>
      </c>
      <c r="BB356" s="2"/>
      <c r="BC356" s="2" t="inlineStr">
        <is>
          <t>2026-05-21 08:43:22</t>
        </is>
      </c>
      <c r="BD356" s="3" t="n">
        <v>1996</v>
      </c>
      <c r="BE356" s="3" t="n">
        <v>30</v>
      </c>
      <c r="BF356" s="2" t="inlineStr">
        <is>
          <t>A.无此需求</t>
        </is>
      </c>
      <c r="BG356" s="2" t="inlineStr">
        <is>
          <t>已生效</t>
        </is>
      </c>
      <c r="BH356" s="2" t="inlineStr">
        <is>
          <t>302cb333-f412-49a0-9686-e9e3af8368b9</t>
        </is>
      </c>
      <c r="BI356" s="3" t="n">
        <v>1</v>
      </c>
      <c r="BJ356" s="2"/>
      <c r="BK356" s="2"/>
      <c r="BL356" s="2"/>
      <c r="BM356" s="2"/>
      <c r="BN356" s="2"/>
      <c r="BO356" s="2"/>
      <c r="BP356" s="2"/>
      <c r="BQ356" s="2"/>
      <c r="BR356" s="2"/>
      <c r="BS356" s="2" t="inlineStr">
        <is>
          <t>9d3b321c-2859-48e3-a35a-72031571e041</t>
        </is>
      </c>
      <c r="BT356" s="3" t="n">
        <v>1</v>
      </c>
      <c r="BU356" s="2" t="inlineStr">
        <is>
          <t>专业技术类</t>
        </is>
      </c>
      <c r="BV356" s="2" t="inlineStr">
        <is>
          <t>赛鼎项目</t>
        </is>
      </c>
      <c r="BW356" s="2" t="inlineStr">
        <is>
          <t>10次以上</t>
        </is>
      </c>
      <c r="BX356" s="3" t="n">
        <v>10</v>
      </c>
      <c r="BY356" s="3" t="n">
        <v>10</v>
      </c>
      <c r="BZ356" s="2" t="inlineStr">
        <is>
          <t>B.2小时以内</t>
        </is>
      </c>
      <c r="CA356" s="7" t="n">
        <v>2</v>
      </c>
      <c r="CB356" s="7" t="n">
        <v>2</v>
      </c>
      <c r="CC356" s="7" t="n">
        <v>20</v>
      </c>
      <c r="CD356" s="7" t="n">
        <v>20</v>
      </c>
      <c r="CE356" s="2" t="inlineStr">
        <is>
          <t>专业技术类</t>
        </is>
      </c>
      <c r="CF356" s="2"/>
      <c r="CG356" s="2" t="inlineStr">
        <is>
          <t>专业问题协调</t>
        </is>
      </c>
      <c r="CH356" s="2" t="inlineStr">
        <is>
          <t>上级指令</t>
        </is>
      </c>
      <c r="CI356" s="2" t="inlineStr">
        <is>
          <t>重要且紧急</t>
        </is>
      </c>
      <c r="CJ356" s="2" t="inlineStr">
        <is>
          <t>半标准化-有流程框架，需专业经验</t>
        </is>
      </c>
      <c r="CK356" s="2" t="inlineStr">
        <is>
          <t>极少（&lt;5%）</t>
        </is>
      </c>
      <c r="CL356" s="2" t="inlineStr">
        <is>
          <t>时效/强度负荷</t>
        </is>
      </c>
      <c r="CM356" s="2"/>
      <c r="CN356" s="2" t="inlineStr">
        <is>
          <t>5a2ab732-a137-4286-869b-d546cc4d4d07</t>
        </is>
      </c>
      <c r="CO356" s="3" t="n">
        <v>1</v>
      </c>
      <c r="CP356" s="2"/>
      <c r="CQ356" s="2"/>
      <c r="CR356" s="2"/>
      <c r="CS356" s="3"/>
      <c r="CT356" s="3"/>
      <c r="CU356" s="2"/>
      <c r="CV356" s="3"/>
      <c r="CW356" s="3"/>
      <c r="CX356" s="3"/>
      <c r="CY356" s="3"/>
      <c r="CZ356" s="2"/>
      <c r="DA356" s="2"/>
      <c r="DB356" s="2"/>
      <c r="DC356" s="2"/>
      <c r="DD356" s="2"/>
      <c r="DE356" s="2"/>
      <c r="DF356" s="2"/>
      <c r="DG356" s="2"/>
      <c r="DH356" s="2"/>
      <c r="DI356" s="2" t="inlineStr">
        <is>
          <t>2a9e1768-2e00-42b5-a925-ea2b0a24559b</t>
        </is>
      </c>
      <c r="DJ356" s="3" t="n">
        <v>1</v>
      </c>
      <c r="DK356" s="2"/>
      <c r="DL356" s="2"/>
      <c r="DM356" s="2"/>
      <c r="DN356" s="3"/>
      <c r="DO356" s="3"/>
      <c r="DP356" s="2"/>
      <c r="DQ356" s="3"/>
      <c r="DR356" s="3"/>
      <c r="DS356" s="3"/>
      <c r="DT356" s="3"/>
      <c r="DU356" s="2"/>
      <c r="DV356" s="2"/>
      <c r="DW356" s="2"/>
      <c r="DX356" s="2"/>
      <c r="DY356" s="2"/>
      <c r="DZ356" s="2"/>
      <c r="EA356" s="2"/>
      <c r="EB356" s="2"/>
      <c r="EC356" s="2"/>
      <c r="ED356" s="2" t="inlineStr">
        <is>
          <t>e77906b0-48df-4cab-ad48-31a24d94171c</t>
        </is>
      </c>
      <c r="EE356" s="3" t="n">
        <v>1</v>
      </c>
      <c r="EF356" s="2"/>
      <c r="EG356" s="2"/>
      <c r="EH356" s="2"/>
      <c r="EI356" s="3"/>
      <c r="EJ356" s="2"/>
      <c r="EK356" s="3"/>
      <c r="EL356" s="3"/>
      <c r="EM356" s="3"/>
      <c r="EN356" s="3"/>
      <c r="EO356" s="2"/>
      <c r="EP356" s="2"/>
      <c r="EQ356" s="2"/>
      <c r="ER356" s="2"/>
      <c r="ES356" s="2"/>
      <c r="ET356" s="2"/>
      <c r="EU356" s="2"/>
      <c r="EV356" s="2"/>
      <c r="EW356" s="2"/>
      <c r="EX356" s="2" t="inlineStr">
        <is>
          <t>0b588081-a64d-4112-8ffa-caa293f6989d</t>
        </is>
      </c>
      <c r="EY356" s="3" t="n">
        <v>1</v>
      </c>
      <c r="EZ356" s="2"/>
      <c r="FA356" s="2"/>
      <c r="FB356" s="2"/>
      <c r="FC356" s="2"/>
      <c r="FD356" s="3"/>
      <c r="FE356" s="3"/>
      <c r="FF356" s="2"/>
      <c r="FG356" s="3"/>
      <c r="FH356" s="3"/>
      <c r="FI356" s="7" t="n">
        <v>0</v>
      </c>
      <c r="FJ356" s="7" t="n">
        <v>0</v>
      </c>
      <c r="FK356" s="7" t="n">
        <v>0</v>
      </c>
      <c r="FL356" s="7" t="n">
        <v>0</v>
      </c>
      <c r="FM356" s="7" t="n">
        <v>0</v>
      </c>
      <c r="FN356" s="7" t="n">
        <v>0</v>
      </c>
      <c r="FO356" s="2"/>
      <c r="FP356" s="2"/>
      <c r="FQ356" s="2"/>
      <c r="FR356" s="2"/>
      <c r="FS356" s="2"/>
      <c r="FT356" s="2"/>
      <c r="FU356" s="2"/>
      <c r="FV356" s="2"/>
      <c r="FW356" s="2"/>
    </row>
    <row r="357">
      <c r="A357" s="2" t="inlineStr">
        <is>
          <t>2026-05-06 10:06:19</t>
        </is>
      </c>
      <c r="B357" s="2" t="inlineStr">
        <is>
          <t>陈苏宁</t>
        </is>
      </c>
      <c r="C357" s="2" t="inlineStr">
        <is>
          <t>技术中心</t>
        </is>
      </c>
      <c r="D357" s="2" t="inlineStr">
        <is>
          <t>女</t>
        </is>
      </c>
      <c r="E357" s="2" t="inlineStr">
        <is>
          <t>320112200102180842</t>
        </is>
      </c>
      <c r="F357" s="2" t="inlineStr">
        <is>
          <t>技术助理(三)</t>
        </is>
      </c>
      <c r="G357" s="2" t="inlineStr">
        <is>
          <t>2023-08</t>
        </is>
      </c>
      <c r="H357" s="2" t="inlineStr">
        <is>
          <t>江苏联合职业技术学校</t>
        </is>
      </c>
      <c r="I357" s="2" t="inlineStr">
        <is>
          <t>会计</t>
        </is>
      </c>
      <c r="J357" s="2" t="inlineStr">
        <is>
          <t>本科</t>
        </is>
      </c>
      <c r="K357" s="2"/>
      <c r="L357" s="6">
        <f>HYPERLINK("https://www.h3yun.com/Form/Attachments/?schemacode=D1483577de63ede327d4760b10664bd57671d7e&amp;bizObjectId=af06bc0c-a2fa-429a-9140-56ee46218181&amp;name=F0000046","点击查看")</f>
        <v>0</v>
      </c>
      <c r="M357" s="2" t="inlineStr">
        <is>
          <t>精简审批流程，部分可做合并或同步执行</t>
        </is>
      </c>
      <c r="N357" s="2" t="inlineStr">
        <is>
          <t>每日工作;每周工作;每月工作;每季度/阶段性工作;临时/突发工作</t>
        </is>
      </c>
      <c r="O357" s="2" t="inlineStr">
        <is>
          <t>25岁及以下</t>
        </is>
      </c>
      <c r="P357" s="2" t="inlineStr">
        <is>
          <t>A.未婚</t>
        </is>
      </c>
      <c r="Q357" s="2" t="inlineStr">
        <is>
          <t>A.否</t>
        </is>
      </c>
      <c r="R357" s="2" t="inlineStr">
        <is>
          <t>A.否</t>
        </is>
      </c>
      <c r="S357" s="2" t="inlineStr">
        <is>
          <t>D.希望承担更有挑战性的工作，并争取更大发展空间</t>
        </is>
      </c>
      <c r="T357" s="2" t="inlineStr">
        <is>
          <t>E.希望承担更重要、更有挑战的职责</t>
        </is>
      </c>
      <c r="U357" s="2" t="inlineStr">
        <is>
          <t>D.明确职责边界</t>
        </is>
      </c>
      <c r="V357" s="2" t="inlineStr">
        <is>
          <t>C.推动过局部优化</t>
        </is>
      </c>
      <c r="W357" s="2" t="inlineStr">
        <is>
          <t>E.缺少人手或时间推进</t>
        </is>
      </c>
      <c r="X357" s="2" t="inlineStr">
        <is>
          <t>A.超负荷 (&gt;120%)</t>
        </is>
      </c>
      <c r="Y357" s="2" t="inlineStr">
        <is>
          <t>C.会议或日常协调过多，压缩产出时间;G.接收到任务分配单完成周期内要求的加班;H.研发探索性质，保持研究不间断的主动加班</t>
        </is>
      </c>
      <c r="Z357" s="2" t="inlineStr">
        <is>
          <t>跨部门对接</t>
        </is>
      </c>
      <c r="AA357" s="2" t="inlineStr">
        <is>
          <t>催办</t>
        </is>
      </c>
      <c r="AB357" s="2" t="inlineStr">
        <is>
          <t>考核通报</t>
        </is>
      </c>
      <c r="AC357" s="2" t="inlineStr">
        <is>
          <t>A.高度匹配（得心应手）</t>
        </is>
      </c>
      <c r="AD357" s="2" t="inlineStr">
        <is>
          <t>暂无</t>
        </is>
      </c>
      <c r="AE357" s="2"/>
      <c r="AF357" s="2"/>
      <c r="AG357" s="2"/>
      <c r="AH357" s="2"/>
      <c r="AI357" s="7" t="n">
        <v>1.98</v>
      </c>
      <c r="AJ357" s="7" t="n">
        <v>4.95</v>
      </c>
      <c r="AK357" s="7" t="n">
        <v>8.13</v>
      </c>
      <c r="AL357" s="7" t="n">
        <v>22.6</v>
      </c>
      <c r="AM357" s="7" t="n">
        <v>0.58</v>
      </c>
      <c r="AN357" s="7" t="n">
        <v>0.85</v>
      </c>
      <c r="AO357" s="7" t="n">
        <v>0.14</v>
      </c>
      <c r="AP357" s="7" t="n">
        <v>0.15</v>
      </c>
      <c r="AQ357" s="7" t="n">
        <v>0.36</v>
      </c>
      <c r="AR357" s="7" t="n">
        <v>0.52</v>
      </c>
      <c r="AS357" s="7" t="n">
        <v>11.18</v>
      </c>
      <c r="AT357" s="7" t="n">
        <v>29.07</v>
      </c>
      <c r="AU357" s="7" t="n">
        <v>20.13</v>
      </c>
      <c r="AV357" s="2" t="inlineStr">
        <is>
          <t>超负荷</t>
        </is>
      </c>
      <c r="AW357" s="2" t="inlineStr">
        <is>
          <t>一致</t>
        </is>
      </c>
      <c r="AX357" s="2" t="inlineStr">
        <is>
          <t>af06bc0c-a2fa-429a-9140-56ee46218181</t>
        </is>
      </c>
      <c r="AY357" s="2" t="inlineStr">
        <is>
          <t>技术中心    陈苏宁</t>
        </is>
      </c>
      <c r="AZ357" s="2" t="inlineStr">
        <is>
          <t>陈苏宁</t>
        </is>
      </c>
      <c r="BA357" s="2" t="inlineStr">
        <is>
          <t>陈苏宁</t>
        </is>
      </c>
      <c r="BB357" s="2" t="inlineStr">
        <is>
          <t>管理创新研究室</t>
        </is>
      </c>
      <c r="BC357" s="2" t="inlineStr">
        <is>
          <t>2026-05-21 08:43:22</t>
        </is>
      </c>
      <c r="BD357" s="3" t="n">
        <v>2001</v>
      </c>
      <c r="BE357" s="3" t="n">
        <v>25</v>
      </c>
      <c r="BF357" s="2" t="inlineStr">
        <is>
          <t>A.无此需求</t>
        </is>
      </c>
      <c r="BG357" s="2" t="inlineStr">
        <is>
          <t>已生效</t>
        </is>
      </c>
      <c r="BH357" s="2" t="inlineStr">
        <is>
          <t>b2a5abd2-3a7a-4043-b01c-69f519961ccb</t>
        </is>
      </c>
      <c r="BI357" s="3" t="n">
        <v>1</v>
      </c>
      <c r="BJ357" s="2"/>
      <c r="BK357" s="2"/>
      <c r="BL357" s="2"/>
      <c r="BM357" s="2"/>
      <c r="BN357" s="2"/>
      <c r="BO357" s="2"/>
      <c r="BP357" s="2"/>
      <c r="BQ357" s="2"/>
      <c r="BR357" s="2"/>
      <c r="BS357" s="2" t="inlineStr">
        <is>
          <t>c932626c-3cce-488f-8b01-04f11d7b887c</t>
        </is>
      </c>
      <c r="BT357" s="3" t="n">
        <v>1</v>
      </c>
      <c r="BU357" s="2" t="inlineStr">
        <is>
          <t>其他</t>
        </is>
      </c>
      <c r="BV357" s="2" t="inlineStr">
        <is>
          <t>氚云权限调整</t>
        </is>
      </c>
      <c r="BW357" s="2" t="inlineStr">
        <is>
          <t>2-5次</t>
        </is>
      </c>
      <c r="BX357" s="3" t="n">
        <v>2</v>
      </c>
      <c r="BY357" s="3" t="n">
        <v>5</v>
      </c>
      <c r="BZ357" s="2" t="inlineStr">
        <is>
          <t>A.20分钟以内</t>
        </is>
      </c>
      <c r="CA357" s="7" t="n">
        <v>0.33</v>
      </c>
      <c r="CB357" s="7" t="n">
        <v>0.33</v>
      </c>
      <c r="CC357" s="7" t="n">
        <v>0.66</v>
      </c>
      <c r="CD357" s="7" t="n">
        <v>1.65</v>
      </c>
      <c r="CE357" s="2" t="inlineStr">
        <is>
          <t>其他</t>
        </is>
      </c>
      <c r="CF357" s="2" t="inlineStr">
        <is>
          <t>氚云事宜</t>
        </is>
      </c>
      <c r="CG357" s="2"/>
      <c r="CH357" s="2" t="inlineStr">
        <is>
          <t>上级指令</t>
        </is>
      </c>
      <c r="CI357" s="2" t="inlineStr">
        <is>
          <t>紧急不重要</t>
        </is>
      </c>
      <c r="CJ357" s="2" t="inlineStr">
        <is>
          <t>高度标准化-有成熟SOP，照做即可</t>
        </is>
      </c>
      <c r="CK357" s="2" t="inlineStr">
        <is>
          <t>极少（&lt;5%）</t>
        </is>
      </c>
      <c r="CL357" s="2" t="inlineStr">
        <is>
          <t>沟通/协调负荷</t>
        </is>
      </c>
      <c r="CM357" s="2"/>
      <c r="CN357" s="2" t="inlineStr">
        <is>
          <t>71f44ebf-3f1e-43d4-adb9-470c1d1c13a8</t>
        </is>
      </c>
      <c r="CO357" s="3" t="n">
        <v>1</v>
      </c>
      <c r="CP357" s="2"/>
      <c r="CQ357" s="2" t="inlineStr">
        <is>
          <t>Rpa、Playwright工具应用</t>
        </is>
      </c>
      <c r="CR357" s="2" t="inlineStr">
        <is>
          <t>4-5次</t>
        </is>
      </c>
      <c r="CS357" s="3" t="n">
        <v>4</v>
      </c>
      <c r="CT357" s="3" t="n">
        <v>5</v>
      </c>
      <c r="CU357" s="2" t="inlineStr">
        <is>
          <t>D.4-8小时</t>
        </is>
      </c>
      <c r="CV357" s="7" t="n">
        <v>4</v>
      </c>
      <c r="CW357" s="7" t="n">
        <v>8</v>
      </c>
      <c r="CX357" s="7" t="n">
        <v>16</v>
      </c>
      <c r="CY357" s="7" t="n">
        <v>40</v>
      </c>
      <c r="CZ357" s="2" t="inlineStr">
        <is>
          <t>专业技术类</t>
        </is>
      </c>
      <c r="DA357" s="2"/>
      <c r="DB357" s="2" t="inlineStr">
        <is>
          <t>探索研发类工作</t>
        </is>
      </c>
      <c r="DC357" s="2" t="inlineStr">
        <is>
          <t>上级指令</t>
        </is>
      </c>
      <c r="DD357" s="2" t="inlineStr">
        <is>
          <t>重要不紧急</t>
        </is>
      </c>
      <c r="DE357" s="2" t="inlineStr">
        <is>
          <t>非标准化-无先例参考，需创新协调</t>
        </is>
      </c>
      <c r="DF357" s="2" t="inlineStr">
        <is>
          <t>极少（&lt;5%）</t>
        </is>
      </c>
      <c r="DG357" s="2" t="inlineStr">
        <is>
          <t>脑力/复杂度负荷</t>
        </is>
      </c>
      <c r="DH357" s="2"/>
      <c r="DI357" s="2" t="inlineStr">
        <is>
          <t>5f857946-529e-440a-99d7-de2903a1af59</t>
        </is>
      </c>
      <c r="DJ357" s="3" t="n">
        <v>1</v>
      </c>
      <c r="DK357" s="2"/>
      <c r="DL357" s="2" t="inlineStr">
        <is>
          <t>梳理固定资产</t>
        </is>
      </c>
      <c r="DM357" s="2" t="inlineStr">
        <is>
          <t>1次</t>
        </is>
      </c>
      <c r="DN357" s="3" t="n">
        <v>1</v>
      </c>
      <c r="DO357" s="3" t="n">
        <v>1</v>
      </c>
      <c r="DP357" s="2" t="inlineStr">
        <is>
          <t>A.20分钟以内</t>
        </is>
      </c>
      <c r="DQ357" s="7" t="n">
        <v>0.33</v>
      </c>
      <c r="DR357" s="7" t="n">
        <v>0.33</v>
      </c>
      <c r="DS357" s="7" t="n">
        <v>0.33</v>
      </c>
      <c r="DT357" s="7" t="n">
        <v>0.33</v>
      </c>
      <c r="DU357" s="2" t="inlineStr">
        <is>
          <t>行政事务类</t>
        </is>
      </c>
      <c r="DV357" s="2"/>
      <c r="DW357" s="2" t="inlineStr">
        <is>
          <t>日常台账</t>
        </is>
      </c>
      <c r="DX357" s="2" t="inlineStr">
        <is>
          <t>岗位职责</t>
        </is>
      </c>
      <c r="DY357" s="2" t="inlineStr">
        <is>
          <t>紧急不重要</t>
        </is>
      </c>
      <c r="DZ357" s="2" t="inlineStr">
        <is>
          <t>高度标准化-有成熟SOP，照做即可</t>
        </is>
      </c>
      <c r="EA357" s="2" t="inlineStr">
        <is>
          <t>极少（&lt;5%）</t>
        </is>
      </c>
      <c r="EB357" s="2" t="inlineStr">
        <is>
          <t>脑力/复杂度负荷</t>
        </is>
      </c>
      <c r="EC357" s="2"/>
      <c r="ED357" s="2" t="inlineStr">
        <is>
          <t>544e2ad4-065e-49b2-9e42-7d03308d7002</t>
        </is>
      </c>
      <c r="EE357" s="3" t="n">
        <v>1</v>
      </c>
      <c r="EF357" s="2"/>
      <c r="EG357" s="2" t="inlineStr">
        <is>
          <t>节日福利（含撰写发文、节礼采购、发票催办、跨部门沟通等）</t>
        </is>
      </c>
      <c r="EH357" s="2" t="inlineStr">
        <is>
          <t>1次</t>
        </is>
      </c>
      <c r="EI357" s="3" t="n">
        <v>1</v>
      </c>
      <c r="EJ357" s="2" t="inlineStr">
        <is>
          <t>D.4-8小时</t>
        </is>
      </c>
      <c r="EK357" s="7" t="n">
        <v>4</v>
      </c>
      <c r="EL357" s="7" t="n">
        <v>8</v>
      </c>
      <c r="EM357" s="7" t="n">
        <v>4</v>
      </c>
      <c r="EN357" s="7" t="n">
        <v>8</v>
      </c>
      <c r="EO357" s="2" t="inlineStr">
        <is>
          <t>其他</t>
        </is>
      </c>
      <c r="EP357" s="2" t="inlineStr">
        <is>
          <t>员工福利</t>
        </is>
      </c>
      <c r="EQ357" s="2"/>
      <c r="ER357" s="2" t="inlineStr">
        <is>
          <t>部门计划</t>
        </is>
      </c>
      <c r="ES357" s="2" t="inlineStr">
        <is>
          <t>紧急不重要</t>
        </is>
      </c>
      <c r="ET357" s="2" t="inlineStr">
        <is>
          <t>高度标准化-有成熟SOP，照做即可</t>
        </is>
      </c>
      <c r="EU357" s="2" t="inlineStr">
        <is>
          <t>极少（&lt;5%）</t>
        </is>
      </c>
      <c r="EV357" s="2" t="inlineStr">
        <is>
          <t>沟通/协调负荷</t>
        </is>
      </c>
      <c r="EW357" s="2"/>
      <c r="EX357" s="2" t="inlineStr">
        <is>
          <t>27673101-4a3d-4d4c-aaee-71c79c472b2c</t>
        </is>
      </c>
      <c r="EY357" s="3" t="n">
        <v>1</v>
      </c>
      <c r="EZ357" s="2"/>
      <c r="FA357" s="2" t="inlineStr">
        <is>
          <t>永利资质维护（含人员证书考证、继续教育等）</t>
        </is>
      </c>
      <c r="FB357" s="2" t="inlineStr">
        <is>
          <t>每年1-2次</t>
        </is>
      </c>
      <c r="FC357" s="2" t="inlineStr">
        <is>
          <t>年</t>
        </is>
      </c>
      <c r="FD357" s="3" t="n">
        <v>1</v>
      </c>
      <c r="FE357" s="3" t="n">
        <v>2</v>
      </c>
      <c r="FF357" s="2" t="inlineStr">
        <is>
          <t>B.2小时以内</t>
        </is>
      </c>
      <c r="FG357" s="7" t="n">
        <v>2</v>
      </c>
      <c r="FH357" s="7" t="n">
        <v>2</v>
      </c>
      <c r="FI357" s="7" t="n">
        <v>0</v>
      </c>
      <c r="FJ357" s="7" t="n">
        <v>0</v>
      </c>
      <c r="FK357" s="7" t="n">
        <v>0</v>
      </c>
      <c r="FL357" s="7" t="n">
        <v>0</v>
      </c>
      <c r="FM357" s="7" t="n">
        <v>2</v>
      </c>
      <c r="FN357" s="7" t="n">
        <v>4</v>
      </c>
      <c r="FO357" s="2" t="inlineStr">
        <is>
          <t>其他</t>
        </is>
      </c>
      <c r="FP357" s="2" t="inlineStr">
        <is>
          <t>资质、培训相关</t>
        </is>
      </c>
      <c r="FQ357" s="2"/>
      <c r="FR357" s="2" t="inlineStr">
        <is>
          <t>跨部门协同</t>
        </is>
      </c>
      <c r="FS357" s="2" t="inlineStr">
        <is>
          <t>紧急不重要</t>
        </is>
      </c>
      <c r="FT357" s="2" t="inlineStr">
        <is>
          <t>半标准化-有流程框架，需专业经验</t>
        </is>
      </c>
      <c r="FU357" s="2" t="inlineStr">
        <is>
          <t>极少（&lt;5%）</t>
        </is>
      </c>
      <c r="FV357" s="2" t="inlineStr">
        <is>
          <t>沟通/协调负荷</t>
        </is>
      </c>
      <c r="FW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t="inlineStr">
        <is>
          <t>34adee8a-ef07-49f8-b8d5-d6d00ceaa280</t>
        </is>
      </c>
      <c r="BT358" s="3" t="n">
        <v>2</v>
      </c>
      <c r="BU358" s="2" t="inlineStr">
        <is>
          <t>其他</t>
        </is>
      </c>
      <c r="BV358" s="2" t="inlineStr">
        <is>
          <t>组织架构及考勤调整</t>
        </is>
      </c>
      <c r="BW358" s="2" t="inlineStr">
        <is>
          <t>2-5次</t>
        </is>
      </c>
      <c r="BX358" s="3" t="n">
        <v>2</v>
      </c>
      <c r="BY358" s="3" t="n">
        <v>5</v>
      </c>
      <c r="BZ358" s="2" t="inlineStr">
        <is>
          <t>A.20分钟以内</t>
        </is>
      </c>
      <c r="CA358" s="7" t="n">
        <v>0.33</v>
      </c>
      <c r="CB358" s="7" t="n">
        <v>0.33</v>
      </c>
      <c r="CC358" s="7" t="n">
        <v>0.66</v>
      </c>
      <c r="CD358" s="7" t="n">
        <v>1.65</v>
      </c>
      <c r="CE358" s="2" t="inlineStr">
        <is>
          <t>其他</t>
        </is>
      </c>
      <c r="CF358" s="2" t="inlineStr">
        <is>
          <t>氚云事宜</t>
        </is>
      </c>
      <c r="CG358" s="2"/>
      <c r="CH358" s="2" t="inlineStr">
        <is>
          <t>上级指令</t>
        </is>
      </c>
      <c r="CI358" s="2" t="inlineStr">
        <is>
          <t>紧急不重要</t>
        </is>
      </c>
      <c r="CJ358" s="2" t="inlineStr">
        <is>
          <t>高度标准化-有成熟SOP，照做即可</t>
        </is>
      </c>
      <c r="CK358" s="2" t="inlineStr">
        <is>
          <t>极少（&lt;5%）</t>
        </is>
      </c>
      <c r="CL358" s="2" t="inlineStr">
        <is>
          <t>沟通/协调负荷</t>
        </is>
      </c>
      <c r="CM358" s="2"/>
      <c r="CN358" s="2" t="inlineStr">
        <is>
          <t>a90826d9-a879-49a7-8372-ceac8a906d74</t>
        </is>
      </c>
      <c r="CO358" s="3" t="n">
        <v>2</v>
      </c>
      <c r="CP358" s="2"/>
      <c r="CQ358" s="2" t="inlineStr">
        <is>
          <t>氚云模块场景应用</t>
        </is>
      </c>
      <c r="CR358" s="2" t="inlineStr">
        <is>
          <t>2-3次</t>
        </is>
      </c>
      <c r="CS358" s="3" t="n">
        <v>2</v>
      </c>
      <c r="CT358" s="3" t="n">
        <v>3</v>
      </c>
      <c r="CU358" s="2" t="inlineStr">
        <is>
          <t>C.2-4小时</t>
        </is>
      </c>
      <c r="CV358" s="7" t="n">
        <v>2</v>
      </c>
      <c r="CW358" s="7" t="n">
        <v>4</v>
      </c>
      <c r="CX358" s="7" t="n">
        <v>4</v>
      </c>
      <c r="CY358" s="7" t="n">
        <v>12</v>
      </c>
      <c r="CZ358" s="2" t="inlineStr">
        <is>
          <t>专业技术类</t>
        </is>
      </c>
      <c r="DA358" s="2"/>
      <c r="DB358" s="2" t="inlineStr">
        <is>
          <t>标准研究</t>
        </is>
      </c>
      <c r="DC358" s="2" t="inlineStr">
        <is>
          <t>上级指令</t>
        </is>
      </c>
      <c r="DD358" s="2" t="inlineStr">
        <is>
          <t>重要不紧急</t>
        </is>
      </c>
      <c r="DE358" s="2" t="inlineStr">
        <is>
          <t>非标准化-无先例参考，需创新协调</t>
        </is>
      </c>
      <c r="DF358" s="2" t="inlineStr">
        <is>
          <t>极少（&lt;5%）</t>
        </is>
      </c>
      <c r="DG358" s="2" t="inlineStr">
        <is>
          <t>脑力/复杂度负荷</t>
        </is>
      </c>
      <c r="DH358" s="2"/>
      <c r="DI358" s="2" t="inlineStr">
        <is>
          <t>ac5c7d32-6056-4448-b208-e78caab5d28d</t>
        </is>
      </c>
      <c r="DJ358" s="3" t="n">
        <v>2</v>
      </c>
      <c r="DK358" s="2"/>
      <c r="DL358" s="2" t="inlineStr">
        <is>
          <t>月度产值报表</t>
        </is>
      </c>
      <c r="DM358" s="2" t="inlineStr">
        <is>
          <t>1次</t>
        </is>
      </c>
      <c r="DN358" s="3" t="n">
        <v>1</v>
      </c>
      <c r="DO358" s="3" t="n">
        <v>1</v>
      </c>
      <c r="DP358" s="2" t="inlineStr">
        <is>
          <t>A.20分钟以内</t>
        </is>
      </c>
      <c r="DQ358" s="7" t="n">
        <v>0.33</v>
      </c>
      <c r="DR358" s="7" t="n">
        <v>0.33</v>
      </c>
      <c r="DS358" s="7" t="n">
        <v>0.33</v>
      </c>
      <c r="DT358" s="7" t="n">
        <v>0.33</v>
      </c>
      <c r="DU358" s="2" t="inlineStr">
        <is>
          <t>数据报表类</t>
        </is>
      </c>
      <c r="DV358" s="2"/>
      <c r="DW358" s="2" t="inlineStr">
        <is>
          <t>经营数据汇总</t>
        </is>
      </c>
      <c r="DX358" s="2" t="inlineStr">
        <is>
          <t>岗位职责</t>
        </is>
      </c>
      <c r="DY358" s="2" t="inlineStr">
        <is>
          <t>紧急不重要</t>
        </is>
      </c>
      <c r="DZ358" s="2" t="inlineStr">
        <is>
          <t>高度标准化-有成熟SOP，照做即可</t>
        </is>
      </c>
      <c r="EA358" s="2" t="inlineStr">
        <is>
          <t>极少（&lt;5%）</t>
        </is>
      </c>
      <c r="EB358" s="2" t="inlineStr">
        <is>
          <t>沟通/协调负荷</t>
        </is>
      </c>
      <c r="EC358" s="2"/>
      <c r="ED358" s="2" t="inlineStr">
        <is>
          <t>cd2a18b7-09ff-4fe6-937d-5f27d554ff78</t>
        </is>
      </c>
      <c r="EE358" s="3" t="n">
        <v>2</v>
      </c>
      <c r="EF358" s="2"/>
      <c r="EG358" s="2" t="inlineStr">
        <is>
          <t>部门招聘事宜</t>
        </is>
      </c>
      <c r="EH358" s="2" t="inlineStr">
        <is>
          <t>3次及以上</t>
        </is>
      </c>
      <c r="EI358" s="3" t="n">
        <v>3</v>
      </c>
      <c r="EJ358" s="2" t="inlineStr">
        <is>
          <t>E.8小时以上</t>
        </is>
      </c>
      <c r="EK358" s="7" t="n">
        <v>8</v>
      </c>
      <c r="EL358" s="7" t="n">
        <v>8</v>
      </c>
      <c r="EM358" s="7" t="n">
        <v>24</v>
      </c>
      <c r="EN358" s="7" t="n">
        <v>24</v>
      </c>
      <c r="EO358" s="2" t="inlineStr">
        <is>
          <t>其他</t>
        </is>
      </c>
      <c r="EP358" s="2" t="inlineStr">
        <is>
          <t>人事相关</t>
        </is>
      </c>
      <c r="EQ358" s="2"/>
      <c r="ER358" s="2" t="inlineStr">
        <is>
          <t>部门计划</t>
        </is>
      </c>
      <c r="ES358" s="2" t="inlineStr">
        <is>
          <t>重要且紧急</t>
        </is>
      </c>
      <c r="ET358" s="2" t="inlineStr">
        <is>
          <t>半标准化-有流程框架，需专业经验</t>
        </is>
      </c>
      <c r="EU358" s="2" t="inlineStr">
        <is>
          <t>极少（&lt;5%）</t>
        </is>
      </c>
      <c r="EV358" s="2" t="inlineStr">
        <is>
          <t>沟通/协调负荷</t>
        </is>
      </c>
      <c r="EW358" s="2"/>
      <c r="EX358" s="2" t="inlineStr">
        <is>
          <t>0cd9848d-eb05-4298-9811-c8517721f2cc</t>
        </is>
      </c>
      <c r="EY358" s="3" t="n">
        <v>2</v>
      </c>
      <c r="EZ358" s="2"/>
      <c r="FA358" s="2" t="inlineStr">
        <is>
          <t>劳务派遣资质年审</t>
        </is>
      </c>
      <c r="FB358" s="2" t="inlineStr">
        <is>
          <t>每年1-2次</t>
        </is>
      </c>
      <c r="FC358" s="2" t="inlineStr">
        <is>
          <t>年</t>
        </is>
      </c>
      <c r="FD358" s="3" t="n">
        <v>1</v>
      </c>
      <c r="FE358" s="3" t="n">
        <v>2</v>
      </c>
      <c r="FF358" s="2" t="inlineStr">
        <is>
          <t>C.2-4小时</t>
        </is>
      </c>
      <c r="FG358" s="7" t="n">
        <v>2</v>
      </c>
      <c r="FH358" s="7" t="n">
        <v>4</v>
      </c>
      <c r="FI358" s="7" t="n">
        <v>0</v>
      </c>
      <c r="FJ358" s="7" t="n">
        <v>0</v>
      </c>
      <c r="FK358" s="7" t="n">
        <v>0</v>
      </c>
      <c r="FL358" s="7" t="n">
        <v>0</v>
      </c>
      <c r="FM358" s="7" t="n">
        <v>2</v>
      </c>
      <c r="FN358" s="7" t="n">
        <v>8</v>
      </c>
      <c r="FO358" s="2" t="inlineStr">
        <is>
          <t>其他</t>
        </is>
      </c>
      <c r="FP358" s="2" t="inlineStr">
        <is>
          <t>资质相关</t>
        </is>
      </c>
      <c r="FQ358" s="2"/>
      <c r="FR358" s="2" t="inlineStr">
        <is>
          <t>跨部门协同</t>
        </is>
      </c>
      <c r="FS358" s="2" t="inlineStr">
        <is>
          <t>紧急不重要</t>
        </is>
      </c>
      <c r="FT358" s="2" t="inlineStr">
        <is>
          <t>半标准化-有流程框架，需专业经验</t>
        </is>
      </c>
      <c r="FU358" s="2" t="inlineStr">
        <is>
          <t>极少（&lt;5%）</t>
        </is>
      </c>
      <c r="FV358" s="2" t="inlineStr">
        <is>
          <t>沟通/协调负荷</t>
        </is>
      </c>
      <c r="FW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t="inlineStr">
        <is>
          <t>ab539a0c-f77d-4ed6-b9d4-e9b9fe9fbd14</t>
        </is>
      </c>
      <c r="BT359" s="3" t="n">
        <v>3</v>
      </c>
      <c r="BU359" s="2" t="inlineStr">
        <is>
          <t>其他</t>
        </is>
      </c>
      <c r="BV359" s="2" t="inlineStr">
        <is>
          <t>配合领导获取考勤、日志数据</t>
        </is>
      </c>
      <c r="BW359" s="2" t="inlineStr">
        <is>
          <t>2-5次</t>
        </is>
      </c>
      <c r="BX359" s="3" t="n">
        <v>2</v>
      </c>
      <c r="BY359" s="3" t="n">
        <v>5</v>
      </c>
      <c r="BZ359" s="2" t="inlineStr">
        <is>
          <t>A.20分钟以内</t>
        </is>
      </c>
      <c r="CA359" s="7" t="n">
        <v>0.33</v>
      </c>
      <c r="CB359" s="7" t="n">
        <v>0.33</v>
      </c>
      <c r="CC359" s="7" t="n">
        <v>0.66</v>
      </c>
      <c r="CD359" s="7" t="n">
        <v>1.65</v>
      </c>
      <c r="CE359" s="2" t="inlineStr">
        <is>
          <t>其他</t>
        </is>
      </c>
      <c r="CF359" s="2" t="inlineStr">
        <is>
          <t>钉钉事宜</t>
        </is>
      </c>
      <c r="CG359" s="2"/>
      <c r="CH359" s="2" t="inlineStr">
        <is>
          <t>上级指令</t>
        </is>
      </c>
      <c r="CI359" s="2" t="inlineStr">
        <is>
          <t>紧急不重要</t>
        </is>
      </c>
      <c r="CJ359" s="2" t="inlineStr">
        <is>
          <t>高度标准化-有成熟SOP，照做即可</t>
        </is>
      </c>
      <c r="CK359" s="2" t="inlineStr">
        <is>
          <t>极少（&lt;5%）</t>
        </is>
      </c>
      <c r="CL359" s="2" t="inlineStr">
        <is>
          <t>沟通/协调负荷</t>
        </is>
      </c>
      <c r="CM359" s="2"/>
      <c r="CN359" s="2" t="inlineStr">
        <is>
          <t>48804522-a198-48df-bc4c-062d76170032</t>
        </is>
      </c>
      <c r="CO359" s="3" t="n">
        <v>3</v>
      </c>
      <c r="CP359" s="2"/>
      <c r="CQ359" s="2" t="inlineStr">
        <is>
          <t>设计仪表盘</t>
        </is>
      </c>
      <c r="CR359" s="2" t="inlineStr">
        <is>
          <t>2-3次</t>
        </is>
      </c>
      <c r="CS359" s="3" t="n">
        <v>2</v>
      </c>
      <c r="CT359" s="3" t="n">
        <v>3</v>
      </c>
      <c r="CU359" s="2" t="inlineStr">
        <is>
          <t>A.20分钟以内</t>
        </is>
      </c>
      <c r="CV359" s="7" t="n">
        <v>0.33</v>
      </c>
      <c r="CW359" s="7" t="n">
        <v>0.33</v>
      </c>
      <c r="CX359" s="7" t="n">
        <v>0.66</v>
      </c>
      <c r="CY359" s="7" t="n">
        <v>0.99</v>
      </c>
      <c r="CZ359" s="2" t="inlineStr">
        <is>
          <t>专业技术类</t>
        </is>
      </c>
      <c r="DA359" s="2"/>
      <c r="DB359" s="2" t="inlineStr">
        <is>
          <t>标准研究</t>
        </is>
      </c>
      <c r="DC359" s="2" t="inlineStr">
        <is>
          <t>上级指令</t>
        </is>
      </c>
      <c r="DD359" s="2" t="inlineStr">
        <is>
          <t>重要不紧急</t>
        </is>
      </c>
      <c r="DE359" s="2" t="inlineStr">
        <is>
          <t>非标准化-无先例参考，需创新协调</t>
        </is>
      </c>
      <c r="DF359" s="2" t="inlineStr">
        <is>
          <t>极少（&lt;5%）</t>
        </is>
      </c>
      <c r="DG359" s="2" t="inlineStr">
        <is>
          <t>脑力/复杂度负荷</t>
        </is>
      </c>
      <c r="DH359" s="2"/>
      <c r="DI359" s="2" t="inlineStr">
        <is>
          <t>f9839f48-1d3b-494f-8acc-93f5d7fa6ac3</t>
        </is>
      </c>
      <c r="DJ359" s="3" t="n">
        <v>3</v>
      </c>
      <c r="DK359" s="2"/>
      <c r="DL359" s="2" t="inlineStr">
        <is>
          <t>外聘人员台账维护</t>
        </is>
      </c>
      <c r="DM359" s="2" t="inlineStr">
        <is>
          <t>2-3次</t>
        </is>
      </c>
      <c r="DN359" s="3" t="n">
        <v>2</v>
      </c>
      <c r="DO359" s="3" t="n">
        <v>3</v>
      </c>
      <c r="DP359" s="2" t="inlineStr">
        <is>
          <t>B.2小时以内</t>
        </is>
      </c>
      <c r="DQ359" s="7" t="n">
        <v>2</v>
      </c>
      <c r="DR359" s="7" t="n">
        <v>2</v>
      </c>
      <c r="DS359" s="7" t="n">
        <v>4</v>
      </c>
      <c r="DT359" s="7" t="n">
        <v>6</v>
      </c>
      <c r="DU359" s="2" t="inlineStr">
        <is>
          <t>数据报表类</t>
        </is>
      </c>
      <c r="DV359" s="2"/>
      <c r="DW359" s="2" t="inlineStr">
        <is>
          <t>专项统计</t>
        </is>
      </c>
      <c r="DX359" s="2" t="inlineStr">
        <is>
          <t>岗位职责</t>
        </is>
      </c>
      <c r="DY359" s="2" t="inlineStr">
        <is>
          <t>紧急不重要</t>
        </is>
      </c>
      <c r="DZ359" s="2" t="inlineStr">
        <is>
          <t>高度标准化-有成熟SOP，照做即可</t>
        </is>
      </c>
      <c r="EA359" s="2" t="inlineStr">
        <is>
          <t>极少（&lt;5%）</t>
        </is>
      </c>
      <c r="EB359" s="2" t="inlineStr">
        <is>
          <t>沟通/协调负荷</t>
        </is>
      </c>
      <c r="EC359" s="2"/>
      <c r="ED359" s="2" t="inlineStr">
        <is>
          <t>08b88edf-db0b-469c-bba8-7ec1abbab3c5</t>
        </is>
      </c>
      <c r="EE359" s="3" t="n">
        <v>3</v>
      </c>
      <c r="EF359" s="2"/>
      <c r="EG359" s="2" t="inlineStr">
        <is>
          <t>办理入职相关事宜</t>
        </is>
      </c>
      <c r="EH359" s="2" t="inlineStr">
        <is>
          <t>3次及以上</t>
        </is>
      </c>
      <c r="EI359" s="3" t="n">
        <v>3</v>
      </c>
      <c r="EJ359" s="2" t="inlineStr">
        <is>
          <t>B.2小时以内</t>
        </is>
      </c>
      <c r="EK359" s="7" t="n">
        <v>2</v>
      </c>
      <c r="EL359" s="7" t="n">
        <v>2</v>
      </c>
      <c r="EM359" s="7" t="n">
        <v>6</v>
      </c>
      <c r="EN359" s="7" t="n">
        <v>6</v>
      </c>
      <c r="EO359" s="2" t="inlineStr">
        <is>
          <t>其他</t>
        </is>
      </c>
      <c r="EP359" s="2" t="inlineStr">
        <is>
          <t>人事相关</t>
        </is>
      </c>
      <c r="EQ359" s="2"/>
      <c r="ER359" s="2" t="inlineStr">
        <is>
          <t>部门计划</t>
        </is>
      </c>
      <c r="ES359" s="2" t="inlineStr">
        <is>
          <t>重要且紧急</t>
        </is>
      </c>
      <c r="ET359" s="2" t="inlineStr">
        <is>
          <t>半标准化-有流程框架，需专业经验</t>
        </is>
      </c>
      <c r="EU359" s="2" t="inlineStr">
        <is>
          <t>极少（&lt;5%）</t>
        </is>
      </c>
      <c r="EV359" s="2" t="inlineStr">
        <is>
          <t>沟通/协调负荷</t>
        </is>
      </c>
      <c r="EW359" s="2"/>
      <c r="EX359" s="2" t="inlineStr">
        <is>
          <t>4fc1fd4b-110e-44e5-b8fd-83f5a30fb04e</t>
        </is>
      </c>
      <c r="EY359" s="3" t="n">
        <v>3</v>
      </c>
      <c r="EZ359" s="2"/>
      <c r="FA359" s="2" t="inlineStr">
        <is>
          <t>培训事宜（含撰写发文、成员交底、登记台账、培训报名等）</t>
        </is>
      </c>
      <c r="FB359" s="2" t="inlineStr">
        <is>
          <t>每季3次以上</t>
        </is>
      </c>
      <c r="FC359" s="2" t="inlineStr">
        <is>
          <t>季</t>
        </is>
      </c>
      <c r="FD359" s="3" t="n">
        <v>3</v>
      </c>
      <c r="FE359" s="3" t="n">
        <v>3</v>
      </c>
      <c r="FF359" s="2" t="inlineStr">
        <is>
          <t>B.2小时以内</t>
        </is>
      </c>
      <c r="FG359" s="7" t="n">
        <v>2</v>
      </c>
      <c r="FH359" s="7" t="n">
        <v>2</v>
      </c>
      <c r="FI359" s="7" t="n">
        <v>0</v>
      </c>
      <c r="FJ359" s="7" t="n">
        <v>0</v>
      </c>
      <c r="FK359" s="7" t="n">
        <v>6</v>
      </c>
      <c r="FL359" s="7" t="n">
        <v>6</v>
      </c>
      <c r="FM359" s="7" t="n">
        <v>0</v>
      </c>
      <c r="FN359" s="7" t="n">
        <v>0</v>
      </c>
      <c r="FO359" s="2" t="inlineStr">
        <is>
          <t>行政事务类</t>
        </is>
      </c>
      <c r="FP359" s="2"/>
      <c r="FQ359" s="2" t="inlineStr">
        <is>
          <t>通知起草</t>
        </is>
      </c>
      <c r="FR359" s="2" t="inlineStr">
        <is>
          <t>上级指令</t>
        </is>
      </c>
      <c r="FS359" s="2" t="inlineStr">
        <is>
          <t>不重要不紧急</t>
        </is>
      </c>
      <c r="FT359" s="2" t="inlineStr">
        <is>
          <t>半标准化-有流程框架，需专业经验</t>
        </is>
      </c>
      <c r="FU359" s="2" t="inlineStr">
        <is>
          <t>极少（&lt;5%）</t>
        </is>
      </c>
      <c r="FV359" s="2" t="inlineStr">
        <is>
          <t>沟通/协调负荷</t>
        </is>
      </c>
      <c r="FW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t="inlineStr">
        <is>
          <t>5701da2a-a0db-468e-9ef1-7562b0d5f49a</t>
        </is>
      </c>
      <c r="CO360" s="3" t="n">
        <v>4</v>
      </c>
      <c r="CP360" s="2"/>
      <c r="CQ360" s="2" t="inlineStr">
        <is>
          <t>Dify工作流场景应用</t>
        </is>
      </c>
      <c r="CR360" s="2" t="inlineStr">
        <is>
          <t>2-3次</t>
        </is>
      </c>
      <c r="CS360" s="3" t="n">
        <v>2</v>
      </c>
      <c r="CT360" s="3" t="n">
        <v>3</v>
      </c>
      <c r="CU360" s="2" t="inlineStr">
        <is>
          <t>D.4-8小时</t>
        </is>
      </c>
      <c r="CV360" s="7" t="n">
        <v>4</v>
      </c>
      <c r="CW360" s="7" t="n">
        <v>8</v>
      </c>
      <c r="CX360" s="7" t="n">
        <v>8</v>
      </c>
      <c r="CY360" s="7" t="n">
        <v>24</v>
      </c>
      <c r="CZ360" s="2" t="inlineStr">
        <is>
          <t>专业技术类</t>
        </is>
      </c>
      <c r="DA360" s="2"/>
      <c r="DB360" s="2" t="inlineStr">
        <is>
          <t>探索研发类工作</t>
        </is>
      </c>
      <c r="DC360" s="2" t="inlineStr">
        <is>
          <t>自主发起</t>
        </is>
      </c>
      <c r="DD360" s="2" t="inlineStr">
        <is>
          <t>重要不紧急</t>
        </is>
      </c>
      <c r="DE360" s="2" t="inlineStr">
        <is>
          <t>非标准化-无先例参考，需创新协调</t>
        </is>
      </c>
      <c r="DF360" s="2" t="inlineStr">
        <is>
          <t>极少（&lt;5%）</t>
        </is>
      </c>
      <c r="DG360" s="2" t="inlineStr">
        <is>
          <t>脑力/复杂度负荷</t>
        </is>
      </c>
      <c r="DH360" s="2"/>
      <c r="DI360" s="2" t="inlineStr">
        <is>
          <t>b147b136-5dd9-488c-9fa2-28bbf254882c</t>
        </is>
      </c>
      <c r="DJ360" s="3" t="n">
        <v>4</v>
      </c>
      <c r="DK360" s="2"/>
      <c r="DL360" s="2" t="inlineStr">
        <is>
          <t>外聘工资计算</t>
        </is>
      </c>
      <c r="DM360" s="2" t="inlineStr">
        <is>
          <t>1次</t>
        </is>
      </c>
      <c r="DN360" s="3" t="n">
        <v>1</v>
      </c>
      <c r="DO360" s="3" t="n">
        <v>1</v>
      </c>
      <c r="DP360" s="2" t="inlineStr">
        <is>
          <t>C.2-4小时</t>
        </is>
      </c>
      <c r="DQ360" s="7" t="n">
        <v>2</v>
      </c>
      <c r="DR360" s="7" t="n">
        <v>4</v>
      </c>
      <c r="DS360" s="7" t="n">
        <v>2</v>
      </c>
      <c r="DT360" s="7" t="n">
        <v>4</v>
      </c>
      <c r="DU360" s="2" t="inlineStr">
        <is>
          <t>数据报表类</t>
        </is>
      </c>
      <c r="DV360" s="2"/>
      <c r="DW360" s="2" t="inlineStr">
        <is>
          <t>专项统计</t>
        </is>
      </c>
      <c r="DX360" s="2" t="inlineStr">
        <is>
          <t>岗位职责</t>
        </is>
      </c>
      <c r="DY360" s="2" t="inlineStr">
        <is>
          <t>紧急不重要</t>
        </is>
      </c>
      <c r="DZ360" s="2" t="inlineStr">
        <is>
          <t>高度标准化-有成熟SOP，照做即可</t>
        </is>
      </c>
      <c r="EA360" s="2" t="inlineStr">
        <is>
          <t>极少（&lt;5%）</t>
        </is>
      </c>
      <c r="EB360" s="2" t="inlineStr">
        <is>
          <t>沟通/协调负荷</t>
        </is>
      </c>
      <c r="EC360" s="2"/>
      <c r="ED360" s="2"/>
      <c r="EE360" s="2"/>
      <c r="EF360" s="2"/>
      <c r="EG360" s="2"/>
      <c r="EH360" s="2"/>
      <c r="EI360" s="2"/>
      <c r="EJ360" s="2"/>
      <c r="EK360" s="2"/>
      <c r="EL360" s="2"/>
      <c r="EM360" s="2"/>
      <c r="EN360" s="2"/>
      <c r="EO360" s="2"/>
      <c r="EP360" s="2"/>
      <c r="EQ360" s="2"/>
      <c r="ER360" s="2"/>
      <c r="ES360" s="2"/>
      <c r="ET360" s="2"/>
      <c r="EU360" s="2"/>
      <c r="EV360" s="2"/>
      <c r="EW360" s="2"/>
      <c r="EX360" s="2" t="inlineStr">
        <is>
          <t>d46e14df-ea7d-4542-9fe8-daa43fd3c2cd</t>
        </is>
      </c>
      <c r="EY360" s="3" t="n">
        <v>4</v>
      </c>
      <c r="EZ360" s="2"/>
      <c r="FA360" s="2" t="inlineStr">
        <is>
          <t>固定资产更换、采购相关</t>
        </is>
      </c>
      <c r="FB360" s="2" t="inlineStr">
        <is>
          <t>每年1-2次</t>
        </is>
      </c>
      <c r="FC360" s="2" t="inlineStr">
        <is>
          <t>年</t>
        </is>
      </c>
      <c r="FD360" s="3" t="n">
        <v>1</v>
      </c>
      <c r="FE360" s="3" t="n">
        <v>2</v>
      </c>
      <c r="FF360" s="2" t="inlineStr">
        <is>
          <t>C.2-4小时</t>
        </is>
      </c>
      <c r="FG360" s="7" t="n">
        <v>2</v>
      </c>
      <c r="FH360" s="7" t="n">
        <v>4</v>
      </c>
      <c r="FI360" s="7" t="n">
        <v>0</v>
      </c>
      <c r="FJ360" s="7" t="n">
        <v>0</v>
      </c>
      <c r="FK360" s="7" t="n">
        <v>0</v>
      </c>
      <c r="FL360" s="7" t="n">
        <v>0</v>
      </c>
      <c r="FM360" s="7" t="n">
        <v>2</v>
      </c>
      <c r="FN360" s="7" t="n">
        <v>8</v>
      </c>
      <c r="FO360" s="2" t="inlineStr">
        <is>
          <t>行政事务类</t>
        </is>
      </c>
      <c r="FP360" s="2"/>
      <c r="FQ360" s="2" t="inlineStr">
        <is>
          <t>通知起草</t>
        </is>
      </c>
      <c r="FR360" s="2" t="inlineStr">
        <is>
          <t>上级指令</t>
        </is>
      </c>
      <c r="FS360" s="2" t="inlineStr">
        <is>
          <t>不重要不紧急</t>
        </is>
      </c>
      <c r="FT360" s="2" t="inlineStr">
        <is>
          <t>半标准化-有流程框架，需专业经验</t>
        </is>
      </c>
      <c r="FU360" s="2" t="inlineStr">
        <is>
          <t>极少（&lt;5%）</t>
        </is>
      </c>
      <c r="FV360" s="2" t="inlineStr">
        <is>
          <t>沟通/协调负荷</t>
        </is>
      </c>
      <c r="FW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t="inlineStr">
        <is>
          <t>b8ad0680-0648-4c6f-a68b-24064f0715b0</t>
        </is>
      </c>
      <c r="CO361" s="3" t="n">
        <v>5</v>
      </c>
      <c r="CP361" s="2"/>
      <c r="CQ361" s="2" t="inlineStr">
        <is>
          <t>氚云技术支持&amp;二次开发</t>
        </is>
      </c>
      <c r="CR361" s="2" t="inlineStr">
        <is>
          <t>2-3次</t>
        </is>
      </c>
      <c r="CS361" s="3" t="n">
        <v>2</v>
      </c>
      <c r="CT361" s="3" t="n">
        <v>3</v>
      </c>
      <c r="CU361" s="2" t="inlineStr">
        <is>
          <t>D.4-8小时</t>
        </is>
      </c>
      <c r="CV361" s="7" t="n">
        <v>4</v>
      </c>
      <c r="CW361" s="7" t="n">
        <v>8</v>
      </c>
      <c r="CX361" s="7" t="n">
        <v>8</v>
      </c>
      <c r="CY361" s="7" t="n">
        <v>24</v>
      </c>
      <c r="CZ361" s="2" t="inlineStr">
        <is>
          <t>专业技术类</t>
        </is>
      </c>
      <c r="DA361" s="2"/>
      <c r="DB361" s="2" t="inlineStr">
        <is>
          <t>探索研发类工作</t>
        </is>
      </c>
      <c r="DC361" s="2" t="inlineStr">
        <is>
          <t>自主发起</t>
        </is>
      </c>
      <c r="DD361" s="2" t="inlineStr">
        <is>
          <t>重要不紧急</t>
        </is>
      </c>
      <c r="DE361" s="2" t="inlineStr">
        <is>
          <t>非标准化-无先例参考，需创新协调</t>
        </is>
      </c>
      <c r="DF361" s="2" t="inlineStr">
        <is>
          <t>极少（&lt;5%）</t>
        </is>
      </c>
      <c r="DG361" s="2" t="inlineStr">
        <is>
          <t>脑力/复杂度负荷</t>
        </is>
      </c>
      <c r="DH361" s="2"/>
      <c r="DI361" s="2" t="inlineStr">
        <is>
          <t>0bb18baa-aa40-41ae-8aa1-5dafa55471c5</t>
        </is>
      </c>
      <c r="DJ361" s="3" t="n">
        <v>5</v>
      </c>
      <c r="DK361" s="2"/>
      <c r="DL361" s="2" t="inlineStr">
        <is>
          <t>部门奖金基础数据异常项核实审批</t>
        </is>
      </c>
      <c r="DM361" s="2" t="inlineStr">
        <is>
          <t>1次</t>
        </is>
      </c>
      <c r="DN361" s="3" t="n">
        <v>1</v>
      </c>
      <c r="DO361" s="3" t="n">
        <v>1</v>
      </c>
      <c r="DP361" s="2" t="inlineStr">
        <is>
          <t>B.2小时以内</t>
        </is>
      </c>
      <c r="DQ361" s="7" t="n">
        <v>2</v>
      </c>
      <c r="DR361" s="7" t="n">
        <v>2</v>
      </c>
      <c r="DS361" s="7" t="n">
        <v>2</v>
      </c>
      <c r="DT361" s="7" t="n">
        <v>2</v>
      </c>
      <c r="DU361" s="2" t="inlineStr">
        <is>
          <t>其他</t>
        </is>
      </c>
      <c r="DV361" s="2" t="inlineStr">
        <is>
          <t>人事相关</t>
        </is>
      </c>
      <c r="DW361" s="2"/>
      <c r="DX361" s="2" t="inlineStr">
        <is>
          <t>岗位职责</t>
        </is>
      </c>
      <c r="DY361" s="2" t="inlineStr">
        <is>
          <t>紧急不重要</t>
        </is>
      </c>
      <c r="DZ361" s="2" t="inlineStr">
        <is>
          <t>高度标准化-有成熟SOP，照做即可</t>
        </is>
      </c>
      <c r="EA361" s="2" t="inlineStr">
        <is>
          <t>极少（&lt;5%）</t>
        </is>
      </c>
      <c r="EB361" s="2" t="inlineStr">
        <is>
          <t>沟通/协调负荷</t>
        </is>
      </c>
      <c r="EC361" s="2"/>
      <c r="ED361" s="2"/>
      <c r="EE361" s="2"/>
      <c r="EF361" s="2"/>
      <c r="EG361" s="2"/>
      <c r="EH361" s="2"/>
      <c r="EI361" s="2"/>
      <c r="EJ361" s="2"/>
      <c r="EK361" s="2"/>
      <c r="EL361" s="2"/>
      <c r="EM361" s="2"/>
      <c r="EN361" s="2"/>
      <c r="EO361" s="2"/>
      <c r="EP361" s="2"/>
      <c r="EQ361" s="2"/>
      <c r="ER361" s="2"/>
      <c r="ES361" s="2"/>
      <c r="ET361" s="2"/>
      <c r="EU361" s="2"/>
      <c r="EV361" s="2"/>
      <c r="EW361" s="2"/>
      <c r="EX361" s="2" t="inlineStr">
        <is>
          <t>173e1e95-b172-47dc-9091-7fb07a50267a</t>
        </is>
      </c>
      <c r="EY361" s="3" t="n">
        <v>5</v>
      </c>
      <c r="EZ361" s="2"/>
      <c r="FA361" s="2" t="inlineStr">
        <is>
          <t>外协接待事宜</t>
        </is>
      </c>
      <c r="FB361" s="2" t="inlineStr">
        <is>
          <t>每月3次以上</t>
        </is>
      </c>
      <c r="FC361" s="2" t="inlineStr">
        <is>
          <t>月</t>
        </is>
      </c>
      <c r="FD361" s="3" t="n">
        <v>3</v>
      </c>
      <c r="FE361" s="3" t="n">
        <v>3</v>
      </c>
      <c r="FF361" s="2" t="inlineStr">
        <is>
          <t>A.20分钟以内</t>
        </is>
      </c>
      <c r="FG361" s="7" t="n">
        <v>0.33</v>
      </c>
      <c r="FH361" s="7" t="n">
        <v>0.33</v>
      </c>
      <c r="FI361" s="7" t="n">
        <v>0.99</v>
      </c>
      <c r="FJ361" s="7" t="n">
        <v>0.99</v>
      </c>
      <c r="FK361" s="7" t="n">
        <v>0</v>
      </c>
      <c r="FL361" s="7" t="n">
        <v>0</v>
      </c>
      <c r="FM361" s="7" t="n">
        <v>0</v>
      </c>
      <c r="FN361" s="7" t="n">
        <v>0</v>
      </c>
      <c r="FO361" s="2" t="inlineStr">
        <is>
          <t>行政事务类</t>
        </is>
      </c>
      <c r="FP361" s="2"/>
      <c r="FQ361" s="2" t="inlineStr">
        <is>
          <t>接待保障</t>
        </is>
      </c>
      <c r="FR361" s="2" t="inlineStr">
        <is>
          <t>上级指令</t>
        </is>
      </c>
      <c r="FS361" s="2" t="inlineStr">
        <is>
          <t>不重要不紧急</t>
        </is>
      </c>
      <c r="FT361" s="2" t="inlineStr">
        <is>
          <t>半标准化-有流程框架，需专业经验</t>
        </is>
      </c>
      <c r="FU361" s="2" t="inlineStr">
        <is>
          <t>极少（&lt;5%）</t>
        </is>
      </c>
      <c r="FV361" s="2" t="inlineStr">
        <is>
          <t>沟通/协调负荷</t>
        </is>
      </c>
      <c r="FW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t="inlineStr">
        <is>
          <t>ec534708-4c7c-4835-af3a-8c950ccc61ae</t>
        </is>
      </c>
      <c r="CO362" s="3" t="n">
        <v>6</v>
      </c>
      <c r="CP362" s="2"/>
      <c r="CQ362" s="2" t="inlineStr">
        <is>
          <t>跨部门沟通相关</t>
        </is>
      </c>
      <c r="CR362" s="2" t="inlineStr">
        <is>
          <t>2-3次</t>
        </is>
      </c>
      <c r="CS362" s="3" t="n">
        <v>2</v>
      </c>
      <c r="CT362" s="3" t="n">
        <v>3</v>
      </c>
      <c r="CU362" s="2" t="inlineStr">
        <is>
          <t>C.2-4小时</t>
        </is>
      </c>
      <c r="CV362" s="7" t="n">
        <v>2</v>
      </c>
      <c r="CW362" s="7" t="n">
        <v>4</v>
      </c>
      <c r="CX362" s="7" t="n">
        <v>4</v>
      </c>
      <c r="CY362" s="7" t="n">
        <v>12</v>
      </c>
      <c r="CZ362" s="2" t="inlineStr">
        <is>
          <t>协调沟通类</t>
        </is>
      </c>
      <c r="DA362" s="2"/>
      <c r="DB362" s="2" t="inlineStr">
        <is>
          <t>跨部门对接</t>
        </is>
      </c>
      <c r="DC362" s="2" t="inlineStr">
        <is>
          <t>岗位职责</t>
        </is>
      </c>
      <c r="DD362" s="2" t="inlineStr">
        <is>
          <t>紧急不重要</t>
        </is>
      </c>
      <c r="DE362" s="2" t="inlineStr">
        <is>
          <t>半标准化-有流程框架，需专业经验</t>
        </is>
      </c>
      <c r="DF362" s="2" t="inlineStr">
        <is>
          <t>极少（&lt;5%）</t>
        </is>
      </c>
      <c r="DG362" s="2" t="inlineStr">
        <is>
          <t>脑力/复杂度负荷</t>
        </is>
      </c>
      <c r="DH362" s="2"/>
      <c r="DI362" s="2" t="inlineStr">
        <is>
          <t>fd53d4e1-f220-4226-9ee5-96722655ee75</t>
        </is>
      </c>
      <c r="DJ362" s="3" t="n">
        <v>6</v>
      </c>
      <c r="DK362" s="2"/>
      <c r="DL362" s="2" t="inlineStr">
        <is>
          <t>费用报销（含差旅费、日常通用报销等）</t>
        </is>
      </c>
      <c r="DM362" s="2" t="inlineStr">
        <is>
          <t>2-3次</t>
        </is>
      </c>
      <c r="DN362" s="3" t="n">
        <v>2</v>
      </c>
      <c r="DO362" s="3" t="n">
        <v>3</v>
      </c>
      <c r="DP362" s="2" t="inlineStr">
        <is>
          <t>B.2小时以内</t>
        </is>
      </c>
      <c r="DQ362" s="7" t="n">
        <v>2</v>
      </c>
      <c r="DR362" s="7" t="n">
        <v>2</v>
      </c>
      <c r="DS362" s="7" t="n">
        <v>4</v>
      </c>
      <c r="DT362" s="7" t="n">
        <v>6</v>
      </c>
      <c r="DU362" s="2" t="inlineStr">
        <is>
          <t>其他</t>
        </is>
      </c>
      <c r="DV362" s="2" t="inlineStr">
        <is>
          <t>费用报销</t>
        </is>
      </c>
      <c r="DW362" s="2"/>
      <c r="DX362" s="2" t="inlineStr">
        <is>
          <t>岗位职责</t>
        </is>
      </c>
      <c r="DY362" s="2" t="inlineStr">
        <is>
          <t>不重要不紧急</t>
        </is>
      </c>
      <c r="DZ362" s="2" t="inlineStr">
        <is>
          <t>半标准化-有流程框架，需专业经验</t>
        </is>
      </c>
      <c r="EA362" s="2" t="inlineStr">
        <is>
          <t>极少（&lt;5%）</t>
        </is>
      </c>
      <c r="EB362" s="2" t="inlineStr">
        <is>
          <t>脑力/复杂度负荷</t>
        </is>
      </c>
      <c r="EC362" s="2"/>
      <c r="ED362" s="2"/>
      <c r="EE362" s="2"/>
      <c r="EF362" s="2"/>
      <c r="EG362" s="2"/>
      <c r="EH362" s="2"/>
      <c r="EI362" s="2"/>
      <c r="EJ362" s="2"/>
      <c r="EK362" s="2"/>
      <c r="EL362" s="2"/>
      <c r="EM362" s="2"/>
      <c r="EN362" s="2"/>
      <c r="EO362" s="2"/>
      <c r="EP362" s="2"/>
      <c r="EQ362" s="2"/>
      <c r="ER362" s="2"/>
      <c r="ES362" s="2"/>
      <c r="ET362" s="2"/>
      <c r="EU362" s="2"/>
      <c r="EV362" s="2"/>
      <c r="EW362" s="2"/>
      <c r="EX362" s="2" t="inlineStr">
        <is>
          <t>4c51428e-6888-4580-98d5-b1b7d01cefc8</t>
        </is>
      </c>
      <c r="EY362" s="3" t="n">
        <v>6</v>
      </c>
      <c r="EZ362" s="2"/>
      <c r="FA362" s="2" t="inlineStr">
        <is>
          <t>配合分公司工人入职事宜</t>
        </is>
      </c>
      <c r="FB362" s="2" t="inlineStr">
        <is>
          <t>每月3次以上</t>
        </is>
      </c>
      <c r="FC362" s="2" t="inlineStr">
        <is>
          <t>月</t>
        </is>
      </c>
      <c r="FD362" s="3" t="n">
        <v>3</v>
      </c>
      <c r="FE362" s="3" t="n">
        <v>3</v>
      </c>
      <c r="FF362" s="2" t="inlineStr">
        <is>
          <t>A.20分钟以内</t>
        </is>
      </c>
      <c r="FG362" s="7" t="n">
        <v>0.33</v>
      </c>
      <c r="FH362" s="7" t="n">
        <v>0.33</v>
      </c>
      <c r="FI362" s="7" t="n">
        <v>0.99</v>
      </c>
      <c r="FJ362" s="7" t="n">
        <v>0.99</v>
      </c>
      <c r="FK362" s="7" t="n">
        <v>0</v>
      </c>
      <c r="FL362" s="7" t="n">
        <v>0</v>
      </c>
      <c r="FM362" s="7" t="n">
        <v>0</v>
      </c>
      <c r="FN362" s="7" t="n">
        <v>0</v>
      </c>
      <c r="FO362" s="2" t="inlineStr">
        <is>
          <t>协调沟通类</t>
        </is>
      </c>
      <c r="FP362" s="2"/>
      <c r="FQ362" s="2" t="inlineStr">
        <is>
          <t>跨部门对接</t>
        </is>
      </c>
      <c r="FR362" s="2" t="inlineStr">
        <is>
          <t>跨部门协同</t>
        </is>
      </c>
      <c r="FS362" s="2" t="inlineStr">
        <is>
          <t>不重要不紧急</t>
        </is>
      </c>
      <c r="FT362" s="2" t="inlineStr">
        <is>
          <t>半标准化-有流程框架，需专业经验</t>
        </is>
      </c>
      <c r="FU362" s="2" t="inlineStr">
        <is>
          <t>极少（&lt;5%）</t>
        </is>
      </c>
      <c r="FV362" s="2" t="inlineStr">
        <is>
          <t>沟通/协调负荷</t>
        </is>
      </c>
      <c r="FW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t="inlineStr">
        <is>
          <t>8f3ec200-b7bc-4804-adc3-aa7413fcc570</t>
        </is>
      </c>
      <c r="EY363" s="3" t="n">
        <v>7</v>
      </c>
      <c r="EZ363" s="2"/>
      <c r="FA363" s="2" t="inlineStr">
        <is>
          <t>人员入离职（参保退保）</t>
        </is>
      </c>
      <c r="FB363" s="2" t="inlineStr">
        <is>
          <t>每季3次以上</t>
        </is>
      </c>
      <c r="FC363" s="2" t="inlineStr">
        <is>
          <t>季</t>
        </is>
      </c>
      <c r="FD363" s="3" t="n">
        <v>3</v>
      </c>
      <c r="FE363" s="3" t="n">
        <v>3</v>
      </c>
      <c r="FF363" s="2" t="inlineStr">
        <is>
          <t>B.2小时以内</t>
        </is>
      </c>
      <c r="FG363" s="7" t="n">
        <v>2</v>
      </c>
      <c r="FH363" s="7" t="n">
        <v>2</v>
      </c>
      <c r="FI363" s="7" t="n">
        <v>0</v>
      </c>
      <c r="FJ363" s="7" t="n">
        <v>0</v>
      </c>
      <c r="FK363" s="7" t="n">
        <v>6</v>
      </c>
      <c r="FL363" s="7" t="n">
        <v>6</v>
      </c>
      <c r="FM363" s="7" t="n">
        <v>0</v>
      </c>
      <c r="FN363" s="7" t="n">
        <v>0</v>
      </c>
      <c r="FO363" s="2" t="inlineStr">
        <is>
          <t>其他</t>
        </is>
      </c>
      <c r="FP363" s="2" t="inlineStr">
        <is>
          <t>人事相关</t>
        </is>
      </c>
      <c r="FQ363" s="2"/>
      <c r="FR363" s="2" t="inlineStr">
        <is>
          <t>跨部门协同</t>
        </is>
      </c>
      <c r="FS363" s="2" t="inlineStr">
        <is>
          <t>紧急不重要</t>
        </is>
      </c>
      <c r="FT363" s="2" t="inlineStr">
        <is>
          <t>半标准化-有流程框架，需专业经验</t>
        </is>
      </c>
      <c r="FU363" s="2" t="inlineStr">
        <is>
          <t>极少（&lt;5%）</t>
        </is>
      </c>
      <c r="FV363" s="2" t="inlineStr">
        <is>
          <t>沟通/协调负荷</t>
        </is>
      </c>
      <c r="FW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t="inlineStr">
        <is>
          <t>c719558f-53f4-467d-815a-9a0e30f5bc2d</t>
        </is>
      </c>
      <c r="EY364" s="3" t="n">
        <v>8</v>
      </c>
      <c r="EZ364" s="2"/>
      <c r="FA364" s="2" t="inlineStr">
        <is>
          <t>配合领导统计永利工资代发情况</t>
        </is>
      </c>
      <c r="FB364" s="2" t="inlineStr">
        <is>
          <t>每月1-2次</t>
        </is>
      </c>
      <c r="FC364" s="2" t="inlineStr">
        <is>
          <t>月</t>
        </is>
      </c>
      <c r="FD364" s="3" t="n">
        <v>1</v>
      </c>
      <c r="FE364" s="3" t="n">
        <v>2</v>
      </c>
      <c r="FF364" s="2" t="inlineStr">
        <is>
          <t>A.20分钟以内</t>
        </is>
      </c>
      <c r="FG364" s="7" t="n">
        <v>0.33</v>
      </c>
      <c r="FH364" s="7" t="n">
        <v>0.33</v>
      </c>
      <c r="FI364" s="7" t="n">
        <v>0.33</v>
      </c>
      <c r="FJ364" s="7" t="n">
        <v>0.66</v>
      </c>
      <c r="FK364" s="7" t="n">
        <v>0</v>
      </c>
      <c r="FL364" s="7" t="n">
        <v>0</v>
      </c>
      <c r="FM364" s="7" t="n">
        <v>0</v>
      </c>
      <c r="FN364" s="7" t="n">
        <v>0</v>
      </c>
      <c r="FO364" s="2" t="inlineStr">
        <is>
          <t>其他</t>
        </is>
      </c>
      <c r="FP364" s="2" t="inlineStr">
        <is>
          <t>人事相关</t>
        </is>
      </c>
      <c r="FQ364" s="2"/>
      <c r="FR364" s="2" t="inlineStr">
        <is>
          <t>上级指令</t>
        </is>
      </c>
      <c r="FS364" s="2" t="inlineStr">
        <is>
          <t>重要且紧急</t>
        </is>
      </c>
      <c r="FT364" s="2" t="inlineStr">
        <is>
          <t>半标准化-有流程框架，需专业经验</t>
        </is>
      </c>
      <c r="FU364" s="2" t="inlineStr">
        <is>
          <t>极少（&lt;5%）</t>
        </is>
      </c>
      <c r="FV364" s="2" t="inlineStr">
        <is>
          <t>沟通/协调负荷</t>
        </is>
      </c>
      <c r="FW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t="inlineStr">
        <is>
          <t>da524227-00fd-49cc-b121-fe932ce892a8</t>
        </is>
      </c>
      <c r="EY365" s="3" t="n">
        <v>9</v>
      </c>
      <c r="EZ365" s="2"/>
      <c r="FA365" s="2" t="inlineStr">
        <is>
          <t>考勤分析</t>
        </is>
      </c>
      <c r="FB365" s="2" t="inlineStr">
        <is>
          <t>每季1-2次</t>
        </is>
      </c>
      <c r="FC365" s="2" t="inlineStr">
        <is>
          <t>季</t>
        </is>
      </c>
      <c r="FD365" s="3" t="n">
        <v>1</v>
      </c>
      <c r="FE365" s="3" t="n">
        <v>2</v>
      </c>
      <c r="FF365" s="2" t="inlineStr">
        <is>
          <t>C.2-4小时</t>
        </is>
      </c>
      <c r="FG365" s="7" t="n">
        <v>2</v>
      </c>
      <c r="FH365" s="7" t="n">
        <v>4</v>
      </c>
      <c r="FI365" s="7" t="n">
        <v>0</v>
      </c>
      <c r="FJ365" s="7" t="n">
        <v>0</v>
      </c>
      <c r="FK365" s="7" t="n">
        <v>2</v>
      </c>
      <c r="FL365" s="7" t="n">
        <v>8</v>
      </c>
      <c r="FM365" s="7" t="n">
        <v>0</v>
      </c>
      <c r="FN365" s="7" t="n">
        <v>0</v>
      </c>
      <c r="FO365" s="2" t="inlineStr">
        <is>
          <t>其他</t>
        </is>
      </c>
      <c r="FP365" s="2" t="inlineStr">
        <is>
          <t>人事相关</t>
        </is>
      </c>
      <c r="FQ365" s="2"/>
      <c r="FR365" s="2" t="inlineStr">
        <is>
          <t>上级指令</t>
        </is>
      </c>
      <c r="FS365" s="2" t="inlineStr">
        <is>
          <t>重要且紧急</t>
        </is>
      </c>
      <c r="FT365" s="2" t="inlineStr">
        <is>
          <t>半标准化-有流程框架，需专业经验</t>
        </is>
      </c>
      <c r="FU365" s="2" t="inlineStr">
        <is>
          <t>极少（&lt;5%）</t>
        </is>
      </c>
      <c r="FV365" s="2" t="inlineStr">
        <is>
          <t>沟通/协调负荷</t>
        </is>
      </c>
      <c r="FW365" s="2"/>
    </row>
    <row r="366">
      <c r="A366" s="2" t="inlineStr">
        <is>
          <t>2026-04-30 18:48:21</t>
        </is>
      </c>
      <c r="B366" s="2" t="inlineStr">
        <is>
          <t>成哲辉</t>
        </is>
      </c>
      <c r="C366" s="2" t="inlineStr">
        <is>
          <t>技术中心</t>
        </is>
      </c>
      <c r="D366" s="2" t="inlineStr">
        <is>
          <t>男</t>
        </is>
      </c>
      <c r="E366" s="2" t="inlineStr">
        <is>
          <t>320112199808080418</t>
        </is>
      </c>
      <c r="F366" s="2" t="inlineStr">
        <is>
          <t>技术助理(一)</t>
        </is>
      </c>
      <c r="G366" s="2" t="inlineStr">
        <is>
          <t>2020-08</t>
        </is>
      </c>
      <c r="H366" s="2" t="inlineStr">
        <is>
          <t>淮阴工学院</t>
        </is>
      </c>
      <c r="I366" s="2" t="inlineStr">
        <is>
          <t>化机</t>
        </is>
      </c>
      <c r="J366" s="2" t="inlineStr">
        <is>
          <t>本科</t>
        </is>
      </c>
      <c r="K366" s="2"/>
      <c r="L366" s="6">
        <f>HYPERLINK("https://www.h3yun.com/Form/Attachments/?schemacode=D1483577de63ede327d4760b10664bd57671d7e&amp;bizObjectId=6f67dd2e-df8a-42fa-b7c3-e32eedf852df&amp;name=F0000046","点击查看")</f>
        <v>0</v>
      </c>
      <c r="M366" s="2" t="inlineStr">
        <is>
          <t>暂无</t>
        </is>
      </c>
      <c r="N366" s="2" t="inlineStr">
        <is>
          <t>每日工作;每周工作;临时/突发工作</t>
        </is>
      </c>
      <c r="O366" s="2" t="inlineStr">
        <is>
          <t>26-30岁</t>
        </is>
      </c>
      <c r="P366" s="2" t="inlineStr">
        <is>
          <t>B.已婚未育</t>
        </is>
      </c>
      <c r="Q366" s="2" t="inlineStr">
        <is>
          <t>A.否</t>
        </is>
      </c>
      <c r="R366" s="2" t="inlineStr">
        <is>
          <t>A.否</t>
        </is>
      </c>
      <c r="S366" s="2" t="inlineStr">
        <is>
          <t>D.希望承担更有挑战性的工作，并争取更大发展空间</t>
        </is>
      </c>
      <c r="T366" s="2" t="inlineStr">
        <is>
          <t>E.希望承担更重要、更有挑战的职责</t>
        </is>
      </c>
      <c r="U366" s="2" t="inlineStr">
        <is>
          <t>F.提高支持资源或人员配置</t>
        </is>
      </c>
      <c r="V366" s="2" t="inlineStr">
        <is>
          <t>A.没有</t>
        </is>
      </c>
      <c r="W366" s="2"/>
      <c r="X366" s="2" t="inlineStr">
        <is>
          <t>A.超负荷 (&gt;120%)</t>
        </is>
      </c>
      <c r="Y366" s="2" t="inlineStr">
        <is>
          <t>C.会议或日常协调过多，压缩产出时间;H.研发探索性质，保持研究不间断的主动加班</t>
        </is>
      </c>
      <c r="Z366" s="2" t="inlineStr">
        <is>
          <t>技术交底</t>
        </is>
      </c>
      <c r="AA366" s="2" t="inlineStr">
        <is>
          <t>技术交底</t>
        </is>
      </c>
      <c r="AB366" s="2" t="inlineStr">
        <is>
          <t>探索研发类工作</t>
        </is>
      </c>
      <c r="AC366" s="2" t="inlineStr">
        <is>
          <t>A.高度匹配（得心应手）</t>
        </is>
      </c>
      <c r="AD366" s="2" t="inlineStr">
        <is>
          <t>暂无</t>
        </is>
      </c>
      <c r="AE366" s="2" t="inlineStr">
        <is>
          <t>暂无</t>
        </is>
      </c>
      <c r="AF366" s="2" t="inlineStr">
        <is>
          <t>1.当前加班主要原因可增加在指导、答疑、协助上消耗过多时间；
2.签字确认栏是否可增加上传电子签名图片的功能，鼠标难以签字。</t>
        </is>
      </c>
      <c r="AG366" s="2" t="inlineStr">
        <is>
          <t>A.配偶为公司家属，常驻南京，不影响</t>
        </is>
      </c>
      <c r="AH366" s="2"/>
      <c r="AI366" s="7" t="n">
        <v>8</v>
      </c>
      <c r="AJ366" s="7" t="n">
        <v>18</v>
      </c>
      <c r="AK366" s="7" t="n">
        <v>0.4</v>
      </c>
      <c r="AL366" s="7" t="n">
        <v>0.8</v>
      </c>
      <c r="AM366" s="7" t="n">
        <v>0</v>
      </c>
      <c r="AN366" s="7" t="n">
        <v>0</v>
      </c>
      <c r="AO366" s="7" t="n">
        <v>0</v>
      </c>
      <c r="AP366" s="7" t="n">
        <v>0</v>
      </c>
      <c r="AQ366" s="7" t="n">
        <v>0.27</v>
      </c>
      <c r="AR366" s="7" t="n">
        <v>0.55</v>
      </c>
      <c r="AS366" s="7" t="n">
        <v>8.67</v>
      </c>
      <c r="AT366" s="7" t="n">
        <v>19.35</v>
      </c>
      <c r="AU366" s="7" t="n">
        <v>14.01</v>
      </c>
      <c r="AV366" s="2" t="inlineStr">
        <is>
          <t>超负荷</t>
        </is>
      </c>
      <c r="AW366" s="2" t="inlineStr">
        <is>
          <t>一致</t>
        </is>
      </c>
      <c r="AX366" s="2" t="inlineStr">
        <is>
          <t>6f67dd2e-df8a-42fa-b7c3-e32eedf852df</t>
        </is>
      </c>
      <c r="AY366" s="2" t="inlineStr">
        <is>
          <t>技术中心    成哲辉</t>
        </is>
      </c>
      <c r="AZ366" s="2" t="inlineStr">
        <is>
          <t>Anonymous</t>
        </is>
      </c>
      <c r="BA366" s="2" t="inlineStr">
        <is>
          <t>Anonymous</t>
        </is>
      </c>
      <c r="BB366" s="2"/>
      <c r="BC366" s="2" t="inlineStr">
        <is>
          <t>2026-05-21 08:43:22</t>
        </is>
      </c>
      <c r="BD366" s="3" t="n">
        <v>1998</v>
      </c>
      <c r="BE366" s="3" t="n">
        <v>28</v>
      </c>
      <c r="BF366" s="2" t="inlineStr">
        <is>
          <t>A.无此需求</t>
        </is>
      </c>
      <c r="BG366" s="2" t="inlineStr">
        <is>
          <t>已生效</t>
        </is>
      </c>
      <c r="BH366" s="2" t="inlineStr">
        <is>
          <t>f43ee8c6-7748-46af-9b6d-bb3348aa3b98</t>
        </is>
      </c>
      <c r="BI366" s="3" t="n">
        <v>1</v>
      </c>
      <c r="BJ366" s="2"/>
      <c r="BK366" s="2"/>
      <c r="BL366" s="2"/>
      <c r="BM366" s="2"/>
      <c r="BN366" s="2"/>
      <c r="BO366" s="2"/>
      <c r="BP366" s="2"/>
      <c r="BQ366" s="2"/>
      <c r="BR366" s="2"/>
      <c r="BS366" s="2" t="inlineStr">
        <is>
          <t>07b28b92-8d35-4024-a113-6e06597e512b</t>
        </is>
      </c>
      <c r="BT366" s="3" t="n">
        <v>1</v>
      </c>
      <c r="BU366" s="2" t="inlineStr">
        <is>
          <t>专业技术类</t>
        </is>
      </c>
      <c r="BV366" s="2" t="inlineStr">
        <is>
          <t>研发工作</t>
        </is>
      </c>
      <c r="BW366" s="2" t="inlineStr">
        <is>
          <t>1次</t>
        </is>
      </c>
      <c r="BX366" s="3" t="n">
        <v>1</v>
      </c>
      <c r="BY366" s="3" t="n">
        <v>1</v>
      </c>
      <c r="BZ366" s="2" t="inlineStr">
        <is>
          <t>D.4-8小时</t>
        </is>
      </c>
      <c r="CA366" s="7" t="n">
        <v>4</v>
      </c>
      <c r="CB366" s="7" t="n">
        <v>8</v>
      </c>
      <c r="CC366" s="7" t="n">
        <v>4</v>
      </c>
      <c r="CD366" s="7" t="n">
        <v>8</v>
      </c>
      <c r="CE366" s="2" t="inlineStr">
        <is>
          <t>专业技术类</t>
        </is>
      </c>
      <c r="CF366" s="2"/>
      <c r="CG366" s="2" t="inlineStr">
        <is>
          <t>探索研发类工作</t>
        </is>
      </c>
      <c r="CH366" s="2" t="inlineStr">
        <is>
          <t>部门计划</t>
        </is>
      </c>
      <c r="CI366" s="2" t="inlineStr">
        <is>
          <t>重要不紧急</t>
        </is>
      </c>
      <c r="CJ366" s="2" t="inlineStr">
        <is>
          <t>非标准化-无先例参考，需创新协调</t>
        </is>
      </c>
      <c r="CK366" s="2" t="inlineStr">
        <is>
          <t>极少（&lt;5%）</t>
        </is>
      </c>
      <c r="CL366" s="2" t="inlineStr">
        <is>
          <t>脑力/复杂度负荷</t>
        </is>
      </c>
      <c r="CM366" s="2" t="inlineStr">
        <is>
          <t>包括所有正在进行中的研发课题</t>
        </is>
      </c>
      <c r="CN366" s="2" t="inlineStr">
        <is>
          <t>81338594-ab96-47ad-8faa-b45c25479765</t>
        </is>
      </c>
      <c r="CO366" s="3" t="n">
        <v>1</v>
      </c>
      <c r="CP366" s="2"/>
      <c r="CQ366" s="2" t="inlineStr">
        <is>
          <t>周会</t>
        </is>
      </c>
      <c r="CR366" s="2" t="inlineStr">
        <is>
          <t>1次</t>
        </is>
      </c>
      <c r="CS366" s="3" t="n">
        <v>1</v>
      </c>
      <c r="CT366" s="3" t="n">
        <v>1</v>
      </c>
      <c r="CU366" s="2" t="inlineStr">
        <is>
          <t>C.2-4小时</t>
        </is>
      </c>
      <c r="CV366" s="7" t="n">
        <v>2</v>
      </c>
      <c r="CW366" s="7" t="n">
        <v>4</v>
      </c>
      <c r="CX366" s="7" t="n">
        <v>2</v>
      </c>
      <c r="CY366" s="7" t="n">
        <v>4</v>
      </c>
      <c r="CZ366" s="2" t="inlineStr">
        <is>
          <t>协调沟通类</t>
        </is>
      </c>
      <c r="DA366" s="2"/>
      <c r="DB366" s="2" t="inlineStr">
        <is>
          <t>跨部门对接</t>
        </is>
      </c>
      <c r="DC366" s="2" t="inlineStr">
        <is>
          <t>岗位职责</t>
        </is>
      </c>
      <c r="DD366" s="2" t="inlineStr">
        <is>
          <t>重要不紧急</t>
        </is>
      </c>
      <c r="DE366" s="2" t="inlineStr">
        <is>
          <t>非标准化-无先例参考，需创新协调</t>
        </is>
      </c>
      <c r="DF366" s="2" t="inlineStr">
        <is>
          <t>极少（&lt;5%）</t>
        </is>
      </c>
      <c r="DG366" s="2" t="inlineStr">
        <is>
          <t>沟通/协调负荷</t>
        </is>
      </c>
      <c r="DH366" s="2" t="inlineStr">
        <is>
          <t>研发例会</t>
        </is>
      </c>
      <c r="DI366" s="2" t="inlineStr">
        <is>
          <t>ebf5df40-c75a-42a3-b745-6e71219b5ef7</t>
        </is>
      </c>
      <c r="DJ366" s="3" t="n">
        <v>1</v>
      </c>
      <c r="DK366" s="2"/>
      <c r="DL366" s="2"/>
      <c r="DM366" s="2"/>
      <c r="DN366" s="3"/>
      <c r="DO366" s="3"/>
      <c r="DP366" s="2"/>
      <c r="DQ366" s="3"/>
      <c r="DR366" s="3"/>
      <c r="DS366" s="3"/>
      <c r="DT366" s="3"/>
      <c r="DU366" s="2"/>
      <c r="DV366" s="2"/>
      <c r="DW366" s="2"/>
      <c r="DX366" s="2"/>
      <c r="DY366" s="2"/>
      <c r="DZ366" s="2"/>
      <c r="EA366" s="2"/>
      <c r="EB366" s="2"/>
      <c r="EC366" s="2"/>
      <c r="ED366" s="2" t="inlineStr">
        <is>
          <t>c842b1eb-a815-4d52-91bd-814252ce6c4f</t>
        </is>
      </c>
      <c r="EE366" s="3" t="n">
        <v>1</v>
      </c>
      <c r="EF366" s="2"/>
      <c r="EG366" s="2"/>
      <c r="EH366" s="2"/>
      <c r="EI366" s="3"/>
      <c r="EJ366" s="2"/>
      <c r="EK366" s="3"/>
      <c r="EL366" s="3"/>
      <c r="EM366" s="3"/>
      <c r="EN366" s="3"/>
      <c r="EO366" s="2"/>
      <c r="EP366" s="2"/>
      <c r="EQ366" s="2"/>
      <c r="ER366" s="2"/>
      <c r="ES366" s="2"/>
      <c r="ET366" s="2"/>
      <c r="EU366" s="2"/>
      <c r="EV366" s="2"/>
      <c r="EW366" s="2"/>
      <c r="EX366" s="2" t="inlineStr">
        <is>
          <t>a3e9b4b9-a6b3-4673-a4f2-75b401611500</t>
        </is>
      </c>
      <c r="EY366" s="3" t="n">
        <v>1</v>
      </c>
      <c r="EZ366" s="2"/>
      <c r="FA366" s="2" t="inlineStr">
        <is>
          <t>项目协助</t>
        </is>
      </c>
      <c r="FB366" s="2" t="inlineStr">
        <is>
          <t>每月3次以上</t>
        </is>
      </c>
      <c r="FC366" s="2" t="inlineStr">
        <is>
          <t>月</t>
        </is>
      </c>
      <c r="FD366" s="3" t="n">
        <v>3</v>
      </c>
      <c r="FE366" s="3" t="n">
        <v>3</v>
      </c>
      <c r="FF366" s="2" t="inlineStr">
        <is>
          <t>C.2-4小时</t>
        </is>
      </c>
      <c r="FG366" s="7" t="n">
        <v>2</v>
      </c>
      <c r="FH366" s="7" t="n">
        <v>4</v>
      </c>
      <c r="FI366" s="7" t="n">
        <v>6</v>
      </c>
      <c r="FJ366" s="7" t="n">
        <v>12</v>
      </c>
      <c r="FK366" s="7" t="n">
        <v>0</v>
      </c>
      <c r="FL366" s="7" t="n">
        <v>0</v>
      </c>
      <c r="FM366" s="7" t="n">
        <v>0</v>
      </c>
      <c r="FN366" s="7" t="n">
        <v>0</v>
      </c>
      <c r="FO366" s="2" t="inlineStr">
        <is>
          <t>专业技术类</t>
        </is>
      </c>
      <c r="FP366" s="2"/>
      <c r="FQ366" s="2" t="inlineStr">
        <is>
          <t>探索研发类工作</t>
        </is>
      </c>
      <c r="FR366" s="2" t="inlineStr">
        <is>
          <t>岗位职责</t>
        </is>
      </c>
      <c r="FS366" s="2" t="inlineStr">
        <is>
          <t>重要且紧急</t>
        </is>
      </c>
      <c r="FT366" s="2" t="inlineStr">
        <is>
          <t>非标准化-无先例参考，需创新协调</t>
        </is>
      </c>
      <c r="FU366" s="2" t="inlineStr">
        <is>
          <t>极少（&lt;5%）</t>
        </is>
      </c>
      <c r="FV366" s="2" t="inlineStr">
        <is>
          <t>脑力/复杂度负荷</t>
        </is>
      </c>
      <c r="FW366" s="2" t="inlineStr">
        <is>
          <t>项目需求协助等</t>
        </is>
      </c>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t="inlineStr">
        <is>
          <t>a84c2a46-9fd5-4493-a3b2-d5779015eb7b</t>
        </is>
      </c>
      <c r="BT367" s="3" t="n">
        <v>2</v>
      </c>
      <c r="BU367" s="2" t="inlineStr">
        <is>
          <t>专业技术类</t>
        </is>
      </c>
      <c r="BV367" s="2" t="inlineStr">
        <is>
          <t>指导协助</t>
        </is>
      </c>
      <c r="BW367" s="2" t="inlineStr">
        <is>
          <t>2-5次</t>
        </is>
      </c>
      <c r="BX367" s="3" t="n">
        <v>2</v>
      </c>
      <c r="BY367" s="3" t="n">
        <v>5</v>
      </c>
      <c r="BZ367" s="2" t="inlineStr">
        <is>
          <t>B.2小时以内</t>
        </is>
      </c>
      <c r="CA367" s="7" t="n">
        <v>2</v>
      </c>
      <c r="CB367" s="7" t="n">
        <v>2</v>
      </c>
      <c r="CC367" s="7" t="n">
        <v>4</v>
      </c>
      <c r="CD367" s="7" t="n">
        <v>10</v>
      </c>
      <c r="CE367" s="2" t="inlineStr">
        <is>
          <t>专业技术类</t>
        </is>
      </c>
      <c r="CF367" s="2"/>
      <c r="CG367" s="2" t="inlineStr">
        <is>
          <t>技术交底</t>
        </is>
      </c>
      <c r="CH367" s="2" t="inlineStr">
        <is>
          <t>岗位职责</t>
        </is>
      </c>
      <c r="CI367" s="2" t="inlineStr">
        <is>
          <t>重要且紧急</t>
        </is>
      </c>
      <c r="CJ367" s="2" t="inlineStr">
        <is>
          <t>非标准化-无先例参考，需创新协调</t>
        </is>
      </c>
      <c r="CK367" s="2" t="inlineStr">
        <is>
          <t>极少（&lt;5%）</t>
        </is>
      </c>
      <c r="CL367" s="2" t="inlineStr">
        <is>
          <t>脑力/复杂度负荷</t>
        </is>
      </c>
      <c r="CM367" s="2" t="inlineStr">
        <is>
          <t>包括组员指导、项目服务和成本价值提出需求的协助</t>
        </is>
      </c>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row>
    <row r="368">
      <c r="A368" s="2" t="inlineStr">
        <is>
          <t>2026-04-30 17:25:34</t>
        </is>
      </c>
      <c r="B368" s="2" t="inlineStr">
        <is>
          <t>杨悦</t>
        </is>
      </c>
      <c r="C368" s="2" t="inlineStr">
        <is>
          <t>技术中心</t>
        </is>
      </c>
      <c r="D368" s="2" t="inlineStr">
        <is>
          <t>女</t>
        </is>
      </c>
      <c r="E368" s="2" t="inlineStr">
        <is>
          <t>511725200412068566</t>
        </is>
      </c>
      <c r="F368" s="2" t="inlineStr">
        <is>
          <t>试用</t>
        </is>
      </c>
      <c r="G368" s="2" t="inlineStr">
        <is>
          <t>2025-08</t>
        </is>
      </c>
      <c r="H368" s="2" t="inlineStr">
        <is>
          <t>南京中医药大学</t>
        </is>
      </c>
      <c r="I368" s="2" t="inlineStr">
        <is>
          <t>其他</t>
        </is>
      </c>
      <c r="J368" s="2" t="inlineStr">
        <is>
          <t>本科</t>
        </is>
      </c>
      <c r="K368" s="2"/>
      <c r="L368" s="6">
        <f>HYPERLINK("https://www.h3yun.com/Form/Attachments/?schemacode=D1483577de63ede327d4760b10664bd57671d7e&amp;bizObjectId=9739dc33-4671-4d8e-8399-c7897acc7cf4&amp;name=F0000046","点击查看")</f>
        <v>0</v>
      </c>
      <c r="M368" s="2" t="inlineStr">
        <is>
          <t>无</t>
        </is>
      </c>
      <c r="N368" s="2" t="inlineStr">
        <is>
          <t>每周工作</t>
        </is>
      </c>
      <c r="O368" s="2" t="inlineStr">
        <is>
          <t>25岁及以下</t>
        </is>
      </c>
      <c r="P368" s="2" t="inlineStr">
        <is>
          <t>A.未婚</t>
        </is>
      </c>
      <c r="Q368" s="2" t="inlineStr">
        <is>
          <t>A.否</t>
        </is>
      </c>
      <c r="R368" s="2" t="inlineStr">
        <is>
          <t>A.否</t>
        </is>
      </c>
      <c r="S368" s="2" t="inlineStr">
        <is>
          <t>C.希望工作压力适中，但职责边界更清晰</t>
        </is>
      </c>
      <c r="T368" s="2" t="inlineStr">
        <is>
          <t>A.基本满意，希望保持</t>
        </is>
      </c>
      <c r="U368" s="2" t="inlineStr">
        <is>
          <t>A.减少重复性事务</t>
        </is>
      </c>
      <c r="V368" s="2" t="inlineStr">
        <is>
          <t>A.没有</t>
        </is>
      </c>
      <c r="W368" s="2"/>
      <c r="X368" s="2" t="inlineStr">
        <is>
          <t>C.均衡 (80%-100%)</t>
        </is>
      </c>
      <c r="Y368" s="2" t="inlineStr">
        <is>
          <t>E.临时差旅、突发事件、会议加班;H.研发探索性质，保持研究不间断的主动加班</t>
        </is>
      </c>
      <c r="Z368" s="2" t="inlineStr">
        <is>
          <t>专业问题协调</t>
        </is>
      </c>
      <c r="AA368" s="2" t="inlineStr">
        <is>
          <t>专项统计</t>
        </is>
      </c>
      <c r="AB368" s="2" t="inlineStr">
        <is>
          <t>专题工作推进</t>
        </is>
      </c>
      <c r="AC368" s="2" t="inlineStr">
        <is>
          <t>B.基本匹配（正常履行）</t>
        </is>
      </c>
      <c r="AD368" s="2" t="inlineStr">
        <is>
          <t>无</t>
        </is>
      </c>
      <c r="AE368" s="2"/>
      <c r="AF368" s="2"/>
      <c r="AG368" s="2"/>
      <c r="AH368" s="2"/>
      <c r="AI368" s="7" t="n">
        <v>0</v>
      </c>
      <c r="AJ368" s="7" t="n">
        <v>0</v>
      </c>
      <c r="AK368" s="7" t="n">
        <v>1.6</v>
      </c>
      <c r="AL368" s="7" t="n">
        <v>4.8</v>
      </c>
      <c r="AM368" s="7" t="n">
        <v>0</v>
      </c>
      <c r="AN368" s="7" t="n">
        <v>0</v>
      </c>
      <c r="AO368" s="7" t="n">
        <v>0</v>
      </c>
      <c r="AP368" s="7" t="n">
        <v>0</v>
      </c>
      <c r="AQ368" s="7" t="n">
        <v>0</v>
      </c>
      <c r="AR368" s="7" t="n">
        <v>0</v>
      </c>
      <c r="AS368" s="7" t="n">
        <v>1.6</v>
      </c>
      <c r="AT368" s="7" t="n">
        <v>4.8</v>
      </c>
      <c r="AU368" s="7" t="n">
        <v>3.2</v>
      </c>
      <c r="AV368" s="2" t="inlineStr">
        <is>
          <t>非饱和</t>
        </is>
      </c>
      <c r="AW368" s="2" t="inlineStr">
        <is>
          <t>不一致</t>
        </is>
      </c>
      <c r="AX368" s="2" t="inlineStr">
        <is>
          <t>9739dc33-4671-4d8e-8399-c7897acc7cf4</t>
        </is>
      </c>
      <c r="AY368" s="2" t="inlineStr">
        <is>
          <t>技术中心    杨悦</t>
        </is>
      </c>
      <c r="AZ368" s="2" t="inlineStr">
        <is>
          <t>Anonymous</t>
        </is>
      </c>
      <c r="BA368" s="2" t="inlineStr">
        <is>
          <t>Anonymous</t>
        </is>
      </c>
      <c r="BB368" s="2"/>
      <c r="BC368" s="2" t="inlineStr">
        <is>
          <t>2026-05-21 08:43:22</t>
        </is>
      </c>
      <c r="BD368" s="3" t="n">
        <v>2004</v>
      </c>
      <c r="BE368" s="3" t="n">
        <v>22</v>
      </c>
      <c r="BF368" s="2" t="inlineStr">
        <is>
          <t>A.无此需求</t>
        </is>
      </c>
      <c r="BG368" s="2" t="inlineStr">
        <is>
          <t>已生效</t>
        </is>
      </c>
      <c r="BH368" s="2" t="inlineStr">
        <is>
          <t>28a3f678-5ea9-49ad-8824-f2a8dfb032b1</t>
        </is>
      </c>
      <c r="BI368" s="3" t="n">
        <v>1</v>
      </c>
      <c r="BJ368" s="2"/>
      <c r="BK368" s="2"/>
      <c r="BL368" s="2"/>
      <c r="BM368" s="2"/>
      <c r="BN368" s="2"/>
      <c r="BO368" s="2"/>
      <c r="BP368" s="2"/>
      <c r="BQ368" s="2"/>
      <c r="BR368" s="2"/>
      <c r="BS368" s="2" t="inlineStr">
        <is>
          <t>e6d95232-f2f9-4542-b61d-1ae4bbc0b650</t>
        </is>
      </c>
      <c r="BT368" s="3" t="n">
        <v>1</v>
      </c>
      <c r="BU368" s="2"/>
      <c r="BV368" s="2"/>
      <c r="BW368" s="2"/>
      <c r="BX368" s="3"/>
      <c r="BY368" s="3"/>
      <c r="BZ368" s="2"/>
      <c r="CA368" s="3"/>
      <c r="CB368" s="3"/>
      <c r="CC368" s="3"/>
      <c r="CD368" s="3"/>
      <c r="CE368" s="2"/>
      <c r="CF368" s="2"/>
      <c r="CG368" s="2"/>
      <c r="CH368" s="2"/>
      <c r="CI368" s="2"/>
      <c r="CJ368" s="2"/>
      <c r="CK368" s="2"/>
      <c r="CL368" s="2"/>
      <c r="CM368" s="2"/>
      <c r="CN368" s="2" t="inlineStr">
        <is>
          <t>6899844c-8420-4d29-a752-bea8075c1798</t>
        </is>
      </c>
      <c r="CO368" s="3" t="n">
        <v>1</v>
      </c>
      <c r="CP368" s="2"/>
      <c r="CQ368" s="2" t="inlineStr">
        <is>
          <t>更新训练集</t>
        </is>
      </c>
      <c r="CR368" s="2" t="inlineStr">
        <is>
          <t>2-3次</t>
        </is>
      </c>
      <c r="CS368" s="3" t="n">
        <v>2</v>
      </c>
      <c r="CT368" s="3" t="n">
        <v>3</v>
      </c>
      <c r="CU368" s="2" t="inlineStr">
        <is>
          <t>D.4-8小时</t>
        </is>
      </c>
      <c r="CV368" s="7" t="n">
        <v>4</v>
      </c>
      <c r="CW368" s="7" t="n">
        <v>8</v>
      </c>
      <c r="CX368" s="7" t="n">
        <v>8</v>
      </c>
      <c r="CY368" s="7" t="n">
        <v>24</v>
      </c>
      <c r="CZ368" s="2" t="inlineStr">
        <is>
          <t>专业技术类</t>
        </is>
      </c>
      <c r="DA368" s="2"/>
      <c r="DB368" s="2" t="inlineStr">
        <is>
          <t>探索研发类工作</t>
        </is>
      </c>
      <c r="DC368" s="2" t="inlineStr">
        <is>
          <t>岗位职责</t>
        </is>
      </c>
      <c r="DD368" s="2" t="inlineStr">
        <is>
          <t>重要不紧急</t>
        </is>
      </c>
      <c r="DE368" s="2" t="inlineStr">
        <is>
          <t>半标准化-有流程框架，需专业经验</t>
        </is>
      </c>
      <c r="DF368" s="2" t="inlineStr">
        <is>
          <t>低频（5%-10%）</t>
        </is>
      </c>
      <c r="DG368" s="2" t="inlineStr">
        <is>
          <t>脑力/复杂度负荷</t>
        </is>
      </c>
      <c r="DH368" s="2"/>
      <c r="DI368" s="2" t="inlineStr">
        <is>
          <t>166f9b28-32ff-4076-a3e6-bfbbb3b7a7bb</t>
        </is>
      </c>
      <c r="DJ368" s="3" t="n">
        <v>1</v>
      </c>
      <c r="DK368" s="2"/>
      <c r="DL368" s="2"/>
      <c r="DM368" s="2"/>
      <c r="DN368" s="3"/>
      <c r="DO368" s="3"/>
      <c r="DP368" s="2"/>
      <c r="DQ368" s="3"/>
      <c r="DR368" s="3"/>
      <c r="DS368" s="3"/>
      <c r="DT368" s="3"/>
      <c r="DU368" s="2"/>
      <c r="DV368" s="2"/>
      <c r="DW368" s="2"/>
      <c r="DX368" s="2"/>
      <c r="DY368" s="2"/>
      <c r="DZ368" s="2"/>
      <c r="EA368" s="2"/>
      <c r="EB368" s="2"/>
      <c r="EC368" s="2"/>
      <c r="ED368" s="2" t="inlineStr">
        <is>
          <t>c2ea5038-2167-422e-b778-dbe2a918e50c</t>
        </is>
      </c>
      <c r="EE368" s="3" t="n">
        <v>1</v>
      </c>
      <c r="EF368" s="2"/>
      <c r="EG368" s="2"/>
      <c r="EH368" s="2"/>
      <c r="EI368" s="3"/>
      <c r="EJ368" s="2"/>
      <c r="EK368" s="3"/>
      <c r="EL368" s="3"/>
      <c r="EM368" s="3"/>
      <c r="EN368" s="3"/>
      <c r="EO368" s="2"/>
      <c r="EP368" s="2"/>
      <c r="EQ368" s="2"/>
      <c r="ER368" s="2"/>
      <c r="ES368" s="2"/>
      <c r="ET368" s="2"/>
      <c r="EU368" s="2"/>
      <c r="EV368" s="2"/>
      <c r="EW368" s="2"/>
      <c r="EX368" s="2" t="inlineStr">
        <is>
          <t>f4e93bf2-de8e-4073-8bf9-c411a3965484</t>
        </is>
      </c>
      <c r="EY368" s="3" t="n">
        <v>1</v>
      </c>
      <c r="EZ368" s="2"/>
      <c r="FA368" s="2"/>
      <c r="FB368" s="2"/>
      <c r="FC368" s="2"/>
      <c r="FD368" s="3"/>
      <c r="FE368" s="3"/>
      <c r="FF368" s="2"/>
      <c r="FG368" s="3"/>
      <c r="FH368" s="3"/>
      <c r="FI368" s="7" t="n">
        <v>0</v>
      </c>
      <c r="FJ368" s="7" t="n">
        <v>0</v>
      </c>
      <c r="FK368" s="7" t="n">
        <v>0</v>
      </c>
      <c r="FL368" s="7" t="n">
        <v>0</v>
      </c>
      <c r="FM368" s="7" t="n">
        <v>0</v>
      </c>
      <c r="FN368" s="7" t="n">
        <v>0</v>
      </c>
      <c r="FO368" s="2"/>
      <c r="FP368" s="2"/>
      <c r="FQ368" s="2"/>
      <c r="FR368" s="2"/>
      <c r="FS368" s="2"/>
      <c r="FT368" s="2"/>
      <c r="FU368" s="2"/>
      <c r="FV368" s="2"/>
      <c r="FW368" s="2"/>
    </row>
    <row r="369">
      <c r="A369" s="2" t="inlineStr">
        <is>
          <t>2026-04-30 15:51:07</t>
        </is>
      </c>
      <c r="B369" s="2" t="inlineStr">
        <is>
          <t>夏国玺</t>
        </is>
      </c>
      <c r="C369" s="2" t="inlineStr">
        <is>
          <t>技术中心</t>
        </is>
      </c>
      <c r="D369" s="2" t="inlineStr">
        <is>
          <t>男</t>
        </is>
      </c>
      <c r="E369" s="2" t="inlineStr">
        <is>
          <t>320830200012225235</t>
        </is>
      </c>
      <c r="F369" s="2" t="inlineStr">
        <is>
          <t>技术助理(三)</t>
        </is>
      </c>
      <c r="G369" s="2" t="inlineStr">
        <is>
          <t>2025-04</t>
        </is>
      </c>
      <c r="H369" s="2" t="inlineStr">
        <is>
          <t>南通理工学院</t>
        </is>
      </c>
      <c r="I369" s="2" t="inlineStr">
        <is>
          <t>其他</t>
        </is>
      </c>
      <c r="J369" s="2" t="inlineStr">
        <is>
          <t>本科</t>
        </is>
      </c>
      <c r="K369" s="2"/>
      <c r="L369" s="6">
        <f>HYPERLINK("https://www.h3yun.com/Form/Attachments/?schemacode=D1483577de63ede327d4760b10664bd57671d7e&amp;bizObjectId=616eb54e-9a81-47db-8d4c-00364f3ff26e&amp;name=F0000046","点击查看")</f>
        <v>0</v>
      </c>
      <c r="M369" s="2" t="inlineStr">
        <is>
          <t>无</t>
        </is>
      </c>
      <c r="N369" s="2" t="inlineStr">
        <is>
          <t>每周工作</t>
        </is>
      </c>
      <c r="O369" s="2" t="inlineStr">
        <is>
          <t>26-30岁</t>
        </is>
      </c>
      <c r="P369" s="2" t="inlineStr">
        <is>
          <t>A.未婚</t>
        </is>
      </c>
      <c r="Q369" s="2" t="inlineStr">
        <is>
          <t>A.否</t>
        </is>
      </c>
      <c r="R369" s="2" t="inlineStr">
        <is>
          <t>A.否</t>
        </is>
      </c>
      <c r="S369" s="2" t="inlineStr">
        <is>
          <t>A.保持当前工作内容和节奏，收入相对稳定即可</t>
        </is>
      </c>
      <c r="T369" s="2" t="inlineStr">
        <is>
          <t>A.基本满意，希望保持</t>
        </is>
      </c>
      <c r="U369" s="2" t="inlineStr">
        <is>
          <t>F.提高支持资源或人员配置</t>
        </is>
      </c>
      <c r="V369" s="2" t="inlineStr">
        <is>
          <t>A.没有</t>
        </is>
      </c>
      <c r="W369" s="2"/>
      <c r="X369" s="2" t="inlineStr">
        <is>
          <t>C.均衡 (80%-100%)</t>
        </is>
      </c>
      <c r="Y369" s="2" t="inlineStr">
        <is>
          <t>H.研发探索性质，保持研究不间断的主动加班</t>
        </is>
      </c>
      <c r="Z369" s="2" t="inlineStr">
        <is>
          <t>标准研究</t>
        </is>
      </c>
      <c r="AA369" s="2" t="inlineStr">
        <is>
          <t>无</t>
        </is>
      </c>
      <c r="AB369" s="2" t="inlineStr">
        <is>
          <t>专题工作推进</t>
        </is>
      </c>
      <c r="AC369" s="2" t="inlineStr">
        <is>
          <t>B.基本匹配（正常履行）</t>
        </is>
      </c>
      <c r="AD369" s="2" t="inlineStr">
        <is>
          <t>无</t>
        </is>
      </c>
      <c r="AE369" s="2" t="inlineStr">
        <is>
          <t>无</t>
        </is>
      </c>
      <c r="AF369" s="2" t="inlineStr">
        <is>
          <t>无</t>
        </is>
      </c>
      <c r="AG369" s="2"/>
      <c r="AH369" s="2"/>
      <c r="AI369" s="7" t="n">
        <v>2</v>
      </c>
      <c r="AJ369" s="7" t="n">
        <v>4</v>
      </c>
      <c r="AK369" s="7" t="n">
        <v>0.8</v>
      </c>
      <c r="AL369" s="7" t="n">
        <v>2.4</v>
      </c>
      <c r="AM369" s="7" t="n">
        <v>0</v>
      </c>
      <c r="AN369" s="7" t="n">
        <v>0</v>
      </c>
      <c r="AO369" s="7" t="n">
        <v>0</v>
      </c>
      <c r="AP369" s="7" t="n">
        <v>0</v>
      </c>
      <c r="AQ369" s="7" t="n">
        <v>0</v>
      </c>
      <c r="AR369" s="7" t="n">
        <v>0</v>
      </c>
      <c r="AS369" s="7" t="n">
        <v>2.8</v>
      </c>
      <c r="AT369" s="7" t="n">
        <v>6.4</v>
      </c>
      <c r="AU369" s="7" t="n">
        <v>4.6</v>
      </c>
      <c r="AV369" s="2" t="inlineStr">
        <is>
          <t>非饱和</t>
        </is>
      </c>
      <c r="AW369" s="2" t="inlineStr">
        <is>
          <t>不一致</t>
        </is>
      </c>
      <c r="AX369" s="2" t="inlineStr">
        <is>
          <t>616eb54e-9a81-47db-8d4c-00364f3ff26e</t>
        </is>
      </c>
      <c r="AY369" s="2" t="inlineStr">
        <is>
          <t>技术中心    夏国玺</t>
        </is>
      </c>
      <c r="AZ369" s="2" t="inlineStr">
        <is>
          <t>Anonymous</t>
        </is>
      </c>
      <c r="BA369" s="2" t="inlineStr">
        <is>
          <t>Anonymous</t>
        </is>
      </c>
      <c r="BB369" s="2"/>
      <c r="BC369" s="2" t="inlineStr">
        <is>
          <t>2026-05-21 08:43:22</t>
        </is>
      </c>
      <c r="BD369" s="3" t="n">
        <v>2000</v>
      </c>
      <c r="BE369" s="3" t="n">
        <v>26</v>
      </c>
      <c r="BF369" s="2" t="inlineStr">
        <is>
          <t>A.无此需求</t>
        </is>
      </c>
      <c r="BG369" s="2" t="inlineStr">
        <is>
          <t>已生效</t>
        </is>
      </c>
      <c r="BH369" s="2" t="inlineStr">
        <is>
          <t>b525e2c6-8f07-49c8-8f45-2c39e1fab50b</t>
        </is>
      </c>
      <c r="BI369" s="3" t="n">
        <v>1</v>
      </c>
      <c r="BJ369" s="2"/>
      <c r="BK369" s="2"/>
      <c r="BL369" s="2"/>
      <c r="BM369" s="2"/>
      <c r="BN369" s="2"/>
      <c r="BO369" s="2"/>
      <c r="BP369" s="2"/>
      <c r="BQ369" s="2"/>
      <c r="BR369" s="2"/>
      <c r="BS369" s="2" t="inlineStr">
        <is>
          <t>bf6dfc3e-6d75-46bd-9630-6e6c576e3893</t>
        </is>
      </c>
      <c r="BT369" s="3" t="n">
        <v>1</v>
      </c>
      <c r="BU369" s="2" t="inlineStr">
        <is>
          <t>专业技术类</t>
        </is>
      </c>
      <c r="BV369" s="2"/>
      <c r="BW369" s="2" t="inlineStr">
        <is>
          <t>1次</t>
        </is>
      </c>
      <c r="BX369" s="3" t="n">
        <v>1</v>
      </c>
      <c r="BY369" s="3" t="n">
        <v>1</v>
      </c>
      <c r="BZ369" s="2" t="inlineStr">
        <is>
          <t>C.2-4小时</t>
        </is>
      </c>
      <c r="CA369" s="7" t="n">
        <v>2</v>
      </c>
      <c r="CB369" s="7" t="n">
        <v>4</v>
      </c>
      <c r="CC369" s="7" t="n">
        <v>2</v>
      </c>
      <c r="CD369" s="7" t="n">
        <v>4</v>
      </c>
      <c r="CE369" s="2" t="inlineStr">
        <is>
          <t>专业技术类</t>
        </is>
      </c>
      <c r="CF369" s="2"/>
      <c r="CG369" s="2" t="inlineStr">
        <is>
          <t>标准研究</t>
        </is>
      </c>
      <c r="CH369" s="2" t="inlineStr">
        <is>
          <t>自主发起</t>
        </is>
      </c>
      <c r="CI369" s="2" t="inlineStr">
        <is>
          <t>重要不紧急</t>
        </is>
      </c>
      <c r="CJ369" s="2" t="inlineStr">
        <is>
          <t>半标准化-有流程框架，需专业经验</t>
        </is>
      </c>
      <c r="CK369" s="2" t="inlineStr">
        <is>
          <t>低频（5%-10%）</t>
        </is>
      </c>
      <c r="CL369" s="2" t="inlineStr">
        <is>
          <t>时效/强度负荷</t>
        </is>
      </c>
      <c r="CM369" s="2"/>
      <c r="CN369" s="2" t="inlineStr">
        <is>
          <t>08887238-7c70-4b3c-8365-c410d1d17afe</t>
        </is>
      </c>
      <c r="CO369" s="3" t="n">
        <v>1</v>
      </c>
      <c r="CP369" s="2"/>
      <c r="CQ369" s="2" t="inlineStr">
        <is>
          <t>数据集补充</t>
        </is>
      </c>
      <c r="CR369" s="2" t="inlineStr">
        <is>
          <t>2-3次</t>
        </is>
      </c>
      <c r="CS369" s="3" t="n">
        <v>2</v>
      </c>
      <c r="CT369" s="3" t="n">
        <v>3</v>
      </c>
      <c r="CU369" s="2" t="inlineStr">
        <is>
          <t>C.2-4小时</t>
        </is>
      </c>
      <c r="CV369" s="7" t="n">
        <v>2</v>
      </c>
      <c r="CW369" s="7" t="n">
        <v>4</v>
      </c>
      <c r="CX369" s="7" t="n">
        <v>4</v>
      </c>
      <c r="CY369" s="7" t="n">
        <v>12</v>
      </c>
      <c r="CZ369" s="2" t="inlineStr">
        <is>
          <t>专业技术类</t>
        </is>
      </c>
      <c r="DA369" s="2"/>
      <c r="DB369" s="2" t="inlineStr">
        <is>
          <t>标准研究</t>
        </is>
      </c>
      <c r="DC369" s="2" t="inlineStr">
        <is>
          <t>自主发起</t>
        </is>
      </c>
      <c r="DD369" s="2" t="inlineStr">
        <is>
          <t>重要不紧急</t>
        </is>
      </c>
      <c r="DE369" s="2" t="inlineStr">
        <is>
          <t>半标准化-有流程框架，需专业经验</t>
        </is>
      </c>
      <c r="DF369" s="2" t="inlineStr">
        <is>
          <t>低频（5%-10%）</t>
        </is>
      </c>
      <c r="DG369" s="2" t="inlineStr">
        <is>
          <t>时效/强度负荷</t>
        </is>
      </c>
      <c r="DH369" s="2"/>
      <c r="DI369" s="2" t="inlineStr">
        <is>
          <t>98777c82-44b0-41ff-9baa-2bee6d820855</t>
        </is>
      </c>
      <c r="DJ369" s="3" t="n">
        <v>1</v>
      </c>
      <c r="DK369" s="2"/>
      <c r="DL369" s="2"/>
      <c r="DM369" s="2"/>
      <c r="DN369" s="3"/>
      <c r="DO369" s="3"/>
      <c r="DP369" s="2"/>
      <c r="DQ369" s="3"/>
      <c r="DR369" s="3"/>
      <c r="DS369" s="3"/>
      <c r="DT369" s="3"/>
      <c r="DU369" s="2"/>
      <c r="DV369" s="2"/>
      <c r="DW369" s="2"/>
      <c r="DX369" s="2"/>
      <c r="DY369" s="2"/>
      <c r="DZ369" s="2"/>
      <c r="EA369" s="2"/>
      <c r="EB369" s="2"/>
      <c r="EC369" s="2"/>
      <c r="ED369" s="2" t="inlineStr">
        <is>
          <t>28d163ae-6fca-4ff4-98dc-2d7ce354d49c</t>
        </is>
      </c>
      <c r="EE369" s="3" t="n">
        <v>1</v>
      </c>
      <c r="EF369" s="2"/>
      <c r="EG369" s="2"/>
      <c r="EH369" s="2"/>
      <c r="EI369" s="3"/>
      <c r="EJ369" s="2"/>
      <c r="EK369" s="3"/>
      <c r="EL369" s="3"/>
      <c r="EM369" s="3"/>
      <c r="EN369" s="3"/>
      <c r="EO369" s="2"/>
      <c r="EP369" s="2"/>
      <c r="EQ369" s="2"/>
      <c r="ER369" s="2"/>
      <c r="ES369" s="2"/>
      <c r="ET369" s="2"/>
      <c r="EU369" s="2"/>
      <c r="EV369" s="2"/>
      <c r="EW369" s="2"/>
      <c r="EX369" s="2" t="inlineStr">
        <is>
          <t>3aaad3c4-9971-40a1-a3a5-7060b728acba</t>
        </is>
      </c>
      <c r="EY369" s="3" t="n">
        <v>1</v>
      </c>
      <c r="EZ369" s="2"/>
      <c r="FA369" s="2"/>
      <c r="FB369" s="2"/>
      <c r="FC369" s="2"/>
      <c r="FD369" s="3"/>
      <c r="FE369" s="3"/>
      <c r="FF369" s="2"/>
      <c r="FG369" s="3"/>
      <c r="FH369" s="3"/>
      <c r="FI369" s="7" t="n">
        <v>0</v>
      </c>
      <c r="FJ369" s="7" t="n">
        <v>0</v>
      </c>
      <c r="FK369" s="7" t="n">
        <v>0</v>
      </c>
      <c r="FL369" s="7" t="n">
        <v>0</v>
      </c>
      <c r="FM369" s="7" t="n">
        <v>0</v>
      </c>
      <c r="FN369" s="7" t="n">
        <v>0</v>
      </c>
      <c r="FO369" s="2"/>
      <c r="FP369" s="2"/>
      <c r="FQ369" s="2"/>
      <c r="FR369" s="2"/>
      <c r="FS369" s="2"/>
      <c r="FT369" s="2"/>
      <c r="FU369" s="2"/>
      <c r="FV369" s="2"/>
      <c r="FW369" s="2"/>
    </row>
    <row r="370">
      <c r="A370" s="2" t="inlineStr">
        <is>
          <t>2026-04-27 09:27:54</t>
        </is>
      </c>
      <c r="B370" s="2" t="inlineStr">
        <is>
          <t>韩佳诺</t>
        </is>
      </c>
      <c r="C370" s="2" t="inlineStr">
        <is>
          <t>技术中心</t>
        </is>
      </c>
      <c r="D370" s="2" t="inlineStr">
        <is>
          <t>女</t>
        </is>
      </c>
      <c r="E370" s="2" t="inlineStr">
        <is>
          <t>32011219950805164X</t>
        </is>
      </c>
      <c r="F370" s="2" t="inlineStr">
        <is>
          <t>业务主管</t>
        </is>
      </c>
      <c r="G370" s="2" t="inlineStr">
        <is>
          <t>2020-08</t>
        </is>
      </c>
      <c r="H370" s="2" t="inlineStr">
        <is>
          <t>台湾大学</t>
        </is>
      </c>
      <c r="I370" s="2" t="inlineStr">
        <is>
          <t>土建</t>
        </is>
      </c>
      <c r="J370" s="2" t="inlineStr">
        <is>
          <t>硕士</t>
        </is>
      </c>
      <c r="K370" s="2"/>
      <c r="L370" s="6">
        <f>HYPERLINK("https://www.h3yun.com/Form/Attachments/?schemacode=D1483577de63ede327d4760b10664bd57671d7e&amp;bizObjectId=31010e1c-fb2c-48d2-904d-fa7dde889324&amp;name=F0000046","点击查看")</f>
        <v>0</v>
      </c>
      <c r="M370" s="2" t="inlineStr">
        <is>
          <t>暂无</t>
        </is>
      </c>
      <c r="N370" s="2" t="inlineStr">
        <is>
          <t>每日工作;临时/突发工作</t>
        </is>
      </c>
      <c r="O370" s="2" t="inlineStr">
        <is>
          <t>31-35岁</t>
        </is>
      </c>
      <c r="P370" s="2" t="inlineStr">
        <is>
          <t>B.已婚未育</t>
        </is>
      </c>
      <c r="Q370" s="2" t="inlineStr">
        <is>
          <t>A.否</t>
        </is>
      </c>
      <c r="R370" s="2" t="inlineStr">
        <is>
          <t>A.否</t>
        </is>
      </c>
      <c r="S370" s="2" t="inlineStr">
        <is>
          <t>C.希望工作压力适中，但职责边界更清晰</t>
        </is>
      </c>
      <c r="T370" s="2" t="inlineStr">
        <is>
          <t>A.基本满意，希望保持</t>
        </is>
      </c>
      <c r="U370" s="2" t="inlineStr">
        <is>
          <t>D.明确职责边界</t>
        </is>
      </c>
      <c r="V370" s="2" t="inlineStr">
        <is>
          <t>A.没有</t>
        </is>
      </c>
      <c r="W370" s="2"/>
      <c r="X370" s="2" t="inlineStr">
        <is>
          <t>B.满负荷 (100%-120%)</t>
        </is>
      </c>
      <c r="Y370" s="2" t="inlineStr">
        <is>
          <t>B.输入条件不齐;C.技术方案攻关</t>
        </is>
      </c>
      <c r="Z370" s="2" t="inlineStr">
        <is>
          <t>专业问题协调</t>
        </is>
      </c>
      <c r="AA370" s="2" t="inlineStr">
        <is>
          <t>整改闭环</t>
        </is>
      </c>
      <c r="AB370" s="2" t="inlineStr">
        <is>
          <t>专业问题协调</t>
        </is>
      </c>
      <c r="AC370" s="2" t="inlineStr">
        <is>
          <t>B.基本匹配（正常履行）</t>
        </is>
      </c>
      <c r="AD370" s="2" t="inlineStr">
        <is>
          <t>暂无</t>
        </is>
      </c>
      <c r="AE370" s="2"/>
      <c r="AF370" s="2"/>
      <c r="AG370" s="2" t="inlineStr">
        <is>
          <t>D.配偶不是公司家属</t>
        </is>
      </c>
      <c r="AH370" s="2"/>
      <c r="AI370" s="7" t="n">
        <v>12</v>
      </c>
      <c r="AJ370" s="7" t="n">
        <v>20</v>
      </c>
      <c r="AK370" s="7" t="n">
        <v>0</v>
      </c>
      <c r="AL370" s="7" t="n">
        <v>0</v>
      </c>
      <c r="AM370" s="7" t="n">
        <v>0</v>
      </c>
      <c r="AN370" s="7" t="n">
        <v>0</v>
      </c>
      <c r="AO370" s="7" t="n">
        <v>0</v>
      </c>
      <c r="AP370" s="7" t="n">
        <v>0</v>
      </c>
      <c r="AQ370" s="7" t="n">
        <v>0.36</v>
      </c>
      <c r="AR370" s="7" t="n">
        <v>0.64</v>
      </c>
      <c r="AS370" s="7" t="n">
        <v>12.36</v>
      </c>
      <c r="AT370" s="7" t="n">
        <v>20.64</v>
      </c>
      <c r="AU370" s="7" t="n">
        <v>16.5</v>
      </c>
      <c r="AV370" s="2" t="inlineStr">
        <is>
          <t>超负荷</t>
        </is>
      </c>
      <c r="AW370" s="2" t="inlineStr">
        <is>
          <t>不一致</t>
        </is>
      </c>
      <c r="AX370" s="2" t="inlineStr">
        <is>
          <t>31010e1c-fb2c-48d2-904d-fa7dde889324</t>
        </is>
      </c>
      <c r="AY370" s="2" t="inlineStr">
        <is>
          <t>技术中心    韩佳诺</t>
        </is>
      </c>
      <c r="AZ370" s="2" t="inlineStr">
        <is>
          <t>Anonymous</t>
        </is>
      </c>
      <c r="BA370" s="2" t="inlineStr">
        <is>
          <t>Anonymous</t>
        </is>
      </c>
      <c r="BB370" s="2"/>
      <c r="BC370" s="2" t="inlineStr">
        <is>
          <t>2026-05-21 08:43:22</t>
        </is>
      </c>
      <c r="BD370" s="3" t="n">
        <v>1995</v>
      </c>
      <c r="BE370" s="3" t="n">
        <v>31</v>
      </c>
      <c r="BF370" s="2" t="inlineStr">
        <is>
          <t>A.无此需求</t>
        </is>
      </c>
      <c r="BG370" s="2" t="inlineStr">
        <is>
          <t>已生效</t>
        </is>
      </c>
      <c r="BH370" s="2" t="inlineStr">
        <is>
          <t>04b764b4-6c91-4344-99b4-e6b0432f3638</t>
        </is>
      </c>
      <c r="BI370" s="3" t="n">
        <v>1</v>
      </c>
      <c r="BJ370" s="2"/>
      <c r="BK370" s="2"/>
      <c r="BL370" s="2"/>
      <c r="BM370" s="2"/>
      <c r="BN370" s="2"/>
      <c r="BO370" s="2"/>
      <c r="BP370" s="2"/>
      <c r="BQ370" s="2"/>
      <c r="BR370" s="2"/>
      <c r="BS370" s="2" t="inlineStr">
        <is>
          <t>37517b83-b80b-4e37-a057-dd2752d0985b</t>
        </is>
      </c>
      <c r="BT370" s="3" t="n">
        <v>1</v>
      </c>
      <c r="BU370" s="2" t="inlineStr">
        <is>
          <t>专业技术类</t>
        </is>
      </c>
      <c r="BV370" s="2" t="inlineStr">
        <is>
          <t>各项符合项目技术应用的评价服务申报工作</t>
        </is>
      </c>
      <c r="BW370" s="2" t="inlineStr">
        <is>
          <t>1次</t>
        </is>
      </c>
      <c r="BX370" s="3" t="n">
        <v>1</v>
      </c>
      <c r="BY370" s="3" t="n">
        <v>1</v>
      </c>
      <c r="BZ370" s="2" t="inlineStr">
        <is>
          <t>D.4-8小时</t>
        </is>
      </c>
      <c r="CA370" s="7" t="n">
        <v>4</v>
      </c>
      <c r="CB370" s="7" t="n">
        <v>8</v>
      </c>
      <c r="CC370" s="7" t="n">
        <v>4</v>
      </c>
      <c r="CD370" s="7" t="n">
        <v>8</v>
      </c>
      <c r="CE370" s="2" t="inlineStr">
        <is>
          <t>专业技术类</t>
        </is>
      </c>
      <c r="CF370" s="2"/>
      <c r="CG370" s="2" t="inlineStr">
        <is>
          <t>标准研究</t>
        </is>
      </c>
      <c r="CH370" s="2" t="inlineStr">
        <is>
          <t>部门计划</t>
        </is>
      </c>
      <c r="CI370" s="2" t="inlineStr">
        <is>
          <t>重要且紧急</t>
        </is>
      </c>
      <c r="CJ370" s="2" t="inlineStr">
        <is>
          <t>半标准化</t>
        </is>
      </c>
      <c r="CK370" s="2" t="inlineStr">
        <is>
          <t>中频（10%-30%）</t>
        </is>
      </c>
      <c r="CL370" s="2" t="inlineStr">
        <is>
          <t>时效/强度负荷</t>
        </is>
      </c>
      <c r="CM370" s="2"/>
      <c r="CN370" s="2" t="inlineStr">
        <is>
          <t>5591a76d-bd0e-4ddf-9e55-dbe21cdaabe3</t>
        </is>
      </c>
      <c r="CO370" s="3" t="n">
        <v>1</v>
      </c>
      <c r="CP370" s="2"/>
      <c r="CQ370" s="2"/>
      <c r="CR370" s="2"/>
      <c r="CS370" s="3"/>
      <c r="CT370" s="3"/>
      <c r="CU370" s="2"/>
      <c r="CV370" s="3"/>
      <c r="CW370" s="3"/>
      <c r="CX370" s="3"/>
      <c r="CY370" s="3"/>
      <c r="CZ370" s="2"/>
      <c r="DA370" s="2"/>
      <c r="DB370" s="2"/>
      <c r="DC370" s="2"/>
      <c r="DD370" s="2"/>
      <c r="DE370" s="2"/>
      <c r="DF370" s="2"/>
      <c r="DG370" s="2"/>
      <c r="DH370" s="2"/>
      <c r="DI370" s="2" t="inlineStr">
        <is>
          <t>baa68220-5409-4ad8-baad-67952103554c</t>
        </is>
      </c>
      <c r="DJ370" s="3" t="n">
        <v>1</v>
      </c>
      <c r="DK370" s="2"/>
      <c r="DL370" s="2"/>
      <c r="DM370" s="2"/>
      <c r="DN370" s="3"/>
      <c r="DO370" s="3"/>
      <c r="DP370" s="2"/>
      <c r="DQ370" s="3"/>
      <c r="DR370" s="3"/>
      <c r="DS370" s="3"/>
      <c r="DT370" s="3"/>
      <c r="DU370" s="2"/>
      <c r="DV370" s="2"/>
      <c r="DW370" s="2"/>
      <c r="DX370" s="2"/>
      <c r="DY370" s="2"/>
      <c r="DZ370" s="2"/>
      <c r="EA370" s="2"/>
      <c r="EB370" s="2"/>
      <c r="EC370" s="2"/>
      <c r="ED370" s="2" t="inlineStr">
        <is>
          <t>9da8ae03-56f2-4289-8b84-1b449e92291d</t>
        </is>
      </c>
      <c r="EE370" s="3" t="n">
        <v>1</v>
      </c>
      <c r="EF370" s="2"/>
      <c r="EG370" s="2"/>
      <c r="EH370" s="2"/>
      <c r="EI370" s="3"/>
      <c r="EJ370" s="2"/>
      <c r="EK370" s="3"/>
      <c r="EL370" s="3"/>
      <c r="EM370" s="3"/>
      <c r="EN370" s="3"/>
      <c r="EO370" s="2"/>
      <c r="EP370" s="2"/>
      <c r="EQ370" s="2"/>
      <c r="ER370" s="2"/>
      <c r="ES370" s="2"/>
      <c r="ET370" s="2"/>
      <c r="EU370" s="2"/>
      <c r="EV370" s="2"/>
      <c r="EW370" s="2"/>
      <c r="EX370" s="2" t="inlineStr">
        <is>
          <t>b7fd03a4-ea21-4d79-879f-7b036e2a255f</t>
        </is>
      </c>
      <c r="EY370" s="3" t="n">
        <v>1</v>
      </c>
      <c r="EZ370" s="2"/>
      <c r="FA370" s="2" t="inlineStr">
        <is>
          <t>技术型参访接待讲解</t>
        </is>
      </c>
      <c r="FB370" s="2" t="inlineStr">
        <is>
          <t>每月3-5次</t>
        </is>
      </c>
      <c r="FC370" s="2" t="inlineStr">
        <is>
          <t>月</t>
        </is>
      </c>
      <c r="FD370" s="3" t="n">
        <v>3</v>
      </c>
      <c r="FE370" s="3" t="n">
        <v>3</v>
      </c>
      <c r="FF370" s="2" t="inlineStr">
        <is>
          <t>B.2小时以内</t>
        </is>
      </c>
      <c r="FG370" s="7" t="n">
        <v>2</v>
      </c>
      <c r="FH370" s="7" t="n">
        <v>2</v>
      </c>
      <c r="FI370" s="7" t="n">
        <v>6</v>
      </c>
      <c r="FJ370" s="7" t="n">
        <v>6</v>
      </c>
      <c r="FK370" s="7" t="n">
        <v>0</v>
      </c>
      <c r="FL370" s="7" t="n">
        <v>0</v>
      </c>
      <c r="FM370" s="7" t="n">
        <v>0</v>
      </c>
      <c r="FN370" s="7" t="n">
        <v>0</v>
      </c>
      <c r="FO370" s="2" t="inlineStr">
        <is>
          <t>协调沟通类</t>
        </is>
      </c>
      <c r="FP370" s="2"/>
      <c r="FQ370" s="2" t="inlineStr">
        <is>
          <t>外部联络</t>
        </is>
      </c>
      <c r="FR370" s="2" t="inlineStr">
        <is>
          <t>上级指令</t>
        </is>
      </c>
      <c r="FS370" s="2" t="inlineStr">
        <is>
          <t>重要且紧急</t>
        </is>
      </c>
      <c r="FT370" s="2" t="inlineStr">
        <is>
          <t>半标准化</t>
        </is>
      </c>
      <c r="FU370" s="2" t="inlineStr">
        <is>
          <t>极少（&lt;5%）</t>
        </is>
      </c>
      <c r="FV370" s="2" t="inlineStr">
        <is>
          <t>沟通/协调负荷</t>
        </is>
      </c>
      <c r="FW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t="inlineStr">
        <is>
          <t>ef65d172-b81f-4caa-a4ec-d86be7b6ec33</t>
        </is>
      </c>
      <c r="BT371" s="3" t="n">
        <v>2</v>
      </c>
      <c r="BU371" s="2" t="inlineStr">
        <is>
          <t>专业技术类</t>
        </is>
      </c>
      <c r="BV371" s="2" t="inlineStr">
        <is>
          <t>各项符合技术要求的BIM或其他类型参赛申报</t>
        </is>
      </c>
      <c r="BW371" s="2" t="inlineStr">
        <is>
          <t>1次</t>
        </is>
      </c>
      <c r="BX371" s="3" t="n">
        <v>1</v>
      </c>
      <c r="BY371" s="3" t="n">
        <v>1</v>
      </c>
      <c r="BZ371" s="2" t="inlineStr">
        <is>
          <t>D.4-8小时</t>
        </is>
      </c>
      <c r="CA371" s="7" t="n">
        <v>4</v>
      </c>
      <c r="CB371" s="7" t="n">
        <v>8</v>
      </c>
      <c r="CC371" s="7" t="n">
        <v>4</v>
      </c>
      <c r="CD371" s="7" t="n">
        <v>8</v>
      </c>
      <c r="CE371" s="2" t="inlineStr">
        <is>
          <t>专业技术类</t>
        </is>
      </c>
      <c r="CF371" s="2"/>
      <c r="CG371" s="2" t="inlineStr">
        <is>
          <t>标准研究</t>
        </is>
      </c>
      <c r="CH371" s="2" t="inlineStr">
        <is>
          <t>部门计划</t>
        </is>
      </c>
      <c r="CI371" s="2" t="inlineStr">
        <is>
          <t>重要且紧急</t>
        </is>
      </c>
      <c r="CJ371" s="2" t="inlineStr">
        <is>
          <t>半标准化</t>
        </is>
      </c>
      <c r="CK371" s="2" t="inlineStr">
        <is>
          <t>中频（10%-30%）</t>
        </is>
      </c>
      <c r="CL371" s="2" t="inlineStr">
        <is>
          <t>时效/强度负荷</t>
        </is>
      </c>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t="inlineStr">
        <is>
          <t>25129011-4659-4ad3-aa40-0ff8ccf8bf3c</t>
        </is>
      </c>
      <c r="EY371" s="3" t="n">
        <v>2</v>
      </c>
      <c r="EZ371" s="2"/>
      <c r="FA371" s="2" t="inlineStr">
        <is>
          <t>部门各类发文事项</t>
        </is>
      </c>
      <c r="FB371" s="2" t="inlineStr">
        <is>
          <t>每月1-2次</t>
        </is>
      </c>
      <c r="FC371" s="2" t="inlineStr">
        <is>
          <t>月</t>
        </is>
      </c>
      <c r="FD371" s="3" t="n">
        <v>1</v>
      </c>
      <c r="FE371" s="3" t="n">
        <v>2</v>
      </c>
      <c r="FF371" s="2" t="inlineStr">
        <is>
          <t>C.2-4小时</t>
        </is>
      </c>
      <c r="FG371" s="7" t="n">
        <v>2</v>
      </c>
      <c r="FH371" s="7" t="n">
        <v>4</v>
      </c>
      <c r="FI371" s="7" t="n">
        <v>2</v>
      </c>
      <c r="FJ371" s="7" t="n">
        <v>8</v>
      </c>
      <c r="FK371" s="7" t="n">
        <v>0</v>
      </c>
      <c r="FL371" s="7" t="n">
        <v>0</v>
      </c>
      <c r="FM371" s="7" t="n">
        <v>0</v>
      </c>
      <c r="FN371" s="7" t="n">
        <v>0</v>
      </c>
      <c r="FO371" s="2" t="inlineStr">
        <is>
          <t>行政事务类</t>
        </is>
      </c>
      <c r="FP371" s="2"/>
      <c r="FQ371" s="2" t="inlineStr">
        <is>
          <t>通知起草</t>
        </is>
      </c>
      <c r="FR371" s="2" t="inlineStr">
        <is>
          <t>上级指令</t>
        </is>
      </c>
      <c r="FS371" s="2" t="inlineStr">
        <is>
          <t>重要且紧急</t>
        </is>
      </c>
      <c r="FT371" s="2" t="inlineStr">
        <is>
          <t>半标准化</t>
        </is>
      </c>
      <c r="FU371" s="2" t="inlineStr">
        <is>
          <t>低频（5%-10%）</t>
        </is>
      </c>
      <c r="FV371" s="2" t="inlineStr">
        <is>
          <t>沟通/协调负荷</t>
        </is>
      </c>
      <c r="FW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t="inlineStr">
        <is>
          <t>874adb18-24f7-4b29-83e5-1c781e523f89</t>
        </is>
      </c>
      <c r="BT372" s="3" t="n">
        <v>3</v>
      </c>
      <c r="BU372" s="2" t="inlineStr">
        <is>
          <t>监督检查类</t>
        </is>
      </c>
      <c r="BV372" s="2" t="inlineStr">
        <is>
          <t>氚云任务管理体系运维</t>
        </is>
      </c>
      <c r="BW372" s="2" t="inlineStr">
        <is>
          <t>1次</t>
        </is>
      </c>
      <c r="BX372" s="3" t="n">
        <v>1</v>
      </c>
      <c r="BY372" s="3" t="n">
        <v>1</v>
      </c>
      <c r="BZ372" s="2" t="inlineStr">
        <is>
          <t>B.2小时以内</t>
        </is>
      </c>
      <c r="CA372" s="7" t="n">
        <v>2</v>
      </c>
      <c r="CB372" s="7" t="n">
        <v>2</v>
      </c>
      <c r="CC372" s="7" t="n">
        <v>2</v>
      </c>
      <c r="CD372" s="7" t="n">
        <v>2</v>
      </c>
      <c r="CE372" s="2" t="inlineStr">
        <is>
          <t>监督检查类</t>
        </is>
      </c>
      <c r="CF372" s="2"/>
      <c r="CG372" s="2" t="inlineStr">
        <is>
          <t>整改闭环</t>
        </is>
      </c>
      <c r="CH372" s="2" t="inlineStr">
        <is>
          <t>跨部门协同</t>
        </is>
      </c>
      <c r="CI372" s="2" t="inlineStr">
        <is>
          <t>重要不紧急</t>
        </is>
      </c>
      <c r="CJ372" s="2" t="inlineStr">
        <is>
          <t>半标准化</t>
        </is>
      </c>
      <c r="CK372" s="2" t="inlineStr">
        <is>
          <t>极少（&lt;5%）</t>
        </is>
      </c>
      <c r="CL372" s="2" t="inlineStr">
        <is>
          <t>沟通/协调负荷</t>
        </is>
      </c>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t="inlineStr">
        <is>
          <t>7272daab-95f2-492a-b740-8864781ba3bc</t>
        </is>
      </c>
      <c r="BT373" s="3" t="n">
        <v>4</v>
      </c>
      <c r="BU373" s="2" t="inlineStr">
        <is>
          <t>行政事务类</t>
        </is>
      </c>
      <c r="BV373" s="2" t="inlineStr">
        <is>
          <t>辅助申报参赛等工作的实质性流程审核相关工作</t>
        </is>
      </c>
      <c r="BW373" s="2" t="inlineStr">
        <is>
          <t>1次</t>
        </is>
      </c>
      <c r="BX373" s="3" t="n">
        <v>1</v>
      </c>
      <c r="BY373" s="3" t="n">
        <v>1</v>
      </c>
      <c r="BZ373" s="2" t="inlineStr">
        <is>
          <t>B.2小时以内</t>
        </is>
      </c>
      <c r="CA373" s="7" t="n">
        <v>2</v>
      </c>
      <c r="CB373" s="7" t="n">
        <v>2</v>
      </c>
      <c r="CC373" s="7" t="n">
        <v>2</v>
      </c>
      <c r="CD373" s="7" t="n">
        <v>2</v>
      </c>
      <c r="CE373" s="2" t="inlineStr">
        <is>
          <t>行政事务类</t>
        </is>
      </c>
      <c r="CF373" s="2"/>
      <c r="CG373" s="2" t="inlineStr">
        <is>
          <t>用章流转</t>
        </is>
      </c>
      <c r="CH373" s="2" t="inlineStr">
        <is>
          <t>岗位职责</t>
        </is>
      </c>
      <c r="CI373" s="2" t="inlineStr">
        <is>
          <t>重要且紧急</t>
        </is>
      </c>
      <c r="CJ373" s="2" t="inlineStr">
        <is>
          <t>高度标准化</t>
        </is>
      </c>
      <c r="CK373" s="2" t="inlineStr">
        <is>
          <t>极少（&lt;5%）</t>
        </is>
      </c>
      <c r="CL373" s="2" t="inlineStr">
        <is>
          <t>沟通/协调负荷</t>
        </is>
      </c>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row>
    <row r="374">
      <c r="A374" s="2" t="inlineStr">
        <is>
          <t>2026-04-27 09:11:46</t>
        </is>
      </c>
      <c r="B374" s="2" t="inlineStr">
        <is>
          <t>蔡芙蓉</t>
        </is>
      </c>
      <c r="C374" s="2" t="inlineStr">
        <is>
          <t>技术中心</t>
        </is>
      </c>
      <c r="D374" s="2" t="inlineStr">
        <is>
          <t>女</t>
        </is>
      </c>
      <c r="E374" s="2" t="inlineStr">
        <is>
          <t>320623199711194220</t>
        </is>
      </c>
      <c r="F374" s="2" t="inlineStr">
        <is>
          <t>技术助理(二)</t>
        </is>
      </c>
      <c r="G374" s="2" t="inlineStr">
        <is>
          <t>2022-03</t>
        </is>
      </c>
      <c r="H374" s="2" t="inlineStr">
        <is>
          <t>淮阴工学院</t>
        </is>
      </c>
      <c r="I374" s="2" t="inlineStr">
        <is>
          <t>其他</t>
        </is>
      </c>
      <c r="J374" s="2" t="inlineStr">
        <is>
          <t>本科</t>
        </is>
      </c>
      <c r="K374" s="2" t="inlineStr">
        <is>
          <t>A.安心工作型岗位-每天固定8工时，有事请假</t>
        </is>
      </c>
      <c r="L374" s="6">
        <f>HYPERLINK("https://www.h3yun.com/Form/Attachments/?schemacode=D1483577de63ede327d4760b10664bd57671d7e&amp;bizObjectId=90b11491-6696-4907-9adb-a3900cccbf64&amp;name=F0000046","点击查看")</f>
        <v>0</v>
      </c>
      <c r="M374" s="2" t="inlineStr">
        <is>
          <t>大量频繁重复性工作</t>
        </is>
      </c>
      <c r="N374" s="2" t="inlineStr">
        <is>
          <t>每日工作;每月工作;临时/突发工作</t>
        </is>
      </c>
      <c r="O374" s="2" t="inlineStr">
        <is>
          <t>26-30岁</t>
        </is>
      </c>
      <c r="P374" s="2" t="inlineStr">
        <is>
          <t>C.已婚已育</t>
        </is>
      </c>
      <c r="Q374" s="2" t="inlineStr">
        <is>
          <t>B.是，主要照护子女</t>
        </is>
      </c>
      <c r="R374" s="2" t="inlineStr">
        <is>
          <t>B.有1名</t>
        </is>
      </c>
      <c r="S374" s="2" t="inlineStr">
        <is>
          <t>A.保持当前工作内容和节奏，收入相对稳定即可</t>
        </is>
      </c>
      <c r="T374" s="2" t="inlineStr">
        <is>
          <t>A.基本满意，希望保持</t>
        </is>
      </c>
      <c r="U374" s="2" t="inlineStr">
        <is>
          <t>B.减少无效流转和返工</t>
        </is>
      </c>
      <c r="V374" s="2" t="inlineStr">
        <is>
          <t>A.没有</t>
        </is>
      </c>
      <c r="W374" s="2"/>
      <c r="X374" s="2" t="inlineStr">
        <is>
          <t>C.均衡 (80%-100%)</t>
        </is>
      </c>
      <c r="Y374" s="2" t="inlineStr">
        <is>
          <t>E.个人技能补差</t>
        </is>
      </c>
      <c r="Z374" s="2" t="inlineStr">
        <is>
          <t>专业问题协调</t>
        </is>
      </c>
      <c r="AA374" s="2" t="inlineStr">
        <is>
          <t>专项检查</t>
        </is>
      </c>
      <c r="AB374" s="2" t="inlineStr">
        <is>
          <t>合规监督</t>
        </is>
      </c>
      <c r="AC374" s="2" t="inlineStr">
        <is>
          <t>B.基本匹配（正常履行）</t>
        </is>
      </c>
      <c r="AD374" s="2" t="inlineStr">
        <is>
          <t>无</t>
        </is>
      </c>
      <c r="AE374" s="2"/>
      <c r="AF374" s="2"/>
      <c r="AG374" s="2" t="inlineStr">
        <is>
          <t>D.配偶不是公司家属</t>
        </is>
      </c>
      <c r="AH374" s="2" t="inlineStr">
        <is>
          <t>C.没有意向</t>
        </is>
      </c>
      <c r="AI374" s="7" t="n">
        <v>8</v>
      </c>
      <c r="AJ374" s="7" t="n">
        <v>30</v>
      </c>
      <c r="AK374" s="7" t="n">
        <v>0</v>
      </c>
      <c r="AL374" s="7" t="n">
        <v>0</v>
      </c>
      <c r="AM374" s="7" t="n">
        <v>0.36</v>
      </c>
      <c r="AN374" s="7" t="n">
        <v>0.36</v>
      </c>
      <c r="AO374" s="7" t="n">
        <v>0</v>
      </c>
      <c r="AP374" s="7" t="n">
        <v>0</v>
      </c>
      <c r="AQ374" s="7" t="n">
        <v>1.09</v>
      </c>
      <c r="AR374" s="7" t="n">
        <v>1.09</v>
      </c>
      <c r="AS374" s="7" t="n">
        <v>9.45</v>
      </c>
      <c r="AT374" s="7" t="n">
        <v>31.45</v>
      </c>
      <c r="AU374" s="7" t="n">
        <v>20.45</v>
      </c>
      <c r="AV374" s="2" t="inlineStr">
        <is>
          <t>超负荷</t>
        </is>
      </c>
      <c r="AW374" s="2" t="inlineStr">
        <is>
          <t>不一致</t>
        </is>
      </c>
      <c r="AX374" s="2" t="inlineStr">
        <is>
          <t>90b11491-6696-4907-9adb-a3900cccbf64</t>
        </is>
      </c>
      <c r="AY374" s="2" t="inlineStr">
        <is>
          <t>技术中心    蔡芙蓉</t>
        </is>
      </c>
      <c r="AZ374" s="2" t="inlineStr">
        <is>
          <t>Anonymous</t>
        </is>
      </c>
      <c r="BA374" s="2" t="inlineStr">
        <is>
          <t>Anonymous</t>
        </is>
      </c>
      <c r="BB374" s="2"/>
      <c r="BC374" s="2" t="inlineStr">
        <is>
          <t>2026-05-21 08:43:22</t>
        </is>
      </c>
      <c r="BD374" s="3" t="n">
        <v>1997</v>
      </c>
      <c r="BE374" s="3" t="n">
        <v>29</v>
      </c>
      <c r="BF374" s="2" t="inlineStr">
        <is>
          <t>A.无此需求</t>
        </is>
      </c>
      <c r="BG374" s="2" t="inlineStr">
        <is>
          <t>已生效</t>
        </is>
      </c>
      <c r="BH374" s="2" t="inlineStr">
        <is>
          <t>07eaf2d9-f0d0-41dc-a2b2-a6925d7ce769</t>
        </is>
      </c>
      <c r="BI374" s="3" t="n">
        <v>1</v>
      </c>
      <c r="BJ374" s="2" t="inlineStr">
        <is>
          <t>A.安心工作型岗位-每天固定8工时，有事请假</t>
        </is>
      </c>
      <c r="BK374" s="2" t="inlineStr">
        <is>
          <t>A.安心工作型岗位-每天固定8工时，有事请假</t>
        </is>
      </c>
      <c r="BL374" s="2" t="inlineStr">
        <is>
          <t>如适用于照看6-12周岁儿童</t>
        </is>
      </c>
      <c r="BM374" s="2" t="inlineStr">
        <is>
          <t>固定时间、地点，允许按需请假，灵活调整</t>
        </is>
      </c>
      <c r="BN374" s="2" t="inlineStr">
        <is>
          <t>按月计酬</t>
        </is>
      </c>
      <c r="BO374" s="2" t="inlineStr">
        <is>
          <t>社会保险</t>
        </is>
      </c>
      <c r="BP374" s="2" t="inlineStr">
        <is>
          <t>劳动合同</t>
        </is>
      </c>
      <c r="BQ374" s="2" t="inlineStr">
        <is>
          <t>基础技能
特定技能</t>
        </is>
      </c>
      <c r="BR374" s="2" t="inlineStr">
        <is>
          <t>用人单位提供托育保障服务，允许带娃上班或帮忙带娃的全职类“妈妈岗”</t>
        </is>
      </c>
      <c r="BS374" s="2" t="inlineStr">
        <is>
          <t>c4a60feb-4071-41cc-b594-37c9caa20926</t>
        </is>
      </c>
      <c r="BT374" s="3" t="n">
        <v>1</v>
      </c>
      <c r="BU374" s="2" t="inlineStr">
        <is>
          <t>专业技术类</t>
        </is>
      </c>
      <c r="BV374" s="2" t="inlineStr">
        <is>
          <t>专业技术类</t>
        </is>
      </c>
      <c r="BW374" s="2" t="inlineStr">
        <is>
          <t>2-5次</t>
        </is>
      </c>
      <c r="BX374" s="3" t="n">
        <v>2</v>
      </c>
      <c r="BY374" s="3" t="n">
        <v>5</v>
      </c>
      <c r="BZ374" s="2" t="inlineStr">
        <is>
          <t>C.2-4小时</t>
        </is>
      </c>
      <c r="CA374" s="7" t="n">
        <v>2</v>
      </c>
      <c r="CB374" s="7" t="n">
        <v>4</v>
      </c>
      <c r="CC374" s="7" t="n">
        <v>4</v>
      </c>
      <c r="CD374" s="7" t="n">
        <v>20</v>
      </c>
      <c r="CE374" s="2" t="inlineStr">
        <is>
          <t>专业技术类</t>
        </is>
      </c>
      <c r="CF374" s="2"/>
      <c r="CG374" s="2" t="inlineStr">
        <is>
          <t>专业问题协调</t>
        </is>
      </c>
      <c r="CH374" s="2" t="inlineStr">
        <is>
          <t>跨部门协同</t>
        </is>
      </c>
      <c r="CI374" s="2" t="inlineStr">
        <is>
          <t>重要且紧急</t>
        </is>
      </c>
      <c r="CJ374" s="2" t="inlineStr">
        <is>
          <t>非标准化</t>
        </is>
      </c>
      <c r="CK374" s="2" t="inlineStr">
        <is>
          <t>低频（5%-10%）</t>
        </is>
      </c>
      <c r="CL374" s="2" t="inlineStr">
        <is>
          <t>沟通/协调负荷</t>
        </is>
      </c>
      <c r="CM374" s="2"/>
      <c r="CN374" s="2" t="inlineStr">
        <is>
          <t>429e1989-a0fa-425f-9eac-1ffd0f6857e5</t>
        </is>
      </c>
      <c r="CO374" s="3" t="n">
        <v>1</v>
      </c>
      <c r="CP374" s="2"/>
      <c r="CQ374" s="2"/>
      <c r="CR374" s="2"/>
      <c r="CS374" s="3"/>
      <c r="CT374" s="3"/>
      <c r="CU374" s="2"/>
      <c r="CV374" s="3"/>
      <c r="CW374" s="3"/>
      <c r="CX374" s="3"/>
      <c r="CY374" s="3"/>
      <c r="CZ374" s="2"/>
      <c r="DA374" s="2"/>
      <c r="DB374" s="2"/>
      <c r="DC374" s="2"/>
      <c r="DD374" s="2"/>
      <c r="DE374" s="2"/>
      <c r="DF374" s="2"/>
      <c r="DG374" s="2"/>
      <c r="DH374" s="2"/>
      <c r="DI374" s="2" t="inlineStr">
        <is>
          <t>5d51e5b4-af99-4d55-b803-cb9963768729</t>
        </is>
      </c>
      <c r="DJ374" s="3" t="n">
        <v>1</v>
      </c>
      <c r="DK374" s="2"/>
      <c r="DL374" s="2" t="inlineStr">
        <is>
          <t>专业技术类</t>
        </is>
      </c>
      <c r="DM374" s="2" t="inlineStr">
        <is>
          <t>1次</t>
        </is>
      </c>
      <c r="DN374" s="3" t="n">
        <v>1</v>
      </c>
      <c r="DO374" s="3" t="n">
        <v>1</v>
      </c>
      <c r="DP374" s="2" t="inlineStr">
        <is>
          <t>E.8小时以上</t>
        </is>
      </c>
      <c r="DQ374" s="7" t="n">
        <v>8</v>
      </c>
      <c r="DR374" s="7" t="n">
        <v>8</v>
      </c>
      <c r="DS374" s="7" t="n">
        <v>8</v>
      </c>
      <c r="DT374" s="7" t="n">
        <v>8</v>
      </c>
      <c r="DU374" s="2" t="inlineStr">
        <is>
          <t>专业技术类</t>
        </is>
      </c>
      <c r="DV374" s="2"/>
      <c r="DW374" s="2" t="inlineStr">
        <is>
          <t>专业问题协调</t>
        </is>
      </c>
      <c r="DX374" s="2" t="inlineStr">
        <is>
          <t>部门计划</t>
        </is>
      </c>
      <c r="DY374" s="2" t="inlineStr">
        <is>
          <t>重要且紧急</t>
        </is>
      </c>
      <c r="DZ374" s="2" t="inlineStr">
        <is>
          <t>高度标准化</t>
        </is>
      </c>
      <c r="EA374" s="2" t="inlineStr">
        <is>
          <t>高频（&gt;30%）</t>
        </is>
      </c>
      <c r="EB374" s="2" t="inlineStr">
        <is>
          <t>脑力/复杂度负荷</t>
        </is>
      </c>
      <c r="EC374" s="2" t="inlineStr">
        <is>
          <t>氚云不稳定，代码不稳定，常需要人员维护</t>
        </is>
      </c>
      <c r="ED374" s="2" t="inlineStr">
        <is>
          <t>a3e83037-f1e2-4efe-a5e2-ad1680134991</t>
        </is>
      </c>
      <c r="EE374" s="3" t="n">
        <v>1</v>
      </c>
      <c r="EF374" s="2"/>
      <c r="EG374" s="2"/>
      <c r="EH374" s="2"/>
      <c r="EI374" s="3"/>
      <c r="EJ374" s="2"/>
      <c r="EK374" s="3"/>
      <c r="EL374" s="3"/>
      <c r="EM374" s="3"/>
      <c r="EN374" s="3"/>
      <c r="EO374" s="2"/>
      <c r="EP374" s="2"/>
      <c r="EQ374" s="2"/>
      <c r="ER374" s="2"/>
      <c r="ES374" s="2"/>
      <c r="ET374" s="2"/>
      <c r="EU374" s="2"/>
      <c r="EV374" s="2"/>
      <c r="EW374" s="2"/>
      <c r="EX374" s="2" t="inlineStr">
        <is>
          <t>3db1eb98-b646-48f3-81ca-11d6f66212d4</t>
        </is>
      </c>
      <c r="EY374" s="3" t="n">
        <v>1</v>
      </c>
      <c r="EZ374" s="2"/>
      <c r="FA374" s="2" t="inlineStr">
        <is>
          <t>专业技术类</t>
        </is>
      </c>
      <c r="FB374" s="2" t="inlineStr">
        <is>
          <t>每月3-5次</t>
        </is>
      </c>
      <c r="FC374" s="2" t="inlineStr">
        <is>
          <t>月</t>
        </is>
      </c>
      <c r="FD374" s="3" t="n">
        <v>3</v>
      </c>
      <c r="FE374" s="3" t="n">
        <v>3</v>
      </c>
      <c r="FF374" s="2" t="inlineStr">
        <is>
          <t>E.8小时以上</t>
        </is>
      </c>
      <c r="FG374" s="7" t="n">
        <v>8</v>
      </c>
      <c r="FH374" s="7" t="n">
        <v>8</v>
      </c>
      <c r="FI374" s="7" t="n">
        <v>24</v>
      </c>
      <c r="FJ374" s="7" t="n">
        <v>24</v>
      </c>
      <c r="FK374" s="7" t="n">
        <v>0</v>
      </c>
      <c r="FL374" s="7" t="n">
        <v>0</v>
      </c>
      <c r="FM374" s="7" t="n">
        <v>0</v>
      </c>
      <c r="FN374" s="7" t="n">
        <v>0</v>
      </c>
      <c r="FO374" s="2" t="inlineStr">
        <is>
          <t>专业技术类</t>
        </is>
      </c>
      <c r="FP374" s="2"/>
      <c r="FQ374" s="2" t="inlineStr">
        <is>
          <t>专业问题协调</t>
        </is>
      </c>
      <c r="FR374" s="2" t="inlineStr">
        <is>
          <t>上级指令</t>
        </is>
      </c>
      <c r="FS374" s="2" t="inlineStr">
        <is>
          <t>重要且紧急</t>
        </is>
      </c>
      <c r="FT374" s="2" t="inlineStr">
        <is>
          <t>半标准化</t>
        </is>
      </c>
      <c r="FU374" s="2" t="inlineStr">
        <is>
          <t>极少（&lt;5%）</t>
        </is>
      </c>
      <c r="FV374" s="2" t="inlineStr">
        <is>
          <t>脑力/复杂度负荷</t>
        </is>
      </c>
      <c r="FW374" s="2" t="inlineStr">
        <is>
          <t>1. 目前ERP流程相关截图工作，条数多，时间长，通过playwright实现</t>
        </is>
      </c>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t="inlineStr">
        <is>
          <t>6bc0cf7e-00d8-4505-aec3-c67704af184b</t>
        </is>
      </c>
      <c r="BT375" s="3" t="n">
        <v>2</v>
      </c>
      <c r="BU375" s="2" t="inlineStr">
        <is>
          <t>协调沟通类</t>
        </is>
      </c>
      <c r="BV375" s="2" t="inlineStr">
        <is>
          <t>协调沟通类</t>
        </is>
      </c>
      <c r="BW375" s="2" t="inlineStr">
        <is>
          <t>2-5次</t>
        </is>
      </c>
      <c r="BX375" s="3" t="n">
        <v>2</v>
      </c>
      <c r="BY375" s="3" t="n">
        <v>5</v>
      </c>
      <c r="BZ375" s="2" t="inlineStr">
        <is>
          <t>B.2小时以内</t>
        </is>
      </c>
      <c r="CA375" s="7" t="n">
        <v>2</v>
      </c>
      <c r="CB375" s="7" t="n">
        <v>2</v>
      </c>
      <c r="CC375" s="7" t="n">
        <v>4</v>
      </c>
      <c r="CD375" s="7" t="n">
        <v>10</v>
      </c>
      <c r="CE375" s="2" t="inlineStr">
        <is>
          <t>协调沟通类</t>
        </is>
      </c>
      <c r="CF375" s="2"/>
      <c r="CG375" s="2" t="inlineStr">
        <is>
          <t>接口协调</t>
        </is>
      </c>
      <c r="CH375" s="2" t="inlineStr">
        <is>
          <t>岗位职责</t>
        </is>
      </c>
      <c r="CI375" s="2" t="inlineStr">
        <is>
          <t>重要不紧急</t>
        </is>
      </c>
      <c r="CJ375" s="2" t="inlineStr">
        <is>
          <t>非标准化</t>
        </is>
      </c>
      <c r="CK375" s="2" t="inlineStr">
        <is>
          <t>极少（&lt;5%）</t>
        </is>
      </c>
      <c r="CL375" s="2" t="inlineStr">
        <is>
          <t>沟通/协调负荷</t>
        </is>
      </c>
      <c r="CM375" s="2" t="inlineStr">
        <is>
          <t>需要进一步和提出人沟通事务的需求，但看信息事务申请表，理解业务场景不明确</t>
        </is>
      </c>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row>
    <row r="376">
      <c r="A376" s="2" t="inlineStr">
        <is>
          <t>2026-04-23 21:36:49</t>
        </is>
      </c>
      <c r="B376" s="2" t="inlineStr">
        <is>
          <t>陈岚</t>
        </is>
      </c>
      <c r="C376" s="2" t="inlineStr">
        <is>
          <t>人力资源部</t>
        </is>
      </c>
      <c r="D376" s="2" t="inlineStr">
        <is>
          <t>女</t>
        </is>
      </c>
      <c r="E376" s="2" t="inlineStr">
        <is>
          <t>321023199402012620</t>
        </is>
      </c>
      <c r="F376" s="2" t="inlineStr">
        <is>
          <t>业务主管</t>
        </is>
      </c>
      <c r="G376" s="2" t="inlineStr">
        <is>
          <t>2017-09</t>
        </is>
      </c>
      <c r="H376" s="2" t="inlineStr">
        <is>
          <t>苏州农业职业技术学院</t>
        </is>
      </c>
      <c r="I376" s="2" t="inlineStr">
        <is>
          <t>其他</t>
        </is>
      </c>
      <c r="J376" s="2" t="inlineStr">
        <is>
          <t>大专</t>
        </is>
      </c>
      <c r="K376" s="2"/>
      <c r="L376" s="6">
        <f>HYPERLINK("https://www.h3yun.com/Form/Attachments/?schemacode=D1483577de63ede327d4760b10664bd57671d7e&amp;bizObjectId=26e4d6b6-80bb-4702-ac9b-a3cae73bd2c4&amp;name=F0000046","点击查看")</f>
        <v>0</v>
      </c>
      <c r="M376" s="2" t="inlineStr">
        <is>
          <t>无</t>
        </is>
      </c>
      <c r="N376" s="2" t="inlineStr">
        <is>
          <t>每日工作;每月工作;每季度/阶段性工作;临时/突发工作</t>
        </is>
      </c>
      <c r="O376" s="2" t="inlineStr">
        <is>
          <t>31-35岁</t>
        </is>
      </c>
      <c r="P376" s="2" t="inlineStr">
        <is>
          <t>C.已婚已育</t>
        </is>
      </c>
      <c r="Q376" s="2" t="inlineStr">
        <is>
          <t>B.是，主要照护子女</t>
        </is>
      </c>
      <c r="R376" s="2" t="inlineStr">
        <is>
          <t>B.有1名</t>
        </is>
      </c>
      <c r="S376" s="2" t="inlineStr">
        <is>
          <t>A.保持当前工作内容和节奏，收入相对稳定即可</t>
        </is>
      </c>
      <c r="T376" s="2" t="inlineStr">
        <is>
          <t>A.基本满意，希望保持</t>
        </is>
      </c>
      <c r="U376" s="2" t="inlineStr">
        <is>
          <t>C.增加弹性和稳定性</t>
        </is>
      </c>
      <c r="V376" s="2" t="inlineStr">
        <is>
          <t>A.没有</t>
        </is>
      </c>
      <c r="W376" s="2"/>
      <c r="X376" s="2" t="inlineStr">
        <is>
          <t>B.满负荷 (100%-120%)</t>
        </is>
      </c>
      <c r="Y376" s="2" t="inlineStr">
        <is>
          <t>E.临时差旅、突发事件、会议加班</t>
        </is>
      </c>
      <c r="Z376" s="2" t="inlineStr">
        <is>
          <t>专业问题协调</t>
        </is>
      </c>
      <c r="AA376" s="2" t="inlineStr">
        <is>
          <t>催办</t>
        </is>
      </c>
      <c r="AB376" s="2" t="inlineStr">
        <is>
          <t>专业问题协调</t>
        </is>
      </c>
      <c r="AC376" s="2" t="inlineStr">
        <is>
          <t>A.高度匹配（得心应手）</t>
        </is>
      </c>
      <c r="AD376" s="2" t="inlineStr">
        <is>
          <t>无</t>
        </is>
      </c>
      <c r="AE376" s="2"/>
      <c r="AF376" s="2"/>
      <c r="AG376" s="2" t="inlineStr">
        <is>
          <t>A.配偶为公司家属，常驻南京，不影响</t>
        </is>
      </c>
      <c r="AH376" s="2" t="inlineStr">
        <is>
          <t>D.无意向，但是可能会动态变化</t>
        </is>
      </c>
      <c r="AI376" s="7" t="n">
        <v>0.99</v>
      </c>
      <c r="AJ376" s="7" t="n">
        <v>1.98</v>
      </c>
      <c r="AK376" s="7" t="n">
        <v>0</v>
      </c>
      <c r="AL376" s="7" t="n">
        <v>0</v>
      </c>
      <c r="AM376" s="7" t="n">
        <v>2.62</v>
      </c>
      <c r="AN376" s="7" t="n">
        <v>4.47</v>
      </c>
      <c r="AO376" s="7" t="n">
        <v>0.64</v>
      </c>
      <c r="AP376" s="7" t="n">
        <v>0.67</v>
      </c>
      <c r="AQ376" s="7" t="n">
        <v>0.9</v>
      </c>
      <c r="AR376" s="7" t="n">
        <v>2.12</v>
      </c>
      <c r="AS376" s="7" t="n">
        <v>5.15</v>
      </c>
      <c r="AT376" s="7" t="n">
        <v>9.24</v>
      </c>
      <c r="AU376" s="7" t="n">
        <v>7.2</v>
      </c>
      <c r="AV376" s="2" t="inlineStr">
        <is>
          <t>均衡</t>
        </is>
      </c>
      <c r="AW376" s="2" t="inlineStr">
        <is>
          <t>不一致</t>
        </is>
      </c>
      <c r="AX376" s="2" t="inlineStr">
        <is>
          <t>26e4d6b6-80bb-4702-ac9b-a3cae73bd2c4</t>
        </is>
      </c>
      <c r="AY376" s="2" t="inlineStr">
        <is>
          <t>人力资源部    陈岚</t>
        </is>
      </c>
      <c r="AZ376" s="2" t="inlineStr">
        <is>
          <t>Anonymous</t>
        </is>
      </c>
      <c r="BA376" s="2" t="inlineStr">
        <is>
          <t>Anonymous</t>
        </is>
      </c>
      <c r="BB376" s="2"/>
      <c r="BC376" s="2" t="inlineStr">
        <is>
          <t>2026-05-21 08:43:22</t>
        </is>
      </c>
      <c r="BD376" s="3" t="n">
        <v>1994</v>
      </c>
      <c r="BE376" s="3" t="n">
        <v>32</v>
      </c>
      <c r="BF376" s="2" t="inlineStr">
        <is>
          <t>A.无此需求</t>
        </is>
      </c>
      <c r="BG376" s="2" t="inlineStr">
        <is>
          <t>已生效</t>
        </is>
      </c>
      <c r="BH376" s="2" t="inlineStr">
        <is>
          <t>ac74c3bf-9a11-451c-b9ed-68687ec18a91</t>
        </is>
      </c>
      <c r="BI376" s="3" t="n">
        <v>1</v>
      </c>
      <c r="BJ376" s="2"/>
      <c r="BK376" s="2"/>
      <c r="BL376" s="2"/>
      <c r="BM376" s="2"/>
      <c r="BN376" s="2"/>
      <c r="BO376" s="2"/>
      <c r="BP376" s="2"/>
      <c r="BQ376" s="2"/>
      <c r="BR376" s="2"/>
      <c r="BS376" s="2" t="inlineStr">
        <is>
          <t>1140fda9-5fa8-44b4-9f95-3b23ba0fad04</t>
        </is>
      </c>
      <c r="BT376" s="3" t="n">
        <v>1</v>
      </c>
      <c r="BU376" s="2" t="inlineStr">
        <is>
          <t>专业技术类</t>
        </is>
      </c>
      <c r="BV376" s="2" t="inlineStr">
        <is>
          <t>处理邮件、企业微信、erp、钉钉审批待办事务</t>
        </is>
      </c>
      <c r="BW376" s="2" t="inlineStr">
        <is>
          <t>2-5次</t>
        </is>
      </c>
      <c r="BX376" s="3" t="n">
        <v>2</v>
      </c>
      <c r="BY376" s="3" t="n">
        <v>5</v>
      </c>
      <c r="BZ376" s="2" t="inlineStr">
        <is>
          <t>A.20分钟以内</t>
        </is>
      </c>
      <c r="CA376" s="7" t="n">
        <v>0.33</v>
      </c>
      <c r="CB376" s="7" t="n">
        <v>0.33</v>
      </c>
      <c r="CC376" s="7" t="n">
        <v>0.66</v>
      </c>
      <c r="CD376" s="7" t="n">
        <v>1.65</v>
      </c>
      <c r="CE376" s="2" t="inlineStr">
        <is>
          <t>专业技术类</t>
        </is>
      </c>
      <c r="CF376" s="2"/>
      <c r="CG376" s="2" t="inlineStr">
        <is>
          <t>专业问题协调</t>
        </is>
      </c>
      <c r="CH376" s="2" t="inlineStr">
        <is>
          <t>岗位职责</t>
        </is>
      </c>
      <c r="CI376" s="2" t="inlineStr">
        <is>
          <t>重要不紧急</t>
        </is>
      </c>
      <c r="CJ376" s="2" t="inlineStr">
        <is>
          <t>高度标准化-有成熟SOP，照做即可</t>
        </is>
      </c>
      <c r="CK376" s="2" t="inlineStr">
        <is>
          <t>极少（&lt;5%）</t>
        </is>
      </c>
      <c r="CL376" s="2" t="inlineStr">
        <is>
          <t>沟通/协调负荷</t>
        </is>
      </c>
      <c r="CM376" s="2"/>
      <c r="CN376" s="2" t="inlineStr">
        <is>
          <t>f53574cd-b2d5-4917-a4a4-c1aa6f644067</t>
        </is>
      </c>
      <c r="CO376" s="3" t="n">
        <v>1</v>
      </c>
      <c r="CP376" s="2"/>
      <c r="CQ376" s="2"/>
      <c r="CR376" s="2"/>
      <c r="CS376" s="3"/>
      <c r="CT376" s="3"/>
      <c r="CU376" s="2"/>
      <c r="CV376" s="3"/>
      <c r="CW376" s="3"/>
      <c r="CX376" s="3"/>
      <c r="CY376" s="3"/>
      <c r="CZ376" s="2"/>
      <c r="DA376" s="2"/>
      <c r="DB376" s="2"/>
      <c r="DC376" s="2"/>
      <c r="DD376" s="2"/>
      <c r="DE376" s="2"/>
      <c r="DF376" s="2"/>
      <c r="DG376" s="2"/>
      <c r="DH376" s="2"/>
      <c r="DI376" s="2" t="inlineStr">
        <is>
          <t>19b961c7-4848-48a5-9371-02a50edc45fd</t>
        </is>
      </c>
      <c r="DJ376" s="3" t="n">
        <v>1</v>
      </c>
      <c r="DK376" s="2"/>
      <c r="DL376" s="2" t="inlineStr">
        <is>
          <t>社保费用结算报表</t>
        </is>
      </c>
      <c r="DM376" s="2" t="inlineStr">
        <is>
          <t>1次</t>
        </is>
      </c>
      <c r="DN376" s="3" t="n">
        <v>1</v>
      </c>
      <c r="DO376" s="3" t="n">
        <v>1</v>
      </c>
      <c r="DP376" s="2" t="inlineStr">
        <is>
          <t>E.8小时以上</t>
        </is>
      </c>
      <c r="DQ376" s="7" t="n">
        <v>8</v>
      </c>
      <c r="DR376" s="7" t="n">
        <v>8</v>
      </c>
      <c r="DS376" s="7" t="n">
        <v>8</v>
      </c>
      <c r="DT376" s="7" t="n">
        <v>8</v>
      </c>
      <c r="DU376" s="2" t="inlineStr">
        <is>
          <t>数据报表类</t>
        </is>
      </c>
      <c r="DV376" s="2"/>
      <c r="DW376" s="2" t="inlineStr">
        <is>
          <t>月报</t>
        </is>
      </c>
      <c r="DX376" s="2" t="inlineStr">
        <is>
          <t>岗位职责</t>
        </is>
      </c>
      <c r="DY376" s="2" t="inlineStr">
        <is>
          <t>重要不紧急</t>
        </is>
      </c>
      <c r="DZ376" s="2" t="inlineStr">
        <is>
          <t>半标准化-有流程框架，需专业经验</t>
        </is>
      </c>
      <c r="EA376" s="2" t="inlineStr">
        <is>
          <t>极少（&lt;5%）</t>
        </is>
      </c>
      <c r="EB376" s="2" t="inlineStr">
        <is>
          <t>脑力/复杂度负荷</t>
        </is>
      </c>
      <c r="EC376" s="2"/>
      <c r="ED376" s="2" t="inlineStr">
        <is>
          <t>29c18573-0564-4cbf-b50f-3d21acff2e4b</t>
        </is>
      </c>
      <c r="EE376" s="3" t="n">
        <v>1</v>
      </c>
      <c r="EF376" s="2"/>
      <c r="EG376" s="2" t="inlineStr">
        <is>
          <t>医药费审核</t>
        </is>
      </c>
      <c r="EH376" s="2" t="inlineStr">
        <is>
          <t>3次及以上</t>
        </is>
      </c>
      <c r="EI376" s="3" t="n">
        <v>3</v>
      </c>
      <c r="EJ376" s="2" t="inlineStr">
        <is>
          <t>E.8小时以上</t>
        </is>
      </c>
      <c r="EK376" s="7" t="n">
        <v>8</v>
      </c>
      <c r="EL376" s="7" t="n">
        <v>8</v>
      </c>
      <c r="EM376" s="7" t="n">
        <v>24</v>
      </c>
      <c r="EN376" s="7" t="n">
        <v>24</v>
      </c>
      <c r="EO376" s="2" t="inlineStr">
        <is>
          <t>数据报表类</t>
        </is>
      </c>
      <c r="EP376" s="2"/>
      <c r="EQ376" s="2" t="inlineStr">
        <is>
          <t>专项统计</t>
        </is>
      </c>
      <c r="ER376" s="2" t="inlineStr">
        <is>
          <t>岗位职责</t>
        </is>
      </c>
      <c r="ES376" s="2" t="inlineStr">
        <is>
          <t>重要不紧急</t>
        </is>
      </c>
      <c r="ET376" s="2" t="inlineStr">
        <is>
          <t>高度标准化</t>
        </is>
      </c>
      <c r="EU376" s="2" t="inlineStr">
        <is>
          <t>极少（&lt;5%）</t>
        </is>
      </c>
      <c r="EV376" s="2" t="inlineStr">
        <is>
          <t>时效/强度负荷</t>
        </is>
      </c>
      <c r="EW376" s="2"/>
      <c r="EX376" s="2" t="inlineStr">
        <is>
          <t>43f4afe9-7ef1-4e1f-8db9-18d973eb0c34</t>
        </is>
      </c>
      <c r="EY376" s="3" t="n">
        <v>1</v>
      </c>
      <c r="EZ376" s="2"/>
      <c r="FA376" s="2" t="inlineStr">
        <is>
          <t>丧葬费</t>
        </is>
      </c>
      <c r="FB376" s="2" t="inlineStr">
        <is>
          <t>每年1-2次</t>
        </is>
      </c>
      <c r="FC376" s="2" t="inlineStr">
        <is>
          <t>年</t>
        </is>
      </c>
      <c r="FD376" s="3" t="n">
        <v>1</v>
      </c>
      <c r="FE376" s="3" t="n">
        <v>2</v>
      </c>
      <c r="FF376" s="2" t="inlineStr">
        <is>
          <t>D.4-8小时</t>
        </is>
      </c>
      <c r="FG376" s="7" t="n">
        <v>4</v>
      </c>
      <c r="FH376" s="7" t="n">
        <v>8</v>
      </c>
      <c r="FI376" s="7" t="n">
        <v>0</v>
      </c>
      <c r="FJ376" s="7" t="n">
        <v>0</v>
      </c>
      <c r="FK376" s="7" t="n">
        <v>0</v>
      </c>
      <c r="FL376" s="7" t="n">
        <v>0</v>
      </c>
      <c r="FM376" s="7" t="n">
        <v>4</v>
      </c>
      <c r="FN376" s="7" t="n">
        <v>16</v>
      </c>
      <c r="FO376" s="2" t="inlineStr">
        <is>
          <t>协调沟通类</t>
        </is>
      </c>
      <c r="FP376" s="2"/>
      <c r="FQ376" s="2" t="inlineStr">
        <is>
          <t>外部联络</t>
        </is>
      </c>
      <c r="FR376" s="2" t="inlineStr">
        <is>
          <t>岗位职责</t>
        </is>
      </c>
      <c r="FS376" s="2" t="inlineStr">
        <is>
          <t>重要且紧急</t>
        </is>
      </c>
      <c r="FT376" s="2" t="inlineStr">
        <is>
          <t>高度标准化</t>
        </is>
      </c>
      <c r="FU376" s="2" t="inlineStr">
        <is>
          <t>极少（&lt;5%）</t>
        </is>
      </c>
      <c r="FV376" s="2" t="inlineStr">
        <is>
          <t>沟通/协调负荷</t>
        </is>
      </c>
      <c r="FW376" s="2" t="inlineStr">
        <is>
          <t>频率不固定 但没有选项</t>
        </is>
      </c>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t="inlineStr">
        <is>
          <t>dc96fa61-8d7f-43a0-9c43-574f4e988147</t>
        </is>
      </c>
      <c r="BT377" s="3" t="n">
        <v>2</v>
      </c>
      <c r="BU377" s="2" t="inlineStr">
        <is>
          <t>专业技术类</t>
        </is>
      </c>
      <c r="BV377" s="2" t="inlineStr">
        <is>
          <t>回复各类社保问题</t>
        </is>
      </c>
      <c r="BW377" s="2" t="inlineStr">
        <is>
          <t>1次</t>
        </is>
      </c>
      <c r="BX377" s="3" t="n">
        <v>1</v>
      </c>
      <c r="BY377" s="3" t="n">
        <v>1</v>
      </c>
      <c r="BZ377" s="2" t="inlineStr">
        <is>
          <t>A.20分钟以内</t>
        </is>
      </c>
      <c r="CA377" s="7" t="n">
        <v>0.33</v>
      </c>
      <c r="CB377" s="7" t="n">
        <v>0.33</v>
      </c>
      <c r="CC377" s="7" t="n">
        <v>0.33</v>
      </c>
      <c r="CD377" s="7" t="n">
        <v>0.33</v>
      </c>
      <c r="CE377" s="2" t="inlineStr">
        <is>
          <t>专业技术类</t>
        </is>
      </c>
      <c r="CF377" s="2"/>
      <c r="CG377" s="2" t="inlineStr">
        <is>
          <t>专业问题协调</t>
        </is>
      </c>
      <c r="CH377" s="2" t="inlineStr">
        <is>
          <t>岗位职责</t>
        </is>
      </c>
      <c r="CI377" s="2" t="inlineStr">
        <is>
          <t>重要不紧急</t>
        </is>
      </c>
      <c r="CJ377" s="2" t="inlineStr">
        <is>
          <t>半标准化-有流程框架，需专业经验</t>
        </is>
      </c>
      <c r="CK377" s="2" t="inlineStr">
        <is>
          <t>极少（&lt;5%）</t>
        </is>
      </c>
      <c r="CL377" s="2" t="inlineStr">
        <is>
          <t>沟通/协调负荷</t>
        </is>
      </c>
      <c r="CM377" s="2"/>
      <c r="CN377" s="2"/>
      <c r="CO377" s="2"/>
      <c r="CP377" s="2"/>
      <c r="CQ377" s="2"/>
      <c r="CR377" s="2"/>
      <c r="CS377" s="2"/>
      <c r="CT377" s="2"/>
      <c r="CU377" s="2"/>
      <c r="CV377" s="2"/>
      <c r="CW377" s="2"/>
      <c r="CX377" s="2"/>
      <c r="CY377" s="2"/>
      <c r="CZ377" s="2"/>
      <c r="DA377" s="2"/>
      <c r="DB377" s="2"/>
      <c r="DC377" s="2"/>
      <c r="DD377" s="2"/>
      <c r="DE377" s="2"/>
      <c r="DF377" s="2"/>
      <c r="DG377" s="2"/>
      <c r="DH377" s="2"/>
      <c r="DI377" s="2" t="inlineStr">
        <is>
          <t>0c5f2026-e2d3-4625-96c3-3e069d5f90f4</t>
        </is>
      </c>
      <c r="DJ377" s="3" t="n">
        <v>2</v>
      </c>
      <c r="DK377" s="2"/>
      <c r="DL377" s="2" t="inlineStr">
        <is>
          <t>社保公积金费用划拨</t>
        </is>
      </c>
      <c r="DM377" s="2" t="inlineStr">
        <is>
          <t>1次</t>
        </is>
      </c>
      <c r="DN377" s="3" t="n">
        <v>1</v>
      </c>
      <c r="DO377" s="3" t="n">
        <v>1</v>
      </c>
      <c r="DP377" s="2" t="inlineStr">
        <is>
          <t>D.4-8小时</t>
        </is>
      </c>
      <c r="DQ377" s="7" t="n">
        <v>4</v>
      </c>
      <c r="DR377" s="7" t="n">
        <v>8</v>
      </c>
      <c r="DS377" s="7" t="n">
        <v>4</v>
      </c>
      <c r="DT377" s="7" t="n">
        <v>8</v>
      </c>
      <c r="DU377" s="2" t="inlineStr">
        <is>
          <t>流程审批类</t>
        </is>
      </c>
      <c r="DV377" s="2"/>
      <c r="DW377" s="2" t="inlineStr">
        <is>
          <t>付款审批</t>
        </is>
      </c>
      <c r="DX377" s="2" t="inlineStr">
        <is>
          <t>岗位职责</t>
        </is>
      </c>
      <c r="DY377" s="2" t="inlineStr">
        <is>
          <t>重要不紧急</t>
        </is>
      </c>
      <c r="DZ377" s="2" t="inlineStr">
        <is>
          <t>半标准化-有流程框架，需专业经验</t>
        </is>
      </c>
      <c r="EA377" s="2" t="inlineStr">
        <is>
          <t>极少（&lt;5%）</t>
        </is>
      </c>
      <c r="EB377" s="2" t="inlineStr">
        <is>
          <t>脑力/复杂度负荷</t>
        </is>
      </c>
      <c r="EC377" s="2"/>
      <c r="ED377" s="2" t="inlineStr">
        <is>
          <t>4cc62609-f562-44f7-b6fb-68a3a2481ebf</t>
        </is>
      </c>
      <c r="EE377" s="3" t="n">
        <v>2</v>
      </c>
      <c r="EF377" s="2"/>
      <c r="EG377" s="2" t="inlineStr">
        <is>
          <t>社保基数测算申报调整等一系列·</t>
        </is>
      </c>
      <c r="EH377" s="2" t="inlineStr">
        <is>
          <t>2次</t>
        </is>
      </c>
      <c r="EI377" s="3" t="n">
        <v>2</v>
      </c>
      <c r="EJ377" s="2" t="inlineStr">
        <is>
          <t>E.8小时以上</t>
        </is>
      </c>
      <c r="EK377" s="7" t="n">
        <v>8</v>
      </c>
      <c r="EL377" s="7" t="n">
        <v>8</v>
      </c>
      <c r="EM377" s="7" t="n">
        <v>16</v>
      </c>
      <c r="EN377" s="7" t="n">
        <v>16</v>
      </c>
      <c r="EO377" s="2" t="inlineStr">
        <is>
          <t>数据报表类</t>
        </is>
      </c>
      <c r="EP377" s="2"/>
      <c r="EQ377" s="2" t="inlineStr">
        <is>
          <t>监管报送</t>
        </is>
      </c>
      <c r="ER377" s="2" t="inlineStr">
        <is>
          <t>上级指令</t>
        </is>
      </c>
      <c r="ES377" s="2" t="inlineStr">
        <is>
          <t>重要且紧急</t>
        </is>
      </c>
      <c r="ET377" s="2" t="inlineStr">
        <is>
          <t>高度标准化</t>
        </is>
      </c>
      <c r="EU377" s="2" t="inlineStr">
        <is>
          <t>极少（&lt;5%）</t>
        </is>
      </c>
      <c r="EV377" s="2" t="inlineStr">
        <is>
          <t>脑力/复杂度负荷</t>
        </is>
      </c>
      <c r="EW377" s="2"/>
      <c r="EX377" s="2" t="inlineStr">
        <is>
          <t>2922c7bb-1954-4812-8a4d-354b8b95421c</t>
        </is>
      </c>
      <c r="EY377" s="3" t="n">
        <v>2</v>
      </c>
      <c r="EZ377" s="2"/>
      <c r="FA377" s="2" t="inlineStr">
        <is>
          <t>早年社保遗留问题</t>
        </is>
      </c>
      <c r="FB377" s="2" t="inlineStr">
        <is>
          <t>每年3次以上</t>
        </is>
      </c>
      <c r="FC377" s="2" t="inlineStr">
        <is>
          <t>年</t>
        </is>
      </c>
      <c r="FD377" s="3" t="n">
        <v>3</v>
      </c>
      <c r="FE377" s="3" t="n">
        <v>3</v>
      </c>
      <c r="FF377" s="2" t="inlineStr">
        <is>
          <t>E.8小时以上</t>
        </is>
      </c>
      <c r="FG377" s="7" t="n">
        <v>8</v>
      </c>
      <c r="FH377" s="7" t="n">
        <v>8</v>
      </c>
      <c r="FI377" s="7" t="n">
        <v>0</v>
      </c>
      <c r="FJ377" s="7" t="n">
        <v>0</v>
      </c>
      <c r="FK377" s="7" t="n">
        <v>0</v>
      </c>
      <c r="FL377" s="7" t="n">
        <v>0</v>
      </c>
      <c r="FM377" s="7" t="n">
        <v>24</v>
      </c>
      <c r="FN377" s="7" t="n">
        <v>24</v>
      </c>
      <c r="FO377" s="2" t="inlineStr">
        <is>
          <t>协调沟通类</t>
        </is>
      </c>
      <c r="FP377" s="2"/>
      <c r="FQ377" s="2" t="inlineStr">
        <is>
          <t>外部联络</t>
        </is>
      </c>
      <c r="FR377" s="2" t="inlineStr">
        <is>
          <t>岗位职责</t>
        </is>
      </c>
      <c r="FS377" s="2" t="inlineStr">
        <is>
          <t>重要且紧急</t>
        </is>
      </c>
      <c r="FT377" s="2" t="inlineStr">
        <is>
          <t>高度标准化</t>
        </is>
      </c>
      <c r="FU377" s="2" t="inlineStr">
        <is>
          <t>极少（&lt;5%）</t>
        </is>
      </c>
      <c r="FV377" s="2" t="inlineStr">
        <is>
          <t>沟通/协调负荷</t>
        </is>
      </c>
      <c r="FW377" s="2" t="inlineStr">
        <is>
          <t>频率不固定 但没有选项</t>
        </is>
      </c>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t="inlineStr">
        <is>
          <t>ffc1dc9f-9f1d-478c-bf7a-92a8bd75c077</t>
        </is>
      </c>
      <c r="DJ378" s="3" t="n">
        <v>3</v>
      </c>
      <c r="DK378" s="2"/>
      <c r="DL378" s="2" t="inlineStr">
        <is>
          <t>退休档案核定申报审核办理等一系列</t>
        </is>
      </c>
      <c r="DM378" s="2" t="inlineStr">
        <is>
          <t>2-3次</t>
        </is>
      </c>
      <c r="DN378" s="3" t="n">
        <v>2</v>
      </c>
      <c r="DO378" s="3" t="n">
        <v>3</v>
      </c>
      <c r="DP378" s="2" t="inlineStr">
        <is>
          <t>E.8小时以上</t>
        </is>
      </c>
      <c r="DQ378" s="7" t="n">
        <v>8</v>
      </c>
      <c r="DR378" s="7" t="n">
        <v>8</v>
      </c>
      <c r="DS378" s="7" t="n">
        <v>16</v>
      </c>
      <c r="DT378" s="7" t="n">
        <v>24</v>
      </c>
      <c r="DU378" s="2" t="inlineStr">
        <is>
          <t>协调沟通类</t>
        </is>
      </c>
      <c r="DV378" s="2"/>
      <c r="DW378" s="2" t="inlineStr">
        <is>
          <t>外部联络</t>
        </is>
      </c>
      <c r="DX378" s="2" t="inlineStr">
        <is>
          <t>岗位职责</t>
        </is>
      </c>
      <c r="DY378" s="2" t="inlineStr">
        <is>
          <t>重要且紧急</t>
        </is>
      </c>
      <c r="DZ378" s="2" t="inlineStr">
        <is>
          <t>半标准化-有流程框架，需专业经验</t>
        </is>
      </c>
      <c r="EA378" s="2" t="inlineStr">
        <is>
          <t>低频（5%-10%）</t>
        </is>
      </c>
      <c r="EB378" s="2" t="inlineStr">
        <is>
          <t>沟通/协调负荷</t>
        </is>
      </c>
      <c r="EC378" s="2"/>
      <c r="ED378" s="2" t="inlineStr">
        <is>
          <t>09883386-8d6d-49ad-b8fa-1dba8cc4d885</t>
        </is>
      </c>
      <c r="EE378" s="3" t="n">
        <v>3</v>
      </c>
      <c r="EF378" s="2"/>
      <c r="EG378" s="2" t="inlineStr">
        <is>
          <t>公积金基数申报调整</t>
        </is>
      </c>
      <c r="EH378" s="2" t="inlineStr">
        <is>
          <t>1次</t>
        </is>
      </c>
      <c r="EI378" s="3" t="n">
        <v>1</v>
      </c>
      <c r="EJ378" s="2" t="inlineStr">
        <is>
          <t>E.8小时以上</t>
        </is>
      </c>
      <c r="EK378" s="7" t="n">
        <v>8</v>
      </c>
      <c r="EL378" s="7" t="n">
        <v>8</v>
      </c>
      <c r="EM378" s="7" t="n">
        <v>8</v>
      </c>
      <c r="EN378" s="7" t="n">
        <v>8</v>
      </c>
      <c r="EO378" s="2" t="inlineStr">
        <is>
          <t>数据报表类</t>
        </is>
      </c>
      <c r="EP378" s="2"/>
      <c r="EQ378" s="2" t="inlineStr">
        <is>
          <t>监管报送</t>
        </is>
      </c>
      <c r="ER378" s="2" t="inlineStr">
        <is>
          <t>上级指令</t>
        </is>
      </c>
      <c r="ES378" s="2" t="inlineStr">
        <is>
          <t>重要且紧急</t>
        </is>
      </c>
      <c r="ET378" s="2" t="inlineStr">
        <is>
          <t>高度标准化</t>
        </is>
      </c>
      <c r="EU378" s="2" t="inlineStr">
        <is>
          <t>极少（&lt;5%）</t>
        </is>
      </c>
      <c r="EV378" s="2" t="inlineStr">
        <is>
          <t>沟通/协调负荷</t>
        </is>
      </c>
      <c r="EW378" s="2"/>
      <c r="EX378" s="2" t="inlineStr">
        <is>
          <t>60109b57-5896-4d5d-b5b7-6b0dfe82ec08</t>
        </is>
      </c>
      <c r="EY378" s="3" t="n">
        <v>3</v>
      </c>
      <c r="EZ378" s="2"/>
      <c r="FA378" s="2" t="inlineStr">
        <is>
          <t>社保局会议学习</t>
        </is>
      </c>
      <c r="FB378" s="2" t="inlineStr">
        <is>
          <t>每月1-2次</t>
        </is>
      </c>
      <c r="FC378" s="2" t="inlineStr">
        <is>
          <t>月</t>
        </is>
      </c>
      <c r="FD378" s="3" t="n">
        <v>1</v>
      </c>
      <c r="FE378" s="3" t="n">
        <v>2</v>
      </c>
      <c r="FF378" s="2" t="inlineStr">
        <is>
          <t>D.4-8小时</t>
        </is>
      </c>
      <c r="FG378" s="7" t="n">
        <v>4</v>
      </c>
      <c r="FH378" s="7" t="n">
        <v>8</v>
      </c>
      <c r="FI378" s="7" t="n">
        <v>4</v>
      </c>
      <c r="FJ378" s="7" t="n">
        <v>16</v>
      </c>
      <c r="FK378" s="7" t="n">
        <v>0</v>
      </c>
      <c r="FL378" s="7" t="n">
        <v>0</v>
      </c>
      <c r="FM378" s="7" t="n">
        <v>0</v>
      </c>
      <c r="FN378" s="7" t="n">
        <v>0</v>
      </c>
      <c r="FO378" s="2" t="inlineStr">
        <is>
          <t>协调沟通类</t>
        </is>
      </c>
      <c r="FP378" s="2"/>
      <c r="FQ378" s="2" t="inlineStr">
        <is>
          <t>外部联络</t>
        </is>
      </c>
      <c r="FR378" s="2" t="inlineStr">
        <is>
          <t>岗位职责</t>
        </is>
      </c>
      <c r="FS378" s="2" t="inlineStr">
        <is>
          <t>重要且紧急</t>
        </is>
      </c>
      <c r="FT378" s="2" t="inlineStr">
        <is>
          <t>高度标准化</t>
        </is>
      </c>
      <c r="FU378" s="2" t="inlineStr">
        <is>
          <t>极少（&lt;5%）</t>
        </is>
      </c>
      <c r="FV378" s="2" t="inlineStr">
        <is>
          <t>沟通/协调负荷</t>
        </is>
      </c>
      <c r="FW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t="inlineStr">
        <is>
          <t>b42ef999-1a04-423a-813e-ce1be7c4a3a9</t>
        </is>
      </c>
      <c r="DJ379" s="3" t="n">
        <v>4</v>
      </c>
      <c r="DK379" s="2"/>
      <c r="DL379" s="2" t="inlineStr">
        <is>
          <t>部门月度会议</t>
        </is>
      </c>
      <c r="DM379" s="2" t="inlineStr">
        <is>
          <t>1次</t>
        </is>
      </c>
      <c r="DN379" s="3" t="n">
        <v>1</v>
      </c>
      <c r="DO379" s="3" t="n">
        <v>1</v>
      </c>
      <c r="DP379" s="2" t="inlineStr">
        <is>
          <t>C.2-4小时</t>
        </is>
      </c>
      <c r="DQ379" s="7" t="n">
        <v>2</v>
      </c>
      <c r="DR379" s="7" t="n">
        <v>4</v>
      </c>
      <c r="DS379" s="7" t="n">
        <v>2</v>
      </c>
      <c r="DT379" s="7" t="n">
        <v>4</v>
      </c>
      <c r="DU379" s="2" t="inlineStr">
        <is>
          <t>行政事务类</t>
        </is>
      </c>
      <c r="DV379" s="2"/>
      <c r="DW379" s="2" t="inlineStr">
        <is>
          <t>会议安排</t>
        </is>
      </c>
      <c r="DX379" s="2" t="inlineStr">
        <is>
          <t>部门计划</t>
        </is>
      </c>
      <c r="DY379" s="2" t="inlineStr">
        <is>
          <t>重要且紧急</t>
        </is>
      </c>
      <c r="DZ379" s="2" t="inlineStr">
        <is>
          <t>半标准化-有流程框架，需专业经验</t>
        </is>
      </c>
      <c r="EA379" s="2" t="inlineStr">
        <is>
          <t>极少（&lt;5%）</t>
        </is>
      </c>
      <c r="EB379" s="2" t="inlineStr">
        <is>
          <t>沟通/协调负荷</t>
        </is>
      </c>
      <c r="EC379" s="2"/>
      <c r="ED379" s="2" t="inlineStr">
        <is>
          <t>6292b453-a758-44e9-a2e9-3fa71abba8da</t>
        </is>
      </c>
      <c r="EE379" s="3" t="n">
        <v>4</v>
      </c>
      <c r="EF379" s="2"/>
      <c r="EG379" s="2" t="inlineStr">
        <is>
          <t>招聘面试</t>
        </is>
      </c>
      <c r="EH379" s="2" t="inlineStr">
        <is>
          <t>3次及以上</t>
        </is>
      </c>
      <c r="EI379" s="3" t="n">
        <v>3</v>
      </c>
      <c r="EJ379" s="2" t="inlineStr">
        <is>
          <t>E.8小时以上</t>
        </is>
      </c>
      <c r="EK379" s="7" t="n">
        <v>8</v>
      </c>
      <c r="EL379" s="7" t="n">
        <v>8</v>
      </c>
      <c r="EM379" s="7" t="n">
        <v>24</v>
      </c>
      <c r="EN379" s="7" t="n">
        <v>24</v>
      </c>
      <c r="EO379" s="2" t="inlineStr">
        <is>
          <t>协调沟通类</t>
        </is>
      </c>
      <c r="EP379" s="2"/>
      <c r="EQ379" s="2" t="inlineStr">
        <is>
          <t>外部联络</t>
        </is>
      </c>
      <c r="ER379" s="2" t="inlineStr">
        <is>
          <t>部门计划</t>
        </is>
      </c>
      <c r="ES379" s="2" t="inlineStr">
        <is>
          <t>重要不紧急</t>
        </is>
      </c>
      <c r="ET379" s="2" t="inlineStr">
        <is>
          <t>高度标准化</t>
        </is>
      </c>
      <c r="EU379" s="2" t="inlineStr">
        <is>
          <t>低频（5%-10%）</t>
        </is>
      </c>
      <c r="EV379" s="2" t="inlineStr">
        <is>
          <t>沟通/协调负荷</t>
        </is>
      </c>
      <c r="EW379" s="2"/>
      <c r="EX379" s="2" t="inlineStr">
        <is>
          <t>1503eaa9-f424-4450-9df7-04e9cacbe226</t>
        </is>
      </c>
      <c r="EY379" s="3" t="n">
        <v>4</v>
      </c>
      <c r="EZ379" s="2"/>
      <c r="FA379" s="2" t="inlineStr">
        <is>
          <t>挂靠人员社保费用核算</t>
        </is>
      </c>
      <c r="FB379" s="2" t="inlineStr">
        <is>
          <t>每月1-2次</t>
        </is>
      </c>
      <c r="FC379" s="2" t="inlineStr">
        <is>
          <t>月</t>
        </is>
      </c>
      <c r="FD379" s="3" t="n">
        <v>1</v>
      </c>
      <c r="FE379" s="3" t="n">
        <v>2</v>
      </c>
      <c r="FF379" s="2" t="inlineStr">
        <is>
          <t>C.2-4小时</t>
        </is>
      </c>
      <c r="FG379" s="7" t="n">
        <v>2</v>
      </c>
      <c r="FH379" s="7" t="n">
        <v>4</v>
      </c>
      <c r="FI379" s="7" t="n">
        <v>2</v>
      </c>
      <c r="FJ379" s="7" t="n">
        <v>8</v>
      </c>
      <c r="FK379" s="7" t="n">
        <v>0</v>
      </c>
      <c r="FL379" s="7" t="n">
        <v>0</v>
      </c>
      <c r="FM379" s="7" t="n">
        <v>0</v>
      </c>
      <c r="FN379" s="7" t="n">
        <v>0</v>
      </c>
      <c r="FO379" s="2" t="inlineStr">
        <is>
          <t>数据报表类</t>
        </is>
      </c>
      <c r="FP379" s="2"/>
      <c r="FQ379" s="2" t="inlineStr">
        <is>
          <t>专项统计</t>
        </is>
      </c>
      <c r="FR379" s="2" t="inlineStr">
        <is>
          <t>跨部门协同</t>
        </is>
      </c>
      <c r="FS379" s="2" t="inlineStr">
        <is>
          <t>重要不紧急</t>
        </is>
      </c>
      <c r="FT379" s="2" t="inlineStr">
        <is>
          <t>高度标准化</t>
        </is>
      </c>
      <c r="FU379" s="2" t="inlineStr">
        <is>
          <t>极少（&lt;5%）</t>
        </is>
      </c>
      <c r="FV379" s="2" t="inlineStr">
        <is>
          <t>脑力/复杂度负荷</t>
        </is>
      </c>
      <c r="FW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t="inlineStr">
        <is>
          <t>2302f40a-0e30-4eb6-8989-83c0dcf7f28f</t>
        </is>
      </c>
      <c r="DJ380" s="3" t="n">
        <v>5</v>
      </c>
      <c r="DK380" s="2"/>
      <c r="DL380" s="2" t="inlineStr">
        <is>
          <t>月度会议汇报总结</t>
        </is>
      </c>
      <c r="DM380" s="2" t="inlineStr">
        <is>
          <t>1次</t>
        </is>
      </c>
      <c r="DN380" s="3" t="n">
        <v>1</v>
      </c>
      <c r="DO380" s="3" t="n">
        <v>1</v>
      </c>
      <c r="DP380" s="2" t="inlineStr">
        <is>
          <t>C.2-4小时</t>
        </is>
      </c>
      <c r="DQ380" s="7" t="n">
        <v>2</v>
      </c>
      <c r="DR380" s="7" t="n">
        <v>4</v>
      </c>
      <c r="DS380" s="7" t="n">
        <v>2</v>
      </c>
      <c r="DT380" s="7" t="n">
        <v>4</v>
      </c>
      <c r="DU380" s="2" t="inlineStr">
        <is>
          <t>行政事务类</t>
        </is>
      </c>
      <c r="DV380" s="2"/>
      <c r="DW380" s="2" t="inlineStr">
        <is>
          <t>日常台账</t>
        </is>
      </c>
      <c r="DX380" s="2" t="inlineStr">
        <is>
          <t>部门计划</t>
        </is>
      </c>
      <c r="DY380" s="2" t="inlineStr">
        <is>
          <t>重要且紧急</t>
        </is>
      </c>
      <c r="DZ380" s="2" t="inlineStr">
        <is>
          <t>半标准化-有流程框架，需专业经验</t>
        </is>
      </c>
      <c r="EA380" s="2" t="inlineStr">
        <is>
          <t>极少（&lt;5%）</t>
        </is>
      </c>
      <c r="EB380" s="2" t="inlineStr">
        <is>
          <t>时效/强度负荷</t>
        </is>
      </c>
      <c r="EC380" s="2"/>
      <c r="ED380" s="2" t="inlineStr">
        <is>
          <t>6f030998-b3b1-44ee-963c-7e3e98a6374f</t>
        </is>
      </c>
      <c r="EE380" s="3" t="n">
        <v>5</v>
      </c>
      <c r="EF380" s="2"/>
      <c r="EG380" s="2" t="inlineStr">
        <is>
          <t>新员工社保卡</t>
        </is>
      </c>
      <c r="EH380" s="2" t="inlineStr">
        <is>
          <t>1次</t>
        </is>
      </c>
      <c r="EI380" s="3" t="n">
        <v>1</v>
      </c>
      <c r="EJ380" s="2" t="inlineStr">
        <is>
          <t>E.8小时以上</t>
        </is>
      </c>
      <c r="EK380" s="7" t="n">
        <v>8</v>
      </c>
      <c r="EL380" s="7" t="n">
        <v>8</v>
      </c>
      <c r="EM380" s="7" t="n">
        <v>8</v>
      </c>
      <c r="EN380" s="7" t="n">
        <v>8</v>
      </c>
      <c r="EO380" s="2" t="inlineStr">
        <is>
          <t>协调沟通类</t>
        </is>
      </c>
      <c r="EP380" s="2"/>
      <c r="EQ380" s="2" t="inlineStr">
        <is>
          <t>外部联络</t>
        </is>
      </c>
      <c r="ER380" s="2" t="inlineStr">
        <is>
          <t>岗位职责</t>
        </is>
      </c>
      <c r="ES380" s="2" t="inlineStr">
        <is>
          <t>重要不紧急</t>
        </is>
      </c>
      <c r="ET380" s="2" t="inlineStr">
        <is>
          <t>高度标准化</t>
        </is>
      </c>
      <c r="EU380" s="2" t="inlineStr">
        <is>
          <t>极少（&lt;5%）</t>
        </is>
      </c>
      <c r="EV380" s="2" t="inlineStr">
        <is>
          <t>沟通/协调负荷</t>
        </is>
      </c>
      <c r="EW380" s="2"/>
      <c r="EX380" s="2" t="inlineStr">
        <is>
          <t>4ec4f1b8-5654-4d2d-9415-55d37ee9d904</t>
        </is>
      </c>
      <c r="EY380" s="3" t="n">
        <v>5</v>
      </c>
      <c r="EZ380" s="2"/>
      <c r="FA380" s="2" t="inlineStr">
        <is>
          <t>领导需要各类社保类报表</t>
        </is>
      </c>
      <c r="FB380" s="2" t="inlineStr">
        <is>
          <t>每月1-2次</t>
        </is>
      </c>
      <c r="FC380" s="2" t="inlineStr">
        <is>
          <t>月</t>
        </is>
      </c>
      <c r="FD380" s="3" t="n">
        <v>1</v>
      </c>
      <c r="FE380" s="3" t="n">
        <v>2</v>
      </c>
      <c r="FF380" s="2" t="inlineStr">
        <is>
          <t>B.2小时以内</t>
        </is>
      </c>
      <c r="FG380" s="7" t="n">
        <v>2</v>
      </c>
      <c r="FH380" s="7" t="n">
        <v>2</v>
      </c>
      <c r="FI380" s="7" t="n">
        <v>2</v>
      </c>
      <c r="FJ380" s="7" t="n">
        <v>4</v>
      </c>
      <c r="FK380" s="7" t="n">
        <v>0</v>
      </c>
      <c r="FL380" s="7" t="n">
        <v>0</v>
      </c>
      <c r="FM380" s="7" t="n">
        <v>0</v>
      </c>
      <c r="FN380" s="7" t="n">
        <v>0</v>
      </c>
      <c r="FO380" s="2" t="inlineStr">
        <is>
          <t>数据报表类</t>
        </is>
      </c>
      <c r="FP380" s="2"/>
      <c r="FQ380" s="2" t="inlineStr">
        <is>
          <t>专项统计</t>
        </is>
      </c>
      <c r="FR380" s="2" t="inlineStr">
        <is>
          <t>上级指令</t>
        </is>
      </c>
      <c r="FS380" s="2" t="inlineStr">
        <is>
          <t>重要且紧急</t>
        </is>
      </c>
      <c r="FT380" s="2" t="inlineStr">
        <is>
          <t>高度标准化</t>
        </is>
      </c>
      <c r="FU380" s="2" t="inlineStr">
        <is>
          <t>极少（&lt;5%）</t>
        </is>
      </c>
      <c r="FV380" s="2" t="inlineStr">
        <is>
          <t>时效/强度负荷</t>
        </is>
      </c>
      <c r="FW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t="inlineStr">
        <is>
          <t>d7498337-1795-448b-b7ad-f1a7abab422d</t>
        </is>
      </c>
      <c r="DJ381" s="3" t="n">
        <v>6</v>
      </c>
      <c r="DK381" s="2"/>
      <c r="DL381" s="2" t="inlineStr">
        <is>
          <t>erp系统社保台账更新</t>
        </is>
      </c>
      <c r="DM381" s="2" t="inlineStr">
        <is>
          <t>2-3次</t>
        </is>
      </c>
      <c r="DN381" s="3" t="n">
        <v>2</v>
      </c>
      <c r="DO381" s="3" t="n">
        <v>3</v>
      </c>
      <c r="DP381" s="2" t="inlineStr">
        <is>
          <t>A.20分钟以内</t>
        </is>
      </c>
      <c r="DQ381" s="7" t="n">
        <v>0.33</v>
      </c>
      <c r="DR381" s="7" t="n">
        <v>0.33</v>
      </c>
      <c r="DS381" s="7" t="n">
        <v>0.66</v>
      </c>
      <c r="DT381" s="7" t="n">
        <v>0.99</v>
      </c>
      <c r="DU381" s="2" t="inlineStr">
        <is>
          <t>数据报表类</t>
        </is>
      </c>
      <c r="DV381" s="2"/>
      <c r="DW381" s="2" t="inlineStr">
        <is>
          <t>专项统计</t>
        </is>
      </c>
      <c r="DX381" s="2" t="inlineStr">
        <is>
          <t>岗位职责</t>
        </is>
      </c>
      <c r="DY381" s="2" t="inlineStr">
        <is>
          <t>重要不紧急</t>
        </is>
      </c>
      <c r="DZ381" s="2" t="inlineStr">
        <is>
          <t>高度标准化-有成熟SOP，照做即可</t>
        </is>
      </c>
      <c r="EA381" s="2" t="inlineStr">
        <is>
          <t>极少（&lt;5%）</t>
        </is>
      </c>
      <c r="EB381" s="2" t="inlineStr">
        <is>
          <t>时效/强度负荷</t>
        </is>
      </c>
      <c r="EC381" s="2"/>
      <c r="ED381" s="2" t="inlineStr">
        <is>
          <t>63487a2e-098a-44c2-9236-09b3e6cdce27</t>
        </is>
      </c>
      <c r="EE381" s="3" t="n">
        <v>6</v>
      </c>
      <c r="EF381" s="2"/>
      <c r="EG381" s="2" t="inlineStr">
        <is>
          <t>政府社保类补贴申请</t>
        </is>
      </c>
      <c r="EH381" s="2" t="inlineStr">
        <is>
          <t>2次</t>
        </is>
      </c>
      <c r="EI381" s="3" t="n">
        <v>2</v>
      </c>
      <c r="EJ381" s="2" t="inlineStr">
        <is>
          <t>E.8小时以上</t>
        </is>
      </c>
      <c r="EK381" s="7" t="n">
        <v>8</v>
      </c>
      <c r="EL381" s="7" t="n">
        <v>8</v>
      </c>
      <c r="EM381" s="7" t="n">
        <v>16</v>
      </c>
      <c r="EN381" s="7" t="n">
        <v>16</v>
      </c>
      <c r="EO381" s="2" t="inlineStr">
        <is>
          <t>协调沟通类</t>
        </is>
      </c>
      <c r="EP381" s="2"/>
      <c r="EQ381" s="2" t="inlineStr">
        <is>
          <t>外部联络</t>
        </is>
      </c>
      <c r="ER381" s="2" t="inlineStr">
        <is>
          <t>上级指令</t>
        </is>
      </c>
      <c r="ES381" s="2" t="inlineStr">
        <is>
          <t>重要且紧急</t>
        </is>
      </c>
      <c r="ET381" s="2" t="inlineStr">
        <is>
          <t>高度标准化</t>
        </is>
      </c>
      <c r="EU381" s="2" t="inlineStr">
        <is>
          <t>极少（&lt;5%）</t>
        </is>
      </c>
      <c r="EV381" s="2" t="inlineStr">
        <is>
          <t>沟通/协调负荷</t>
        </is>
      </c>
      <c r="EW381" s="2"/>
      <c r="EX381" s="2" t="inlineStr">
        <is>
          <t>5c707941-638f-45a9-815b-b98f9e15e96b</t>
        </is>
      </c>
      <c r="EY381" s="3" t="n">
        <v>6</v>
      </c>
      <c r="EZ381" s="2"/>
      <c r="FA381" s="2" t="inlineStr">
        <is>
          <t>员工生育、退休、社保等问题咨询</t>
        </is>
      </c>
      <c r="FB381" s="2" t="inlineStr">
        <is>
          <t>每月3次以上</t>
        </is>
      </c>
      <c r="FC381" s="2" t="inlineStr">
        <is>
          <t>月</t>
        </is>
      </c>
      <c r="FD381" s="3" t="n">
        <v>3</v>
      </c>
      <c r="FE381" s="3" t="n">
        <v>3</v>
      </c>
      <c r="FF381" s="2" t="inlineStr">
        <is>
          <t>B.2小时以内</t>
        </is>
      </c>
      <c r="FG381" s="7" t="n">
        <v>2</v>
      </c>
      <c r="FH381" s="7" t="n">
        <v>2</v>
      </c>
      <c r="FI381" s="7" t="n">
        <v>6</v>
      </c>
      <c r="FJ381" s="7" t="n">
        <v>6</v>
      </c>
      <c r="FK381" s="7" t="n">
        <v>0</v>
      </c>
      <c r="FL381" s="7" t="n">
        <v>0</v>
      </c>
      <c r="FM381" s="7" t="n">
        <v>0</v>
      </c>
      <c r="FN381" s="7" t="n">
        <v>0</v>
      </c>
      <c r="FO381" s="2" t="inlineStr">
        <is>
          <t>协调沟通类</t>
        </is>
      </c>
      <c r="FP381" s="2"/>
      <c r="FQ381" s="2" t="inlineStr">
        <is>
          <t>接口协调</t>
        </is>
      </c>
      <c r="FR381" s="2" t="inlineStr">
        <is>
          <t>岗位职责</t>
        </is>
      </c>
      <c r="FS381" s="2" t="inlineStr">
        <is>
          <t>重要且紧急</t>
        </is>
      </c>
      <c r="FT381" s="2" t="inlineStr">
        <is>
          <t>半标准化-有流程框架，需专业经验</t>
        </is>
      </c>
      <c r="FU381" s="2" t="inlineStr">
        <is>
          <t>极少（&lt;5%）</t>
        </is>
      </c>
      <c r="FV381" s="2" t="inlineStr">
        <is>
          <t>沟通/协调负荷</t>
        </is>
      </c>
      <c r="FW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t="inlineStr">
        <is>
          <t>96006f04-7899-4feb-82ce-dc776de0d16c</t>
        </is>
      </c>
      <c r="DJ382" s="3" t="n">
        <v>7</v>
      </c>
      <c r="DK382" s="2"/>
      <c r="DL382" s="2" t="inlineStr">
        <is>
          <t>公积金费用结算报表</t>
        </is>
      </c>
      <c r="DM382" s="2" t="inlineStr">
        <is>
          <t>1次</t>
        </is>
      </c>
      <c r="DN382" s="3" t="n">
        <v>1</v>
      </c>
      <c r="DO382" s="3" t="n">
        <v>1</v>
      </c>
      <c r="DP382" s="2" t="inlineStr">
        <is>
          <t>C.2-4小时</t>
        </is>
      </c>
      <c r="DQ382" s="7" t="n">
        <v>2</v>
      </c>
      <c r="DR382" s="7" t="n">
        <v>4</v>
      </c>
      <c r="DS382" s="7" t="n">
        <v>2</v>
      </c>
      <c r="DT382" s="7" t="n">
        <v>4</v>
      </c>
      <c r="DU382" s="2" t="inlineStr">
        <is>
          <t>数据报表类</t>
        </is>
      </c>
      <c r="DV382" s="2"/>
      <c r="DW382" s="2" t="inlineStr">
        <is>
          <t>专项统计</t>
        </is>
      </c>
      <c r="DX382" s="2" t="inlineStr">
        <is>
          <t>岗位职责</t>
        </is>
      </c>
      <c r="DY382" s="2" t="inlineStr">
        <is>
          <t>重要不紧急</t>
        </is>
      </c>
      <c r="DZ382" s="2" t="inlineStr">
        <is>
          <t>高度标准化-有成熟SOP，照做即可</t>
        </is>
      </c>
      <c r="EA382" s="2" t="inlineStr">
        <is>
          <t>极少（&lt;5%）</t>
        </is>
      </c>
      <c r="EB382" s="2" t="inlineStr">
        <is>
          <t>时效/强度负荷</t>
        </is>
      </c>
      <c r="EC382" s="2"/>
      <c r="ED382" s="2" t="inlineStr">
        <is>
          <t>04af19b5-a0ad-4f56-acc4-433501239fe7</t>
        </is>
      </c>
      <c r="EE382" s="3" t="n">
        <v>7</v>
      </c>
      <c r="EF382" s="2"/>
      <c r="EG382" s="2" t="inlineStr">
        <is>
          <t>配合子公司社保基数申报</t>
        </is>
      </c>
      <c r="EH382" s="2" t="inlineStr">
        <is>
          <t>2次</t>
        </is>
      </c>
      <c r="EI382" s="3" t="n">
        <v>2</v>
      </c>
      <c r="EJ382" s="2" t="inlineStr">
        <is>
          <t>D.4-8小时</t>
        </is>
      </c>
      <c r="EK382" s="7" t="n">
        <v>4</v>
      </c>
      <c r="EL382" s="7" t="n">
        <v>8</v>
      </c>
      <c r="EM382" s="7" t="n">
        <v>8</v>
      </c>
      <c r="EN382" s="7" t="n">
        <v>16</v>
      </c>
      <c r="EO382" s="2" t="inlineStr">
        <is>
          <t>专业技术类</t>
        </is>
      </c>
      <c r="EP382" s="2"/>
      <c r="EQ382" s="2" t="inlineStr">
        <is>
          <t>专业问题协调</t>
        </is>
      </c>
      <c r="ER382" s="2" t="inlineStr">
        <is>
          <t>岗位职责</t>
        </is>
      </c>
      <c r="ES382" s="2" t="inlineStr">
        <is>
          <t>重要不紧急</t>
        </is>
      </c>
      <c r="ET382" s="2" t="inlineStr">
        <is>
          <t>半标准化-有流程框架，需专业经验</t>
        </is>
      </c>
      <c r="EU382" s="2" t="inlineStr">
        <is>
          <t>极少（&lt;5%）</t>
        </is>
      </c>
      <c r="EV382" s="2" t="inlineStr">
        <is>
          <t>沟通/协调负荷</t>
        </is>
      </c>
      <c r="EW382" s="2"/>
      <c r="EX382" s="2" t="inlineStr">
        <is>
          <t>512284e5-e63b-4f83-ae11-c37c2e1e7283</t>
        </is>
      </c>
      <c r="EY382" s="3" t="n">
        <v>7</v>
      </c>
      <c r="EZ382" s="2"/>
      <c r="FA382" s="2" t="inlineStr">
        <is>
          <t>部门资产调动梳理等</t>
        </is>
      </c>
      <c r="FB382" s="2" t="inlineStr">
        <is>
          <t>每年1-2次</t>
        </is>
      </c>
      <c r="FC382" s="2" t="inlineStr">
        <is>
          <t>年</t>
        </is>
      </c>
      <c r="FD382" s="3" t="n">
        <v>1</v>
      </c>
      <c r="FE382" s="3" t="n">
        <v>2</v>
      </c>
      <c r="FF382" s="2" t="inlineStr">
        <is>
          <t>A.20分钟以内</t>
        </is>
      </c>
      <c r="FG382" s="7" t="n">
        <v>0.33</v>
      </c>
      <c r="FH382" s="7" t="n">
        <v>0.33</v>
      </c>
      <c r="FI382" s="7" t="n">
        <v>0</v>
      </c>
      <c r="FJ382" s="7" t="n">
        <v>0</v>
      </c>
      <c r="FK382" s="7" t="n">
        <v>0</v>
      </c>
      <c r="FL382" s="7" t="n">
        <v>0</v>
      </c>
      <c r="FM382" s="7" t="n">
        <v>0.33</v>
      </c>
      <c r="FN382" s="7" t="n">
        <v>0.66</v>
      </c>
      <c r="FO382" s="2" t="inlineStr">
        <is>
          <t>行政事务类</t>
        </is>
      </c>
      <c r="FP382" s="2"/>
      <c r="FQ382" s="2" t="inlineStr">
        <is>
          <t>日常台账</t>
        </is>
      </c>
      <c r="FR382" s="2" t="inlineStr">
        <is>
          <t>跨部门协同</t>
        </is>
      </c>
      <c r="FS382" s="2" t="inlineStr">
        <is>
          <t>重要且紧急</t>
        </is>
      </c>
      <c r="FT382" s="2" t="inlineStr">
        <is>
          <t>高度标准化-有成熟SOP，照做即可</t>
        </is>
      </c>
      <c r="FU382" s="2" t="inlineStr">
        <is>
          <t>极少（&lt;5%）</t>
        </is>
      </c>
      <c r="FV382" s="2" t="inlineStr">
        <is>
          <t>沟通/协调负荷</t>
        </is>
      </c>
      <c r="FW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t="inlineStr">
        <is>
          <t>710ae0a9-909b-410f-87d7-c9d2a72a42da</t>
        </is>
      </c>
      <c r="DJ383" s="3" t="n">
        <v>8</v>
      </c>
      <c r="DK383" s="2"/>
      <c r="DL383" s="2" t="inlineStr">
        <is>
          <t>社保费用对外结算报销流程</t>
        </is>
      </c>
      <c r="DM383" s="2" t="inlineStr">
        <is>
          <t>1次</t>
        </is>
      </c>
      <c r="DN383" s="3" t="n">
        <v>1</v>
      </c>
      <c r="DO383" s="3" t="n">
        <v>1</v>
      </c>
      <c r="DP383" s="2" t="inlineStr">
        <is>
          <t>C.2-4小时</t>
        </is>
      </c>
      <c r="DQ383" s="7" t="n">
        <v>2</v>
      </c>
      <c r="DR383" s="7" t="n">
        <v>4</v>
      </c>
      <c r="DS383" s="7" t="n">
        <v>2</v>
      </c>
      <c r="DT383" s="7" t="n">
        <v>4</v>
      </c>
      <c r="DU383" s="2" t="inlineStr">
        <is>
          <t>流程审批类</t>
        </is>
      </c>
      <c r="DV383" s="2"/>
      <c r="DW383" s="2" t="inlineStr">
        <is>
          <t>财务管理流程</t>
        </is>
      </c>
      <c r="DX383" s="2" t="inlineStr">
        <is>
          <t>岗位职责</t>
        </is>
      </c>
      <c r="DY383" s="2" t="inlineStr">
        <is>
          <t>重要且紧急</t>
        </is>
      </c>
      <c r="DZ383" s="2" t="inlineStr">
        <is>
          <t>高度标准化-有成熟SOP，照做即可</t>
        </is>
      </c>
      <c r="EA383" s="2" t="inlineStr">
        <is>
          <t>极少（&lt;5%）</t>
        </is>
      </c>
      <c r="EB383" s="2" t="inlineStr">
        <is>
          <t>沟通/协调负荷</t>
        </is>
      </c>
      <c r="EC383" s="2"/>
      <c r="ED383" s="2" t="inlineStr">
        <is>
          <t>e5339ab7-bcbf-4636-80d6-e640ee18d6a5</t>
        </is>
      </c>
      <c r="EE383" s="3" t="n">
        <v>8</v>
      </c>
      <c r="EF383" s="2"/>
      <c r="EG383" s="2" t="inlineStr">
        <is>
          <t>退休员工医药费报销流程</t>
        </is>
      </c>
      <c r="EH383" s="2" t="inlineStr">
        <is>
          <t>3次及以上</t>
        </is>
      </c>
      <c r="EI383" s="3" t="n">
        <v>3</v>
      </c>
      <c r="EJ383" s="2" t="inlineStr">
        <is>
          <t>E.8小时以上</t>
        </is>
      </c>
      <c r="EK383" s="7" t="n">
        <v>8</v>
      </c>
      <c r="EL383" s="7" t="n">
        <v>8</v>
      </c>
      <c r="EM383" s="7" t="n">
        <v>24</v>
      </c>
      <c r="EN383" s="7" t="n">
        <v>24</v>
      </c>
      <c r="EO383" s="2" t="inlineStr">
        <is>
          <t>流程审批类</t>
        </is>
      </c>
      <c r="EP383" s="2"/>
      <c r="EQ383" s="2" t="inlineStr">
        <is>
          <t>费用报销流程</t>
        </is>
      </c>
      <c r="ER383" s="2" t="inlineStr">
        <is>
          <t>岗位职责</t>
        </is>
      </c>
      <c r="ES383" s="2" t="inlineStr">
        <is>
          <t>重要且紧急</t>
        </is>
      </c>
      <c r="ET383" s="2" t="inlineStr">
        <is>
          <t>半标准化-有流程框架，需专业经验</t>
        </is>
      </c>
      <c r="EU383" s="2" t="inlineStr">
        <is>
          <t>极少（&lt;5%）</t>
        </is>
      </c>
      <c r="EV383" s="2" t="inlineStr">
        <is>
          <t>沟通/协调负荷</t>
        </is>
      </c>
      <c r="EW383" s="2"/>
      <c r="EX383" s="2" t="inlineStr">
        <is>
          <t>5298c04c-f338-4f6b-91f4-2d38692f652e</t>
        </is>
      </c>
      <c r="EY383" s="3" t="n">
        <v>8</v>
      </c>
      <c r="EZ383" s="2"/>
      <c r="FA383" s="2" t="inlineStr">
        <is>
          <t>慰问金</t>
        </is>
      </c>
      <c r="FB383" s="2" t="inlineStr">
        <is>
          <t>每年3次以上</t>
        </is>
      </c>
      <c r="FC383" s="2" t="inlineStr">
        <is>
          <t>年</t>
        </is>
      </c>
      <c r="FD383" s="3" t="n">
        <v>3</v>
      </c>
      <c r="FE383" s="3" t="n">
        <v>3</v>
      </c>
      <c r="FF383" s="2" t="inlineStr">
        <is>
          <t>B.2小时以内</t>
        </is>
      </c>
      <c r="FG383" s="7" t="n">
        <v>2</v>
      </c>
      <c r="FH383" s="7" t="n">
        <v>2</v>
      </c>
      <c r="FI383" s="7" t="n">
        <v>0</v>
      </c>
      <c r="FJ383" s="7" t="n">
        <v>0</v>
      </c>
      <c r="FK383" s="7" t="n">
        <v>0</v>
      </c>
      <c r="FL383" s="7" t="n">
        <v>0</v>
      </c>
      <c r="FM383" s="7" t="n">
        <v>6</v>
      </c>
      <c r="FN383" s="7" t="n">
        <v>6</v>
      </c>
      <c r="FO383" s="2" t="inlineStr">
        <is>
          <t>流程审批类</t>
        </is>
      </c>
      <c r="FP383" s="2"/>
      <c r="FQ383" s="2" t="inlineStr">
        <is>
          <t>费用报销流程</t>
        </is>
      </c>
      <c r="FR383" s="2" t="inlineStr">
        <is>
          <t>岗位职责</t>
        </is>
      </c>
      <c r="FS383" s="2" t="inlineStr">
        <is>
          <t>重要且紧急</t>
        </is>
      </c>
      <c r="FT383" s="2" t="inlineStr">
        <is>
          <t>高度标准化-有成熟SOP，照做即可</t>
        </is>
      </c>
      <c r="FU383" s="2" t="inlineStr">
        <is>
          <t>极少（&lt;5%）</t>
        </is>
      </c>
      <c r="FV383" s="2" t="inlineStr">
        <is>
          <t>沟通/协调负荷</t>
        </is>
      </c>
      <c r="FW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t="inlineStr">
        <is>
          <t>a01e68d9-3c7a-49af-b90d-cbd1db7df4f8</t>
        </is>
      </c>
      <c r="DJ384" s="3" t="n">
        <v>9</v>
      </c>
      <c r="DK384" s="2"/>
      <c r="DL384" s="2" t="inlineStr">
        <is>
          <t>各类报表整合</t>
        </is>
      </c>
      <c r="DM384" s="2" t="inlineStr">
        <is>
          <t>1次</t>
        </is>
      </c>
      <c r="DN384" s="3" t="n">
        <v>1</v>
      </c>
      <c r="DO384" s="3" t="n">
        <v>1</v>
      </c>
      <c r="DP384" s="2" t="inlineStr">
        <is>
          <t>D.4-8小时</t>
        </is>
      </c>
      <c r="DQ384" s="7" t="n">
        <v>4</v>
      </c>
      <c r="DR384" s="7" t="n">
        <v>8</v>
      </c>
      <c r="DS384" s="7" t="n">
        <v>4</v>
      </c>
      <c r="DT384" s="7" t="n">
        <v>8</v>
      </c>
      <c r="DU384" s="2" t="inlineStr">
        <is>
          <t>数据报表类</t>
        </is>
      </c>
      <c r="DV384" s="2"/>
      <c r="DW384" s="2" t="inlineStr">
        <is>
          <t>专项统计</t>
        </is>
      </c>
      <c r="DX384" s="2" t="inlineStr">
        <is>
          <t>上级指令</t>
        </is>
      </c>
      <c r="DY384" s="2" t="inlineStr">
        <is>
          <t>重要且紧急</t>
        </is>
      </c>
      <c r="DZ384" s="2" t="inlineStr">
        <is>
          <t>半标准化-有流程框架，需专业经验</t>
        </is>
      </c>
      <c r="EA384" s="2" t="inlineStr">
        <is>
          <t>极少（&lt;5%）</t>
        </is>
      </c>
      <c r="EB384" s="2" t="inlineStr">
        <is>
          <t>脑力/复杂度负荷</t>
        </is>
      </c>
      <c r="EC384" s="2"/>
      <c r="ED384" s="2" t="inlineStr">
        <is>
          <t>c937e75c-52bf-44c5-bf31-bec69fd3d049</t>
        </is>
      </c>
      <c r="EE384" s="3" t="n">
        <v>9</v>
      </c>
      <c r="EF384" s="2"/>
      <c r="EG384" s="2" t="inlineStr">
        <is>
          <t>独生子女费用报销</t>
        </is>
      </c>
      <c r="EH384" s="2" t="inlineStr">
        <is>
          <t>3次及以上</t>
        </is>
      </c>
      <c r="EI384" s="3" t="n">
        <v>3</v>
      </c>
      <c r="EJ384" s="2" t="inlineStr">
        <is>
          <t>B.2小时以内</t>
        </is>
      </c>
      <c r="EK384" s="7" t="n">
        <v>2</v>
      </c>
      <c r="EL384" s="7" t="n">
        <v>2</v>
      </c>
      <c r="EM384" s="7" t="n">
        <v>6</v>
      </c>
      <c r="EN384" s="7" t="n">
        <v>6</v>
      </c>
      <c r="EO384" s="2" t="inlineStr">
        <is>
          <t>数据报表类</t>
        </is>
      </c>
      <c r="EP384" s="2"/>
      <c r="EQ384" s="2" t="inlineStr">
        <is>
          <t>专项统计</t>
        </is>
      </c>
      <c r="ER384" s="2" t="inlineStr">
        <is>
          <t>岗位职责</t>
        </is>
      </c>
      <c r="ES384" s="2" t="inlineStr">
        <is>
          <t>重要且紧急</t>
        </is>
      </c>
      <c r="ET384" s="2" t="inlineStr">
        <is>
          <t>半标准化-有流程框架，需专业经验</t>
        </is>
      </c>
      <c r="EU384" s="2" t="inlineStr">
        <is>
          <t>极少（&lt;5%）</t>
        </is>
      </c>
      <c r="EV384" s="2" t="inlineStr">
        <is>
          <t>沟通/协调负荷</t>
        </is>
      </c>
      <c r="EW384" s="2"/>
      <c r="EX384" s="2" t="inlineStr">
        <is>
          <t>ac20a5a9-e5d6-4d80-af48-228b5a8e60a9</t>
        </is>
      </c>
      <c r="EY384" s="3" t="n">
        <v>9</v>
      </c>
      <c r="EZ384" s="2"/>
      <c r="FA384" s="2" t="inlineStr">
        <is>
          <t>社保局投诉</t>
        </is>
      </c>
      <c r="FB384" s="2" t="inlineStr">
        <is>
          <t>每年1-2次</t>
        </is>
      </c>
      <c r="FC384" s="2" t="inlineStr">
        <is>
          <t>年</t>
        </is>
      </c>
      <c r="FD384" s="3" t="n">
        <v>1</v>
      </c>
      <c r="FE384" s="3" t="n">
        <v>2</v>
      </c>
      <c r="FF384" s="2" t="inlineStr">
        <is>
          <t>E.8小时以上</t>
        </is>
      </c>
      <c r="FG384" s="7" t="n">
        <v>8</v>
      </c>
      <c r="FH384" s="7" t="n">
        <v>8</v>
      </c>
      <c r="FI384" s="7" t="n">
        <v>0</v>
      </c>
      <c r="FJ384" s="7" t="n">
        <v>0</v>
      </c>
      <c r="FK384" s="7" t="n">
        <v>0</v>
      </c>
      <c r="FL384" s="7" t="n">
        <v>0</v>
      </c>
      <c r="FM384" s="7" t="n">
        <v>8</v>
      </c>
      <c r="FN384" s="7" t="n">
        <v>16</v>
      </c>
      <c r="FO384" s="2" t="inlineStr">
        <is>
          <t>协调沟通类</t>
        </is>
      </c>
      <c r="FP384" s="2"/>
      <c r="FQ384" s="2" t="inlineStr">
        <is>
          <t>外部联络</t>
        </is>
      </c>
      <c r="FR384" s="2" t="inlineStr">
        <is>
          <t>岗位职责</t>
        </is>
      </c>
      <c r="FS384" s="2" t="inlineStr">
        <is>
          <t>重要且紧急</t>
        </is>
      </c>
      <c r="FT384" s="2" t="inlineStr">
        <is>
          <t>半标准化-有流程框架，需专业经验</t>
        </is>
      </c>
      <c r="FU384" s="2" t="inlineStr">
        <is>
          <t>中频（10%-30%）</t>
        </is>
      </c>
      <c r="FV384" s="2" t="inlineStr">
        <is>
          <t>沟通/协调负荷</t>
        </is>
      </c>
      <c r="FW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t="inlineStr">
        <is>
          <t>71aba148-66d4-4e3d-b129-a1df1bd2dc1a</t>
        </is>
      </c>
      <c r="DJ385" s="3" t="n">
        <v>10</v>
      </c>
      <c r="DK385" s="2"/>
      <c r="DL385" s="2" t="inlineStr">
        <is>
          <t>erp系统公积金台账更新</t>
        </is>
      </c>
      <c r="DM385" s="2" t="inlineStr">
        <is>
          <t>2-3次</t>
        </is>
      </c>
      <c r="DN385" s="3" t="n">
        <v>2</v>
      </c>
      <c r="DO385" s="3" t="n">
        <v>3</v>
      </c>
      <c r="DP385" s="2" t="inlineStr">
        <is>
          <t>A.20分钟以内</t>
        </is>
      </c>
      <c r="DQ385" s="7" t="n">
        <v>0.33</v>
      </c>
      <c r="DR385" s="7" t="n">
        <v>0.33</v>
      </c>
      <c r="DS385" s="7" t="n">
        <v>0.66</v>
      </c>
      <c r="DT385" s="7" t="n">
        <v>0.99</v>
      </c>
      <c r="DU385" s="2" t="inlineStr">
        <is>
          <t>数据报表类</t>
        </is>
      </c>
      <c r="DV385" s="2"/>
      <c r="DW385" s="2" t="inlineStr">
        <is>
          <t>专项统计</t>
        </is>
      </c>
      <c r="DX385" s="2" t="inlineStr">
        <is>
          <t>岗位职责</t>
        </is>
      </c>
      <c r="DY385" s="2" t="inlineStr">
        <is>
          <t>重要且紧急</t>
        </is>
      </c>
      <c r="DZ385" s="2" t="inlineStr">
        <is>
          <t>高度标准化-有成熟SOP，照做即可</t>
        </is>
      </c>
      <c r="EA385" s="2" t="inlineStr">
        <is>
          <t>极少（&lt;5%）</t>
        </is>
      </c>
      <c r="EB385" s="2" t="inlineStr">
        <is>
          <t>沟通/协调负荷</t>
        </is>
      </c>
      <c r="EC385" s="2"/>
      <c r="ED385" s="2" t="inlineStr">
        <is>
          <t>bd497b2f-1b06-474a-962d-ab03ffcfa3f1</t>
        </is>
      </c>
      <c r="EE385" s="3" t="n">
        <v>10</v>
      </c>
      <c r="EF385" s="2"/>
      <c r="EG385" s="2" t="inlineStr">
        <is>
          <t>简历筛选</t>
        </is>
      </c>
      <c r="EH385" s="2" t="inlineStr">
        <is>
          <t>3次及以上</t>
        </is>
      </c>
      <c r="EI385" s="3" t="n">
        <v>3</v>
      </c>
      <c r="EJ385" s="2" t="inlineStr">
        <is>
          <t>E.8小时以上</t>
        </is>
      </c>
      <c r="EK385" s="7" t="n">
        <v>8</v>
      </c>
      <c r="EL385" s="7" t="n">
        <v>8</v>
      </c>
      <c r="EM385" s="7" t="n">
        <v>24</v>
      </c>
      <c r="EN385" s="7" t="n">
        <v>24</v>
      </c>
      <c r="EO385" s="2" t="inlineStr">
        <is>
          <t>协调沟通类</t>
        </is>
      </c>
      <c r="EP385" s="2"/>
      <c r="EQ385" s="2" t="inlineStr">
        <is>
          <t>外部联络</t>
        </is>
      </c>
      <c r="ER385" s="2" t="inlineStr">
        <is>
          <t>部门计划</t>
        </is>
      </c>
      <c r="ES385" s="2" t="inlineStr">
        <is>
          <t>重要且紧急</t>
        </is>
      </c>
      <c r="ET385" s="2" t="inlineStr">
        <is>
          <t>半标准化-有流程框架，需专业经验</t>
        </is>
      </c>
      <c r="EU385" s="2" t="inlineStr">
        <is>
          <t>极少（&lt;5%）</t>
        </is>
      </c>
      <c r="EV385" s="2" t="inlineStr">
        <is>
          <t>沟通/协调负荷</t>
        </is>
      </c>
      <c r="EW385" s="2"/>
      <c r="EX385" s="2" t="inlineStr">
        <is>
          <t>21261b97-634b-4019-815a-3a71ac8564c6</t>
        </is>
      </c>
      <c r="EY385" s="3" t="n">
        <v>10</v>
      </c>
      <c r="EZ385" s="2"/>
      <c r="FA385" s="2" t="inlineStr">
        <is>
          <t>配合社区准备集体合同 女职工合同等</t>
        </is>
      </c>
      <c r="FB385" s="2" t="inlineStr">
        <is>
          <t>每年1-2次</t>
        </is>
      </c>
      <c r="FC385" s="2" t="inlineStr">
        <is>
          <t>年</t>
        </is>
      </c>
      <c r="FD385" s="3" t="n">
        <v>1</v>
      </c>
      <c r="FE385" s="3" t="n">
        <v>2</v>
      </c>
      <c r="FF385" s="2" t="inlineStr">
        <is>
          <t>E.8小时以上</t>
        </is>
      </c>
      <c r="FG385" s="7" t="n">
        <v>8</v>
      </c>
      <c r="FH385" s="7" t="n">
        <v>8</v>
      </c>
      <c r="FI385" s="7" t="n">
        <v>0</v>
      </c>
      <c r="FJ385" s="7" t="n">
        <v>0</v>
      </c>
      <c r="FK385" s="7" t="n">
        <v>0</v>
      </c>
      <c r="FL385" s="7" t="n">
        <v>0</v>
      </c>
      <c r="FM385" s="7" t="n">
        <v>8</v>
      </c>
      <c r="FN385" s="7" t="n">
        <v>16</v>
      </c>
      <c r="FO385" s="2" t="inlineStr">
        <is>
          <t>协调沟通类</t>
        </is>
      </c>
      <c r="FP385" s="2"/>
      <c r="FQ385" s="2" t="inlineStr">
        <is>
          <t>外部联络</t>
        </is>
      </c>
      <c r="FR385" s="2" t="inlineStr">
        <is>
          <t>岗位职责</t>
        </is>
      </c>
      <c r="FS385" s="2" t="inlineStr">
        <is>
          <t>重要且紧急</t>
        </is>
      </c>
      <c r="FT385" s="2" t="inlineStr">
        <is>
          <t>半标准化-有流程框架，需专业经验</t>
        </is>
      </c>
      <c r="FU385" s="2" t="inlineStr">
        <is>
          <t>极少（&lt;5%）</t>
        </is>
      </c>
      <c r="FV385" s="2" t="inlineStr">
        <is>
          <t>沟通/协调负荷</t>
        </is>
      </c>
      <c r="FW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t="inlineStr">
        <is>
          <t>35c1afab-5c8b-492e-9eb5-320f3c58f25a</t>
        </is>
      </c>
      <c r="DJ386" s="3" t="n">
        <v>11</v>
      </c>
      <c r="DK386" s="2"/>
      <c r="DL386" s="2" t="inlineStr">
        <is>
          <t>异地就医咨询办理</t>
        </is>
      </c>
      <c r="DM386" s="2" t="inlineStr">
        <is>
          <t>2-3次</t>
        </is>
      </c>
      <c r="DN386" s="3" t="n">
        <v>2</v>
      </c>
      <c r="DO386" s="3" t="n">
        <v>3</v>
      </c>
      <c r="DP386" s="2" t="inlineStr">
        <is>
          <t>D.4-8小时</t>
        </is>
      </c>
      <c r="DQ386" s="7" t="n">
        <v>4</v>
      </c>
      <c r="DR386" s="7" t="n">
        <v>8</v>
      </c>
      <c r="DS386" s="7" t="n">
        <v>8</v>
      </c>
      <c r="DT386" s="7" t="n">
        <v>24</v>
      </c>
      <c r="DU386" s="2" t="inlineStr">
        <is>
          <t>专业技术类</t>
        </is>
      </c>
      <c r="DV386" s="2"/>
      <c r="DW386" s="2" t="inlineStr">
        <is>
          <t>专业问题协调</t>
        </is>
      </c>
      <c r="DX386" s="2" t="inlineStr">
        <is>
          <t>岗位职责</t>
        </is>
      </c>
      <c r="DY386" s="2" t="inlineStr">
        <is>
          <t>重要且紧急</t>
        </is>
      </c>
      <c r="DZ386" s="2" t="inlineStr">
        <is>
          <t>半标准化-有流程框架，需专业经验</t>
        </is>
      </c>
      <c r="EA386" s="2" t="inlineStr">
        <is>
          <t>低频（5%-10%）</t>
        </is>
      </c>
      <c r="EB386" s="2" t="inlineStr">
        <is>
          <t>时效/强度负荷</t>
        </is>
      </c>
      <c r="EC386" s="2"/>
      <c r="ED386" s="2"/>
      <c r="EE386" s="2"/>
      <c r="EF386" s="2"/>
      <c r="EG386" s="2"/>
      <c r="EH386" s="2"/>
      <c r="EI386" s="2"/>
      <c r="EJ386" s="2"/>
      <c r="EK386" s="2"/>
      <c r="EL386" s="2"/>
      <c r="EM386" s="2"/>
      <c r="EN386" s="2"/>
      <c r="EO386" s="2"/>
      <c r="EP386" s="2"/>
      <c r="EQ386" s="2"/>
      <c r="ER386" s="2"/>
      <c r="ES386" s="2"/>
      <c r="ET386" s="2"/>
      <c r="EU386" s="2"/>
      <c r="EV386" s="2"/>
      <c r="EW386" s="2"/>
      <c r="EX386" s="2" t="inlineStr">
        <is>
          <t>1fa34017-2503-4719-9ecc-6fa994cd9238</t>
        </is>
      </c>
      <c r="EY386" s="3" t="n">
        <v>11</v>
      </c>
      <c r="EZ386" s="2"/>
      <c r="FA386" s="2" t="inlineStr">
        <is>
          <t>退休员工党员档案问题</t>
        </is>
      </c>
      <c r="FB386" s="2" t="inlineStr">
        <is>
          <t>每季1-2次</t>
        </is>
      </c>
      <c r="FC386" s="2" t="inlineStr">
        <is>
          <t>季</t>
        </is>
      </c>
      <c r="FD386" s="3" t="n">
        <v>1</v>
      </c>
      <c r="FE386" s="3" t="n">
        <v>2</v>
      </c>
      <c r="FF386" s="2" t="inlineStr">
        <is>
          <t>D.4-8小时</t>
        </is>
      </c>
      <c r="FG386" s="7" t="n">
        <v>4</v>
      </c>
      <c r="FH386" s="7" t="n">
        <v>8</v>
      </c>
      <c r="FI386" s="7" t="n">
        <v>0</v>
      </c>
      <c r="FJ386" s="7" t="n">
        <v>0</v>
      </c>
      <c r="FK386" s="7" t="n">
        <v>4</v>
      </c>
      <c r="FL386" s="7" t="n">
        <v>16</v>
      </c>
      <c r="FM386" s="7" t="n">
        <v>0</v>
      </c>
      <c r="FN386" s="7" t="n">
        <v>0</v>
      </c>
      <c r="FO386" s="2" t="inlineStr">
        <is>
          <t>协调沟通类</t>
        </is>
      </c>
      <c r="FP386" s="2"/>
      <c r="FQ386" s="2" t="inlineStr">
        <is>
          <t>外部联络</t>
        </is>
      </c>
      <c r="FR386" s="2" t="inlineStr">
        <is>
          <t>岗位职责</t>
        </is>
      </c>
      <c r="FS386" s="2" t="inlineStr">
        <is>
          <t>重要且紧急</t>
        </is>
      </c>
      <c r="FT386" s="2" t="inlineStr">
        <is>
          <t>半标准化-有流程框架，需专业经验</t>
        </is>
      </c>
      <c r="FU386" s="2" t="inlineStr">
        <is>
          <t>极少（&lt;5%）</t>
        </is>
      </c>
      <c r="FV386" s="2" t="inlineStr">
        <is>
          <t>沟通/协调负荷</t>
        </is>
      </c>
      <c r="FW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t="inlineStr">
        <is>
          <t>6080941a-aabe-41b9-867e-d5e6cfd8e1ff</t>
        </is>
      </c>
      <c r="DJ387" s="3" t="n">
        <v>12</v>
      </c>
      <c r="DK387" s="2"/>
      <c r="DL387" s="2" t="inlineStr">
        <is>
          <t>生育津贴咨询办理</t>
        </is>
      </c>
      <c r="DM387" s="2" t="inlineStr">
        <is>
          <t>1次</t>
        </is>
      </c>
      <c r="DN387" s="3" t="n">
        <v>1</v>
      </c>
      <c r="DO387" s="3" t="n">
        <v>1</v>
      </c>
      <c r="DP387" s="2" t="inlineStr">
        <is>
          <t>E.8小时以上</t>
        </is>
      </c>
      <c r="DQ387" s="7" t="n">
        <v>8</v>
      </c>
      <c r="DR387" s="7" t="n">
        <v>8</v>
      </c>
      <c r="DS387" s="7" t="n">
        <v>8</v>
      </c>
      <c r="DT387" s="7" t="n">
        <v>8</v>
      </c>
      <c r="DU387" s="2" t="inlineStr">
        <is>
          <t>专业技术类</t>
        </is>
      </c>
      <c r="DV387" s="2"/>
      <c r="DW387" s="2" t="inlineStr">
        <is>
          <t>专业问题协调</t>
        </is>
      </c>
      <c r="DX387" s="2" t="inlineStr">
        <is>
          <t>岗位职责</t>
        </is>
      </c>
      <c r="DY387" s="2" t="inlineStr">
        <is>
          <t>重要且紧急</t>
        </is>
      </c>
      <c r="DZ387" s="2" t="inlineStr">
        <is>
          <t>半标准化-有流程框架，需专业经验</t>
        </is>
      </c>
      <c r="EA387" s="2" t="inlineStr">
        <is>
          <t>极少（&lt;5%）</t>
        </is>
      </c>
      <c r="EB387" s="2" t="inlineStr">
        <is>
          <t>时效/强度负荷</t>
        </is>
      </c>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t="inlineStr">
        <is>
          <t>38d1cce0-c751-4e2f-97e7-0b1e781a08d4</t>
        </is>
      </c>
      <c r="DJ388" s="3" t="n">
        <v>13</v>
      </c>
      <c r="DK388" s="2"/>
      <c r="DL388" s="2" t="inlineStr">
        <is>
          <t>公积金转移接收函</t>
        </is>
      </c>
      <c r="DM388" s="2" t="inlineStr">
        <is>
          <t>1次</t>
        </is>
      </c>
      <c r="DN388" s="3" t="n">
        <v>1</v>
      </c>
      <c r="DO388" s="3" t="n">
        <v>1</v>
      </c>
      <c r="DP388" s="2" t="inlineStr">
        <is>
          <t>A.20分钟以内</t>
        </is>
      </c>
      <c r="DQ388" s="7" t="n">
        <v>0.33</v>
      </c>
      <c r="DR388" s="7" t="n">
        <v>0.33</v>
      </c>
      <c r="DS388" s="7" t="n">
        <v>0.33</v>
      </c>
      <c r="DT388" s="7" t="n">
        <v>0.33</v>
      </c>
      <c r="DU388" s="2" t="inlineStr">
        <is>
          <t>协调沟通类</t>
        </is>
      </c>
      <c r="DV388" s="2"/>
      <c r="DW388" s="2" t="inlineStr">
        <is>
          <t>跨部门对接</t>
        </is>
      </c>
      <c r="DX388" s="2" t="inlineStr">
        <is>
          <t>岗位职责</t>
        </is>
      </c>
      <c r="DY388" s="2" t="inlineStr">
        <is>
          <t>重要且紧急</t>
        </is>
      </c>
      <c r="DZ388" s="2" t="inlineStr">
        <is>
          <t>高度标准化-有成熟SOP，照做即可</t>
        </is>
      </c>
      <c r="EA388" s="2" t="inlineStr">
        <is>
          <t>极少（&lt;5%）</t>
        </is>
      </c>
      <c r="EB388" s="2" t="inlineStr">
        <is>
          <t>沟通/协调负荷</t>
        </is>
      </c>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row>
    <row r="389">
      <c r="A389" s="2" t="inlineStr">
        <is>
          <t>2026-04-23 18:33:43</t>
        </is>
      </c>
      <c r="B389" s="2" t="inlineStr">
        <is>
          <t>徐丹</t>
        </is>
      </c>
      <c r="C389" s="2" t="inlineStr">
        <is>
          <t>人力资源部</t>
        </is>
      </c>
      <c r="D389" s="2" t="inlineStr">
        <is>
          <t>女</t>
        </is>
      </c>
      <c r="E389" s="2" t="inlineStr">
        <is>
          <t>320682199312045789</t>
        </is>
      </c>
      <c r="F389" s="2" t="inlineStr">
        <is>
          <t>事务工B</t>
        </is>
      </c>
      <c r="G389" s="2" t="inlineStr">
        <is>
          <t>2016-07</t>
        </is>
      </c>
      <c r="H389" s="2" t="inlineStr">
        <is>
          <t>江苏海事职业技术学院</t>
        </is>
      </c>
      <c r="I389" s="2" t="inlineStr">
        <is>
          <t>其他</t>
        </is>
      </c>
      <c r="J389" s="2" t="inlineStr">
        <is>
          <t>大专</t>
        </is>
      </c>
      <c r="K389" s="2"/>
      <c r="L389" s="6">
        <f>HYPERLINK("https://www.h3yun.com/Form/Attachments/?schemacode=D1483577de63ede327d4760b10664bd57671d7e&amp;bizObjectId=527e3229-34ee-496d-9bc3-5b35f3f89baa&amp;name=F0000046","点击查看")</f>
        <v>0</v>
      </c>
      <c r="M389" s="2" t="inlineStr">
        <is>
          <t>无</t>
        </is>
      </c>
      <c r="N389" s="2" t="inlineStr">
        <is>
          <t>每日工作;每月工作;每季度/阶段性工作;临时/突发工作</t>
        </is>
      </c>
      <c r="O389" s="2" t="inlineStr">
        <is>
          <t>31-35岁</t>
        </is>
      </c>
      <c r="P389" s="2" t="inlineStr">
        <is>
          <t>C.已婚已育</t>
        </is>
      </c>
      <c r="Q389" s="2" t="inlineStr">
        <is>
          <t>B.是，主要照护子女</t>
        </is>
      </c>
      <c r="R389" s="2" t="inlineStr">
        <is>
          <t>B.有1名</t>
        </is>
      </c>
      <c r="S389" s="2" t="inlineStr">
        <is>
          <t>A.保持当前工作内容和节奏，收入相对稳定即可</t>
        </is>
      </c>
      <c r="T389" s="2" t="inlineStr">
        <is>
          <t>A.基本满意，希望保持</t>
        </is>
      </c>
      <c r="U389" s="2" t="inlineStr">
        <is>
          <t>A.减少重复性事务</t>
        </is>
      </c>
      <c r="V389" s="2" t="inlineStr">
        <is>
          <t>A.没有</t>
        </is>
      </c>
      <c r="W389" s="2"/>
      <c r="X389" s="2" t="inlineStr">
        <is>
          <t>B.满负荷 (100%-120%)</t>
        </is>
      </c>
      <c r="Y389" s="2" t="inlineStr">
        <is>
          <t>I.无需加班</t>
        </is>
      </c>
      <c r="Z389" s="2" t="inlineStr">
        <is>
          <t>催办</t>
        </is>
      </c>
      <c r="AA389" s="2" t="inlineStr">
        <is>
          <t>跨部门对接</t>
        </is>
      </c>
      <c r="AB389" s="2" t="inlineStr">
        <is>
          <t>日常台账</t>
        </is>
      </c>
      <c r="AC389" s="2" t="inlineStr">
        <is>
          <t>A.高度匹配（得心应手）</t>
        </is>
      </c>
      <c r="AD389" s="2" t="inlineStr">
        <is>
          <t>无</t>
        </is>
      </c>
      <c r="AE389" s="2"/>
      <c r="AF389" s="2"/>
      <c r="AG389" s="2" t="inlineStr">
        <is>
          <t>B.配偶为公司家属，常驻项目，个人承担更多</t>
        </is>
      </c>
      <c r="AH389" s="2" t="inlineStr">
        <is>
          <t>D.无意向，但是可能会动态变化</t>
        </is>
      </c>
      <c r="AI389" s="7" t="n">
        <v>0.66</v>
      </c>
      <c r="AJ389" s="7" t="n">
        <v>1.65</v>
      </c>
      <c r="AK389" s="7" t="n">
        <v>0</v>
      </c>
      <c r="AL389" s="7" t="n">
        <v>0</v>
      </c>
      <c r="AM389" s="7" t="n">
        <v>3.71</v>
      </c>
      <c r="AN389" s="7" t="n">
        <v>8.71</v>
      </c>
      <c r="AO389" s="7" t="n">
        <v>0.03</v>
      </c>
      <c r="AP389" s="7" t="n">
        <v>0.03</v>
      </c>
      <c r="AQ389" s="7" t="n">
        <v>0.02</v>
      </c>
      <c r="AR389" s="7" t="n">
        <v>0.03</v>
      </c>
      <c r="AS389" s="7" t="n">
        <v>4.41</v>
      </c>
      <c r="AT389" s="7" t="n">
        <v>10.42</v>
      </c>
      <c r="AU389" s="7" t="n">
        <v>7.42</v>
      </c>
      <c r="AV389" s="2" t="inlineStr">
        <is>
          <t>均衡</t>
        </is>
      </c>
      <c r="AW389" s="2" t="inlineStr">
        <is>
          <t>不一致</t>
        </is>
      </c>
      <c r="AX389" s="2" t="inlineStr">
        <is>
          <t>527e3229-34ee-496d-9bc3-5b35f3f89baa</t>
        </is>
      </c>
      <c r="AY389" s="2" t="inlineStr">
        <is>
          <t>人力资源部    徐丹</t>
        </is>
      </c>
      <c r="AZ389" s="2" t="inlineStr">
        <is>
          <t>Anonymous</t>
        </is>
      </c>
      <c r="BA389" s="2" t="inlineStr">
        <is>
          <t>Anonymous</t>
        </is>
      </c>
      <c r="BB389" s="2"/>
      <c r="BC389" s="2" t="inlineStr">
        <is>
          <t>2026-05-21 08:43:22</t>
        </is>
      </c>
      <c r="BD389" s="3" t="n">
        <v>1993</v>
      </c>
      <c r="BE389" s="3" t="n">
        <v>33</v>
      </c>
      <c r="BF389" s="2" t="inlineStr">
        <is>
          <t>A.无此需求</t>
        </is>
      </c>
      <c r="BG389" s="2" t="inlineStr">
        <is>
          <t>已生效</t>
        </is>
      </c>
      <c r="BH389" s="2" t="inlineStr">
        <is>
          <t>1ba606fc-1499-45c9-9674-5098798d21ff</t>
        </is>
      </c>
      <c r="BI389" s="3" t="n">
        <v>1</v>
      </c>
      <c r="BJ389" s="2"/>
      <c r="BK389" s="2"/>
      <c r="BL389" s="2"/>
      <c r="BM389" s="2"/>
      <c r="BN389" s="2"/>
      <c r="BO389" s="2"/>
      <c r="BP389" s="2"/>
      <c r="BQ389" s="2"/>
      <c r="BR389" s="2"/>
      <c r="BS389" s="2" t="inlineStr">
        <is>
          <t>105f941b-ad74-4e94-82d1-53712f9ae762</t>
        </is>
      </c>
      <c r="BT389" s="3" t="n">
        <v>1</v>
      </c>
      <c r="BU389" s="2" t="inlineStr">
        <is>
          <t>行政事务类</t>
        </is>
      </c>
      <c r="BV389" s="2" t="inlineStr">
        <is>
          <t>配合各分公司打印社保权益单</t>
        </is>
      </c>
      <c r="BW389" s="2" t="inlineStr">
        <is>
          <t>2-5次</t>
        </is>
      </c>
      <c r="BX389" s="3" t="n">
        <v>2</v>
      </c>
      <c r="BY389" s="3" t="n">
        <v>5</v>
      </c>
      <c r="BZ389" s="2" t="inlineStr">
        <is>
          <t>A.20分钟以内</t>
        </is>
      </c>
      <c r="CA389" s="7" t="n">
        <v>0.33</v>
      </c>
      <c r="CB389" s="7" t="n">
        <v>0.33</v>
      </c>
      <c r="CC389" s="7" t="n">
        <v>0.66</v>
      </c>
      <c r="CD389" s="7" t="n">
        <v>1.65</v>
      </c>
      <c r="CE389" s="2" t="inlineStr">
        <is>
          <t>行政事务类</t>
        </is>
      </c>
      <c r="CF389" s="2"/>
      <c r="CG389" s="2" t="inlineStr">
        <is>
          <t>日常台账</t>
        </is>
      </c>
      <c r="CH389" s="2" t="inlineStr">
        <is>
          <t>跨部门协同</t>
        </is>
      </c>
      <c r="CI389" s="2" t="inlineStr">
        <is>
          <t>重要且紧急</t>
        </is>
      </c>
      <c r="CJ389" s="2" t="inlineStr">
        <is>
          <t>高度标准化-有成熟SOP，照做即可</t>
        </is>
      </c>
      <c r="CK389" s="2" t="inlineStr">
        <is>
          <t>极少（&lt;5%）</t>
        </is>
      </c>
      <c r="CL389" s="2" t="inlineStr">
        <is>
          <t>沟通/协调负荷</t>
        </is>
      </c>
      <c r="CM389" s="2"/>
      <c r="CN389" s="2" t="inlineStr">
        <is>
          <t>ba7a0ecd-badb-4306-98da-c872fcdd065f</t>
        </is>
      </c>
      <c r="CO389" s="3" t="n">
        <v>1</v>
      </c>
      <c r="CP389" s="2"/>
      <c r="CQ389" s="2"/>
      <c r="CR389" s="2"/>
      <c r="CS389" s="3"/>
      <c r="CT389" s="3"/>
      <c r="CU389" s="2"/>
      <c r="CV389" s="3"/>
      <c r="CW389" s="3"/>
      <c r="CX389" s="3"/>
      <c r="CY389" s="3"/>
      <c r="CZ389" s="2"/>
      <c r="DA389" s="2"/>
      <c r="DB389" s="2"/>
      <c r="DC389" s="2"/>
      <c r="DD389" s="2"/>
      <c r="DE389" s="2"/>
      <c r="DF389" s="2"/>
      <c r="DG389" s="2"/>
      <c r="DH389" s="2"/>
      <c r="DI389" s="2" t="inlineStr">
        <is>
          <t>10c8367e-a0e0-46ea-a568-abc8b0b08ce9</t>
        </is>
      </c>
      <c r="DJ389" s="3" t="n">
        <v>1</v>
      </c>
      <c r="DK389" s="2"/>
      <c r="DL389" s="2" t="inlineStr">
        <is>
          <t>员工的参保停保</t>
        </is>
      </c>
      <c r="DM389" s="2" t="inlineStr">
        <is>
          <t>4-8次</t>
        </is>
      </c>
      <c r="DN389" s="3" t="n">
        <v>4</v>
      </c>
      <c r="DO389" s="3" t="n">
        <v>8</v>
      </c>
      <c r="DP389" s="2" t="inlineStr">
        <is>
          <t>A.20分钟以内</t>
        </is>
      </c>
      <c r="DQ389" s="7" t="n">
        <v>0.33</v>
      </c>
      <c r="DR389" s="7" t="n">
        <v>0.33</v>
      </c>
      <c r="DS389" s="7" t="n">
        <v>1.32</v>
      </c>
      <c r="DT389" s="7" t="n">
        <v>2.64</v>
      </c>
      <c r="DU389" s="2" t="inlineStr">
        <is>
          <t>行政事务类</t>
        </is>
      </c>
      <c r="DV389" s="2"/>
      <c r="DW389" s="2" t="inlineStr">
        <is>
          <t>日常台账</t>
        </is>
      </c>
      <c r="DX389" s="2" t="inlineStr">
        <is>
          <t>岗位职责</t>
        </is>
      </c>
      <c r="DY389" s="2" t="inlineStr">
        <is>
          <t>重要且紧急</t>
        </is>
      </c>
      <c r="DZ389" s="2" t="inlineStr">
        <is>
          <t>半标准化-有流程框架，需专业经验</t>
        </is>
      </c>
      <c r="EA389" s="2" t="inlineStr">
        <is>
          <t>极少（&lt;5%）</t>
        </is>
      </c>
      <c r="EB389" s="2" t="inlineStr">
        <is>
          <t>脑力/复杂度负荷</t>
        </is>
      </c>
      <c r="EC389" s="2"/>
      <c r="ED389" s="2" t="inlineStr">
        <is>
          <t>a1a5b7a1-53b6-4e2a-b024-e823ce2bce08</t>
        </is>
      </c>
      <c r="EE389" s="3" t="n">
        <v>1</v>
      </c>
      <c r="EF389" s="2"/>
      <c r="EG389" s="2" t="inlineStr">
        <is>
          <t>统计符合2026年职称评审人员名单并通知到个人</t>
        </is>
      </c>
      <c r="EH389" s="2" t="inlineStr">
        <is>
          <t>1次</t>
        </is>
      </c>
      <c r="EI389" s="3" t="n">
        <v>1</v>
      </c>
      <c r="EJ389" s="2" t="inlineStr">
        <is>
          <t>E.8小时以上</t>
        </is>
      </c>
      <c r="EK389" s="7" t="n">
        <v>8</v>
      </c>
      <c r="EL389" s="7" t="n">
        <v>8</v>
      </c>
      <c r="EM389" s="7" t="n">
        <v>8</v>
      </c>
      <c r="EN389" s="7" t="n">
        <v>8</v>
      </c>
      <c r="EO389" s="2" t="inlineStr">
        <is>
          <t>行政事务类</t>
        </is>
      </c>
      <c r="EP389" s="2"/>
      <c r="EQ389" s="2" t="inlineStr">
        <is>
          <t>日常台账</t>
        </is>
      </c>
      <c r="ER389" s="2" t="inlineStr">
        <is>
          <t>部门计划</t>
        </is>
      </c>
      <c r="ES389" s="2" t="inlineStr">
        <is>
          <t>重要且紧急</t>
        </is>
      </c>
      <c r="ET389" s="2" t="inlineStr">
        <is>
          <t>半标准化-有流程框架，需专业经验</t>
        </is>
      </c>
      <c r="EU389" s="2" t="inlineStr">
        <is>
          <t>极少（&lt;5%）</t>
        </is>
      </c>
      <c r="EV389" s="2" t="inlineStr">
        <is>
          <t>脑力/复杂度负荷</t>
        </is>
      </c>
      <c r="EW389" s="2"/>
      <c r="EX389" s="2" t="inlineStr">
        <is>
          <t>2b4c3e4e-2cff-4319-b364-164218a2cd6b</t>
        </is>
      </c>
      <c r="EY389" s="3" t="n">
        <v>1</v>
      </c>
      <c r="EZ389" s="2"/>
      <c r="FA389" s="2" t="inlineStr">
        <is>
          <t>改制前人员协解协议的打印</t>
        </is>
      </c>
      <c r="FB389" s="2" t="inlineStr">
        <is>
          <t>每月1-2次</t>
        </is>
      </c>
      <c r="FC389" s="2" t="inlineStr">
        <is>
          <t>月</t>
        </is>
      </c>
      <c r="FD389" s="3" t="n">
        <v>1</v>
      </c>
      <c r="FE389" s="3" t="n">
        <v>2</v>
      </c>
      <c r="FF389" s="2" t="inlineStr">
        <is>
          <t>A.20分钟以内</t>
        </is>
      </c>
      <c r="FG389" s="7" t="n">
        <v>0.33</v>
      </c>
      <c r="FH389" s="7" t="n">
        <v>0.33</v>
      </c>
      <c r="FI389" s="7" t="n">
        <v>0.33</v>
      </c>
      <c r="FJ389" s="7" t="n">
        <v>0.66</v>
      </c>
      <c r="FK389" s="7" t="n">
        <v>0</v>
      </c>
      <c r="FL389" s="7" t="n">
        <v>0</v>
      </c>
      <c r="FM389" s="7" t="n">
        <v>0</v>
      </c>
      <c r="FN389" s="7" t="n">
        <v>0</v>
      </c>
      <c r="FO389" s="2" t="inlineStr">
        <is>
          <t>行政事务类</t>
        </is>
      </c>
      <c r="FP389" s="2"/>
      <c r="FQ389" s="2" t="inlineStr">
        <is>
          <t>日常台账</t>
        </is>
      </c>
      <c r="FR389" s="2" t="inlineStr">
        <is>
          <t>岗位职责</t>
        </is>
      </c>
      <c r="FS389" s="2" t="inlineStr">
        <is>
          <t>重要且紧急</t>
        </is>
      </c>
      <c r="FT389" s="2" t="inlineStr">
        <is>
          <t>高度标准化-有成熟SOP，照做即可</t>
        </is>
      </c>
      <c r="FU389" s="2" t="inlineStr">
        <is>
          <t>极少（&lt;5%）</t>
        </is>
      </c>
      <c r="FV389" s="2" t="inlineStr">
        <is>
          <t>沟通/协调负荷</t>
        </is>
      </c>
      <c r="FW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t="inlineStr">
        <is>
          <t>ca7a5442-0dd5-4b6f-9606-c85e9ecf344d</t>
        </is>
      </c>
      <c r="DJ390" s="3" t="n">
        <v>2</v>
      </c>
      <c r="DK390" s="2"/>
      <c r="DL390" s="2" t="inlineStr">
        <is>
          <t>员工的新签和续签合同</t>
        </is>
      </c>
      <c r="DM390" s="2" t="inlineStr">
        <is>
          <t>8次以上</t>
        </is>
      </c>
      <c r="DN390" s="3" t="n">
        <v>8</v>
      </c>
      <c r="DO390" s="3" t="n">
        <v>8</v>
      </c>
      <c r="DP390" s="2" t="inlineStr">
        <is>
          <t>C.2-4小时</t>
        </is>
      </c>
      <c r="DQ390" s="7" t="n">
        <v>2</v>
      </c>
      <c r="DR390" s="7" t="n">
        <v>4</v>
      </c>
      <c r="DS390" s="7" t="n">
        <v>16</v>
      </c>
      <c r="DT390" s="7" t="n">
        <v>32</v>
      </c>
      <c r="DU390" s="2" t="inlineStr">
        <is>
          <t>行政事务类</t>
        </is>
      </c>
      <c r="DV390" s="2"/>
      <c r="DW390" s="2" t="inlineStr">
        <is>
          <t>日常台账</t>
        </is>
      </c>
      <c r="DX390" s="2" t="inlineStr">
        <is>
          <t>岗位职责</t>
        </is>
      </c>
      <c r="DY390" s="2" t="inlineStr">
        <is>
          <t>重要且紧急</t>
        </is>
      </c>
      <c r="DZ390" s="2" t="inlineStr">
        <is>
          <t>半标准化-有流程框架，需专业经验</t>
        </is>
      </c>
      <c r="EA390" s="2" t="inlineStr">
        <is>
          <t>极少（&lt;5%）</t>
        </is>
      </c>
      <c r="EB390" s="2" t="inlineStr">
        <is>
          <t>沟通/协调负荷</t>
        </is>
      </c>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t="inlineStr">
        <is>
          <t>af214f2b-e45e-467b-b7c6-13f28ba60cca</t>
        </is>
      </c>
      <c r="DJ391" s="3" t="n">
        <v>3</v>
      </c>
      <c r="DK391" s="2"/>
      <c r="DL391" s="2" t="inlineStr">
        <is>
          <t>配合各分公司提供公司员工的身份证、毕业证书、职称证书和劳动合同的扫描件</t>
        </is>
      </c>
      <c r="DM391" s="2" t="inlineStr">
        <is>
          <t>8次以上</t>
        </is>
      </c>
      <c r="DN391" s="3" t="n">
        <v>8</v>
      </c>
      <c r="DO391" s="3" t="n">
        <v>8</v>
      </c>
      <c r="DP391" s="2" t="inlineStr">
        <is>
          <t>A.20分钟以内</t>
        </is>
      </c>
      <c r="DQ391" s="7" t="n">
        <v>0.33</v>
      </c>
      <c r="DR391" s="7" t="n">
        <v>0.33</v>
      </c>
      <c r="DS391" s="7" t="n">
        <v>2.64</v>
      </c>
      <c r="DT391" s="7" t="n">
        <v>2.64</v>
      </c>
      <c r="DU391" s="2" t="inlineStr">
        <is>
          <t>行政事务类</t>
        </is>
      </c>
      <c r="DV391" s="2"/>
      <c r="DW391" s="2" t="inlineStr">
        <is>
          <t>日常台账</t>
        </is>
      </c>
      <c r="DX391" s="2" t="inlineStr">
        <is>
          <t>岗位职责</t>
        </is>
      </c>
      <c r="DY391" s="2" t="inlineStr">
        <is>
          <t>重要且紧急</t>
        </is>
      </c>
      <c r="DZ391" s="2" t="inlineStr">
        <is>
          <t>高度标准化-有成熟SOP，照做即可</t>
        </is>
      </c>
      <c r="EA391" s="2" t="inlineStr">
        <is>
          <t>极少（&lt;5%）</t>
        </is>
      </c>
      <c r="EB391" s="2" t="inlineStr">
        <is>
          <t>沟通/协调负荷</t>
        </is>
      </c>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t="inlineStr">
        <is>
          <t>83778729-7a7f-4349-b60e-91c0a9f31398</t>
        </is>
      </c>
      <c r="DJ392" s="3" t="n">
        <v>4</v>
      </c>
      <c r="DK392" s="2"/>
      <c r="DL392" s="2" t="inlineStr">
        <is>
          <t>月报表中人员类别、职称情况、人员调动和合同到期情况的统计</t>
        </is>
      </c>
      <c r="DM392" s="2" t="inlineStr">
        <is>
          <t>1次</t>
        </is>
      </c>
      <c r="DN392" s="3" t="n">
        <v>1</v>
      </c>
      <c r="DO392" s="3" t="n">
        <v>1</v>
      </c>
      <c r="DP392" s="2" t="inlineStr">
        <is>
          <t>D.4-8小时</t>
        </is>
      </c>
      <c r="DQ392" s="7" t="n">
        <v>4</v>
      </c>
      <c r="DR392" s="7" t="n">
        <v>8</v>
      </c>
      <c r="DS392" s="7" t="n">
        <v>4</v>
      </c>
      <c r="DT392" s="7" t="n">
        <v>8</v>
      </c>
      <c r="DU392" s="2" t="inlineStr">
        <is>
          <t>数据报表类</t>
        </is>
      </c>
      <c r="DV392" s="2"/>
      <c r="DW392" s="2" t="inlineStr">
        <is>
          <t>月报</t>
        </is>
      </c>
      <c r="DX392" s="2" t="inlineStr">
        <is>
          <t>岗位职责</t>
        </is>
      </c>
      <c r="DY392" s="2" t="inlineStr">
        <is>
          <t>重要且紧急</t>
        </is>
      </c>
      <c r="DZ392" s="2" t="inlineStr">
        <is>
          <t>高度标准化-有成熟SOP，照做即可</t>
        </is>
      </c>
      <c r="EA392" s="2" t="inlineStr">
        <is>
          <t>极少（&lt;5%）</t>
        </is>
      </c>
      <c r="EB392" s="2" t="inlineStr">
        <is>
          <t>脑力/复杂度负荷</t>
        </is>
      </c>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t="inlineStr">
        <is>
          <t>da6a0c96-1641-42d7-82ba-900928266d5b</t>
        </is>
      </c>
      <c r="DJ393" s="3" t="n">
        <v>5</v>
      </c>
      <c r="DK393" s="2"/>
      <c r="DL393" s="2" t="inlineStr">
        <is>
          <t>配合分公司挂靠人员签订合同</t>
        </is>
      </c>
      <c r="DM393" s="2" t="inlineStr">
        <is>
          <t>2-3次</t>
        </is>
      </c>
      <c r="DN393" s="3" t="n">
        <v>2</v>
      </c>
      <c r="DO393" s="3" t="n">
        <v>3</v>
      </c>
      <c r="DP393" s="2" t="inlineStr">
        <is>
          <t>B.2小时以内</t>
        </is>
      </c>
      <c r="DQ393" s="7" t="n">
        <v>2</v>
      </c>
      <c r="DR393" s="7" t="n">
        <v>2</v>
      </c>
      <c r="DS393" s="7" t="n">
        <v>4</v>
      </c>
      <c r="DT393" s="7" t="n">
        <v>6</v>
      </c>
      <c r="DU393" s="2" t="inlineStr">
        <is>
          <t>行政事务类</t>
        </is>
      </c>
      <c r="DV393" s="2"/>
      <c r="DW393" s="2" t="inlineStr">
        <is>
          <t>日常台账</t>
        </is>
      </c>
      <c r="DX393" s="2" t="inlineStr">
        <is>
          <t>岗位职责</t>
        </is>
      </c>
      <c r="DY393" s="2" t="inlineStr">
        <is>
          <t>重要不紧急</t>
        </is>
      </c>
      <c r="DZ393" s="2" t="inlineStr">
        <is>
          <t>高度标准化-有成熟SOP，照做即可</t>
        </is>
      </c>
      <c r="EA393" s="2" t="inlineStr">
        <is>
          <t>极少（&lt;5%）</t>
        </is>
      </c>
      <c r="EB393" s="2" t="inlineStr">
        <is>
          <t>沟通/协调负荷</t>
        </is>
      </c>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t="inlineStr">
        <is>
          <t>344e4a66-0859-417d-94d8-3cc380036121</t>
        </is>
      </c>
      <c r="DJ394" s="3" t="n">
        <v>6</v>
      </c>
      <c r="DK394" s="2"/>
      <c r="DL394" s="2" t="inlineStr">
        <is>
          <t>开具员工的入住证明</t>
        </is>
      </c>
      <c r="DM394" s="2" t="inlineStr">
        <is>
          <t>1次</t>
        </is>
      </c>
      <c r="DN394" s="3" t="n">
        <v>1</v>
      </c>
      <c r="DO394" s="3" t="n">
        <v>1</v>
      </c>
      <c r="DP394" s="2" t="inlineStr">
        <is>
          <t>A.20分钟以内</t>
        </is>
      </c>
      <c r="DQ394" s="7" t="n">
        <v>0.33</v>
      </c>
      <c r="DR394" s="7" t="n">
        <v>0.33</v>
      </c>
      <c r="DS394" s="7" t="n">
        <v>0.33</v>
      </c>
      <c r="DT394" s="7" t="n">
        <v>0.33</v>
      </c>
      <c r="DU394" s="2" t="inlineStr">
        <is>
          <t>行政事务类</t>
        </is>
      </c>
      <c r="DV394" s="2"/>
      <c r="DW394" s="2" t="inlineStr">
        <is>
          <t>日常台账</t>
        </is>
      </c>
      <c r="DX394" s="2" t="inlineStr">
        <is>
          <t>岗位职责</t>
        </is>
      </c>
      <c r="DY394" s="2" t="inlineStr">
        <is>
          <t>重要且紧急</t>
        </is>
      </c>
      <c r="DZ394" s="2" t="inlineStr">
        <is>
          <t>高度标准化-有成熟SOP，照做即可</t>
        </is>
      </c>
      <c r="EA394" s="2" t="inlineStr">
        <is>
          <t>极少（&lt;5%）</t>
        </is>
      </c>
      <c r="EB394" s="2" t="inlineStr">
        <is>
          <t>沟通/协调负荷</t>
        </is>
      </c>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t="inlineStr">
        <is>
          <t>3ffa55da-680d-4cae-a17f-268eadf751fa</t>
        </is>
      </c>
      <c r="DJ395" s="3" t="n">
        <v>7</v>
      </c>
      <c r="DK395" s="2"/>
      <c r="DL395" s="2" t="inlineStr">
        <is>
          <t>查档案</t>
        </is>
      </c>
      <c r="DM395" s="2" t="inlineStr">
        <is>
          <t>2-3次</t>
        </is>
      </c>
      <c r="DN395" s="3" t="n">
        <v>2</v>
      </c>
      <c r="DO395" s="3" t="n">
        <v>3</v>
      </c>
      <c r="DP395" s="2" t="inlineStr">
        <is>
          <t>B.2小时以内</t>
        </is>
      </c>
      <c r="DQ395" s="7" t="n">
        <v>2</v>
      </c>
      <c r="DR395" s="7" t="n">
        <v>2</v>
      </c>
      <c r="DS395" s="7" t="n">
        <v>4</v>
      </c>
      <c r="DT395" s="7" t="n">
        <v>6</v>
      </c>
      <c r="DU395" s="2" t="inlineStr">
        <is>
          <t>行政事务类</t>
        </is>
      </c>
      <c r="DV395" s="2"/>
      <c r="DW395" s="2" t="inlineStr">
        <is>
          <t>日常台账</t>
        </is>
      </c>
      <c r="DX395" s="2" t="inlineStr">
        <is>
          <t>上级指令</t>
        </is>
      </c>
      <c r="DY395" s="2" t="inlineStr">
        <is>
          <t>重要且紧急</t>
        </is>
      </c>
      <c r="DZ395" s="2" t="inlineStr">
        <is>
          <t>半标准化-有流程框架，需专业经验</t>
        </is>
      </c>
      <c r="EA395" s="2" t="inlineStr">
        <is>
          <t>极少（&lt;5%）</t>
        </is>
      </c>
      <c r="EB395" s="2" t="inlineStr">
        <is>
          <t>沟通/协调负荷</t>
        </is>
      </c>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t="inlineStr">
        <is>
          <t>5293cfff-ae91-45d0-9a1a-ec375daaea49</t>
        </is>
      </c>
      <c r="DJ396" s="3" t="n">
        <v>8</v>
      </c>
      <c r="DK396" s="2"/>
      <c r="DL396" s="2" t="inlineStr">
        <is>
          <t>员工的工伤申请</t>
        </is>
      </c>
      <c r="DM396" s="2" t="inlineStr">
        <is>
          <t>1次</t>
        </is>
      </c>
      <c r="DN396" s="3" t="n">
        <v>1</v>
      </c>
      <c r="DO396" s="3" t="n">
        <v>1</v>
      </c>
      <c r="DP396" s="2" t="inlineStr">
        <is>
          <t>E.8小时以上</t>
        </is>
      </c>
      <c r="DQ396" s="7" t="n">
        <v>8</v>
      </c>
      <c r="DR396" s="7" t="n">
        <v>8</v>
      </c>
      <c r="DS396" s="7" t="n">
        <v>8</v>
      </c>
      <c r="DT396" s="7" t="n">
        <v>8</v>
      </c>
      <c r="DU396" s="2" t="inlineStr">
        <is>
          <t>行政事务类</t>
        </is>
      </c>
      <c r="DV396" s="2"/>
      <c r="DW396" s="2" t="inlineStr">
        <is>
          <t>日常台账</t>
        </is>
      </c>
      <c r="DX396" s="2" t="inlineStr">
        <is>
          <t>岗位职责</t>
        </is>
      </c>
      <c r="DY396" s="2" t="inlineStr">
        <is>
          <t>重要不紧急</t>
        </is>
      </c>
      <c r="DZ396" s="2" t="inlineStr">
        <is>
          <t>半标准化-有流程框架，需专业经验</t>
        </is>
      </c>
      <c r="EA396" s="2" t="inlineStr">
        <is>
          <t>极少（&lt;5%）</t>
        </is>
      </c>
      <c r="EB396" s="2" t="inlineStr">
        <is>
          <t>沟通/协调负荷</t>
        </is>
      </c>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t="inlineStr">
        <is>
          <t>4b549a45-74b9-4a45-a3d9-6cc81b59f1bc</t>
        </is>
      </c>
      <c r="DJ397" s="3" t="n">
        <v>9</v>
      </c>
      <c r="DK397" s="2"/>
      <c r="DL397" s="2" t="inlineStr">
        <is>
          <t>月工作总结</t>
        </is>
      </c>
      <c r="DM397" s="2" t="inlineStr">
        <is>
          <t>1次</t>
        </is>
      </c>
      <c r="DN397" s="3" t="n">
        <v>1</v>
      </c>
      <c r="DO397" s="3" t="n">
        <v>1</v>
      </c>
      <c r="DP397" s="2" t="inlineStr">
        <is>
          <t>B.2小时以内</t>
        </is>
      </c>
      <c r="DQ397" s="7" t="n">
        <v>2</v>
      </c>
      <c r="DR397" s="7" t="n">
        <v>2</v>
      </c>
      <c r="DS397" s="7" t="n">
        <v>2</v>
      </c>
      <c r="DT397" s="7" t="n">
        <v>2</v>
      </c>
      <c r="DU397" s="2" t="inlineStr">
        <is>
          <t>数据报表类</t>
        </is>
      </c>
      <c r="DV397" s="2"/>
      <c r="DW397" s="2" t="inlineStr">
        <is>
          <t>月报</t>
        </is>
      </c>
      <c r="DX397" s="2" t="inlineStr">
        <is>
          <t>岗位职责</t>
        </is>
      </c>
      <c r="DY397" s="2" t="inlineStr">
        <is>
          <t>重要且紧急</t>
        </is>
      </c>
      <c r="DZ397" s="2" t="inlineStr">
        <is>
          <t>半标准化-有流程框架，需专业经验</t>
        </is>
      </c>
      <c r="EA397" s="2" t="inlineStr">
        <is>
          <t>极少（&lt;5%）</t>
        </is>
      </c>
      <c r="EB397" s="2" t="inlineStr">
        <is>
          <t>脑力/复杂度负荷</t>
        </is>
      </c>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t="inlineStr">
        <is>
          <t>de13ddc3-b78d-4d04-a05e-26e8552ccb6d</t>
        </is>
      </c>
      <c r="DJ398" s="3" t="n">
        <v>10</v>
      </c>
      <c r="DK398" s="2"/>
      <c r="DL398" s="2" t="inlineStr">
        <is>
          <t>月度部门会议</t>
        </is>
      </c>
      <c r="DM398" s="2" t="inlineStr">
        <is>
          <t>1次</t>
        </is>
      </c>
      <c r="DN398" s="3" t="n">
        <v>1</v>
      </c>
      <c r="DO398" s="3" t="n">
        <v>1</v>
      </c>
      <c r="DP398" s="2" t="inlineStr">
        <is>
          <t>C.2-4小时</t>
        </is>
      </c>
      <c r="DQ398" s="7" t="n">
        <v>2</v>
      </c>
      <c r="DR398" s="7" t="n">
        <v>4</v>
      </c>
      <c r="DS398" s="7" t="n">
        <v>2</v>
      </c>
      <c r="DT398" s="7" t="n">
        <v>4</v>
      </c>
      <c r="DU398" s="2" t="inlineStr">
        <is>
          <t>协调沟通类</t>
        </is>
      </c>
      <c r="DV398" s="2"/>
      <c r="DW398" s="2" t="inlineStr">
        <is>
          <t>接口协调</t>
        </is>
      </c>
      <c r="DX398" s="2" t="inlineStr">
        <is>
          <t>部门计划</t>
        </is>
      </c>
      <c r="DY398" s="2" t="inlineStr">
        <is>
          <t>重要且紧急</t>
        </is>
      </c>
      <c r="DZ398" s="2" t="inlineStr">
        <is>
          <t>高度标准化-有成熟SOP，照做即可</t>
        </is>
      </c>
      <c r="EA398" s="2" t="inlineStr">
        <is>
          <t>极少（&lt;5%）</t>
        </is>
      </c>
      <c r="EB398" s="2" t="inlineStr">
        <is>
          <t>时效/强度负荷</t>
        </is>
      </c>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t="inlineStr">
        <is>
          <t>12dbea71-5da1-464f-979d-a82ff0a77140</t>
        </is>
      </c>
      <c r="DJ399" s="3" t="n">
        <v>11</v>
      </c>
      <c r="DK399" s="2"/>
      <c r="DL399" s="2" t="inlineStr">
        <is>
          <t>配合每年度职称评审员工证明申请盖章</t>
        </is>
      </c>
      <c r="DM399" s="2" t="inlineStr">
        <is>
          <t>4-8次</t>
        </is>
      </c>
      <c r="DN399" s="3" t="n">
        <v>4</v>
      </c>
      <c r="DO399" s="3" t="n">
        <v>8</v>
      </c>
      <c r="DP399" s="2" t="inlineStr">
        <is>
          <t>B.2小时以内</t>
        </is>
      </c>
      <c r="DQ399" s="7" t="n">
        <v>2</v>
      </c>
      <c r="DR399" s="7" t="n">
        <v>2</v>
      </c>
      <c r="DS399" s="7" t="n">
        <v>8</v>
      </c>
      <c r="DT399" s="7" t="n">
        <v>16</v>
      </c>
      <c r="DU399" s="2" t="inlineStr">
        <is>
          <t>行政事务类</t>
        </is>
      </c>
      <c r="DV399" s="2"/>
      <c r="DW399" s="2" t="inlineStr">
        <is>
          <t>用章流转</t>
        </is>
      </c>
      <c r="DX399" s="2" t="inlineStr">
        <is>
          <t>上级指令</t>
        </is>
      </c>
      <c r="DY399" s="2" t="inlineStr">
        <is>
          <t>重要且紧急</t>
        </is>
      </c>
      <c r="DZ399" s="2" t="inlineStr">
        <is>
          <t>高度标准化-有成熟SOP，照做即可</t>
        </is>
      </c>
      <c r="EA399" s="2" t="inlineStr">
        <is>
          <t>极少（&lt;5%）</t>
        </is>
      </c>
      <c r="EB399" s="2" t="inlineStr">
        <is>
          <t>时效/强度负荷</t>
        </is>
      </c>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t="inlineStr">
        <is>
          <t>104a51bc-7476-42ef-b1de-314440b116bf</t>
        </is>
      </c>
      <c r="DJ400" s="3" t="n">
        <v>12</v>
      </c>
      <c r="DK400" s="2"/>
      <c r="DL400" s="2" t="inlineStr">
        <is>
          <t>离职流程的申请</t>
        </is>
      </c>
      <c r="DM400" s="2" t="inlineStr">
        <is>
          <t>4-8次</t>
        </is>
      </c>
      <c r="DN400" s="3" t="n">
        <v>4</v>
      </c>
      <c r="DO400" s="3" t="n">
        <v>8</v>
      </c>
      <c r="DP400" s="2" t="inlineStr">
        <is>
          <t>A.20分钟以内</t>
        </is>
      </c>
      <c r="DQ400" s="7" t="n">
        <v>0.33</v>
      </c>
      <c r="DR400" s="7" t="n">
        <v>0.33</v>
      </c>
      <c r="DS400" s="7" t="n">
        <v>1.32</v>
      </c>
      <c r="DT400" s="7" t="n">
        <v>2.64</v>
      </c>
      <c r="DU400" s="2" t="inlineStr">
        <is>
          <t>流程审批类</t>
        </is>
      </c>
      <c r="DV400" s="2"/>
      <c r="DW400" s="2" t="inlineStr">
        <is>
          <t>人力资源流程</t>
        </is>
      </c>
      <c r="DX400" s="2" t="inlineStr">
        <is>
          <t>自主发起</t>
        </is>
      </c>
      <c r="DY400" s="2" t="inlineStr">
        <is>
          <t>重要且紧急</t>
        </is>
      </c>
      <c r="DZ400" s="2" t="inlineStr">
        <is>
          <t>高度标准化-有成熟SOP，照做即可</t>
        </is>
      </c>
      <c r="EA400" s="2" t="inlineStr">
        <is>
          <t>极少（&lt;5%）</t>
        </is>
      </c>
      <c r="EB400" s="2" t="inlineStr">
        <is>
          <t>时效/强度负荷</t>
        </is>
      </c>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t="inlineStr">
        <is>
          <t>943a5dff-3f42-4e32-97b7-d2237379cc0e</t>
        </is>
      </c>
      <c r="DJ401" s="3" t="n">
        <v>13</v>
      </c>
      <c r="DK401" s="2"/>
      <c r="DL401" s="2" t="inlineStr">
        <is>
          <t>劳动合同续签流程</t>
        </is>
      </c>
      <c r="DM401" s="2" t="inlineStr">
        <is>
          <t>4-8次</t>
        </is>
      </c>
      <c r="DN401" s="3" t="n">
        <v>4</v>
      </c>
      <c r="DO401" s="3" t="n">
        <v>8</v>
      </c>
      <c r="DP401" s="2" t="inlineStr">
        <is>
          <t>A.20分钟以内</t>
        </is>
      </c>
      <c r="DQ401" s="7" t="n">
        <v>0.33</v>
      </c>
      <c r="DR401" s="7" t="n">
        <v>0.33</v>
      </c>
      <c r="DS401" s="7" t="n">
        <v>1.32</v>
      </c>
      <c r="DT401" s="7" t="n">
        <v>2.64</v>
      </c>
      <c r="DU401" s="2" t="inlineStr">
        <is>
          <t>流程审批类</t>
        </is>
      </c>
      <c r="DV401" s="2"/>
      <c r="DW401" s="2" t="inlineStr">
        <is>
          <t>合同流程</t>
        </is>
      </c>
      <c r="DX401" s="2" t="inlineStr">
        <is>
          <t>岗位职责</t>
        </is>
      </c>
      <c r="DY401" s="2" t="inlineStr">
        <is>
          <t>重要不紧急</t>
        </is>
      </c>
      <c r="DZ401" s="2" t="inlineStr">
        <is>
          <t>高度标准化-有成熟SOP，照做即可</t>
        </is>
      </c>
      <c r="EA401" s="2" t="inlineStr">
        <is>
          <t>极少（&lt;5%）</t>
        </is>
      </c>
      <c r="EB401" s="2" t="inlineStr">
        <is>
          <t>沟通/协调负荷</t>
        </is>
      </c>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t="inlineStr">
        <is>
          <t>66cc2a86-4447-4a5f-a55b-cee893e3bbc7</t>
        </is>
      </c>
      <c r="DJ402" s="3" t="n">
        <v>14</v>
      </c>
      <c r="DK402" s="2"/>
      <c r="DL402" s="2" t="inlineStr">
        <is>
          <t>员工的入职</t>
        </is>
      </c>
      <c r="DM402" s="2" t="inlineStr">
        <is>
          <t>4-8次</t>
        </is>
      </c>
      <c r="DN402" s="3" t="n">
        <v>4</v>
      </c>
      <c r="DO402" s="3" t="n">
        <v>8</v>
      </c>
      <c r="DP402" s="2" t="inlineStr">
        <is>
          <t>C.2-4小时</t>
        </is>
      </c>
      <c r="DQ402" s="7" t="n">
        <v>2</v>
      </c>
      <c r="DR402" s="7" t="n">
        <v>4</v>
      </c>
      <c r="DS402" s="7" t="n">
        <v>8</v>
      </c>
      <c r="DT402" s="7" t="n">
        <v>32</v>
      </c>
      <c r="DU402" s="2" t="inlineStr">
        <is>
          <t>行政事务类</t>
        </is>
      </c>
      <c r="DV402" s="2"/>
      <c r="DW402" s="2" t="inlineStr">
        <is>
          <t>日常台账</t>
        </is>
      </c>
      <c r="DX402" s="2" t="inlineStr">
        <is>
          <t>岗位职责</t>
        </is>
      </c>
      <c r="DY402" s="2" t="inlineStr">
        <is>
          <t>重要且紧急</t>
        </is>
      </c>
      <c r="DZ402" s="2" t="inlineStr">
        <is>
          <t>高度标准化-有成熟SOP，照做即可</t>
        </is>
      </c>
      <c r="EA402" s="2" t="inlineStr">
        <is>
          <t>极少（&lt;5%）</t>
        </is>
      </c>
      <c r="EB402" s="2" t="inlineStr">
        <is>
          <t>沟通/协调负荷</t>
        </is>
      </c>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t="inlineStr">
        <is>
          <t>6bba145a-c613-4de3-83ff-77a7139cdffb</t>
        </is>
      </c>
      <c r="DJ403" s="3" t="n">
        <v>15</v>
      </c>
      <c r="DK403" s="2"/>
      <c r="DL403" s="2" t="inlineStr">
        <is>
          <t>员工的离职</t>
        </is>
      </c>
      <c r="DM403" s="2" t="inlineStr">
        <is>
          <t>4-8次</t>
        </is>
      </c>
      <c r="DN403" s="3" t="n">
        <v>4</v>
      </c>
      <c r="DO403" s="3" t="n">
        <v>8</v>
      </c>
      <c r="DP403" s="2" t="inlineStr">
        <is>
          <t>D.4-8小时</t>
        </is>
      </c>
      <c r="DQ403" s="7" t="n">
        <v>4</v>
      </c>
      <c r="DR403" s="7" t="n">
        <v>8</v>
      </c>
      <c r="DS403" s="7" t="n">
        <v>16</v>
      </c>
      <c r="DT403" s="7" t="n">
        <v>64</v>
      </c>
      <c r="DU403" s="2" t="inlineStr">
        <is>
          <t>行政事务类</t>
        </is>
      </c>
      <c r="DV403" s="2"/>
      <c r="DW403" s="2" t="inlineStr">
        <is>
          <t>日常台账</t>
        </is>
      </c>
      <c r="DX403" s="2" t="inlineStr">
        <is>
          <t>岗位职责</t>
        </is>
      </c>
      <c r="DY403" s="2" t="inlineStr">
        <is>
          <t>重要且紧急</t>
        </is>
      </c>
      <c r="DZ403" s="2" t="inlineStr">
        <is>
          <t>高度标准化-有成熟SOP，照做即可</t>
        </is>
      </c>
      <c r="EA403" s="2" t="inlineStr">
        <is>
          <t>极少（&lt;5%）</t>
        </is>
      </c>
      <c r="EB403" s="2" t="inlineStr">
        <is>
          <t>沟通/协调负荷</t>
        </is>
      </c>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t="inlineStr">
        <is>
          <t>117100d1-8470-4bdc-93e1-134dafd5bbc2</t>
        </is>
      </c>
      <c r="DJ404" s="3" t="n">
        <v>16</v>
      </c>
      <c r="DK404" s="2"/>
      <c r="DL404" s="2" t="inlineStr">
        <is>
          <t>人员调动流程审批</t>
        </is>
      </c>
      <c r="DM404" s="2" t="inlineStr">
        <is>
          <t>8次以上</t>
        </is>
      </c>
      <c r="DN404" s="3" t="n">
        <v>8</v>
      </c>
      <c r="DO404" s="3" t="n">
        <v>8</v>
      </c>
      <c r="DP404" s="2" t="inlineStr">
        <is>
          <t>A.20分钟以内</t>
        </is>
      </c>
      <c r="DQ404" s="7" t="n">
        <v>0.33</v>
      </c>
      <c r="DR404" s="7" t="n">
        <v>0.33</v>
      </c>
      <c r="DS404" s="7" t="n">
        <v>2.64</v>
      </c>
      <c r="DT404" s="7" t="n">
        <v>2.64</v>
      </c>
      <c r="DU404" s="2" t="inlineStr">
        <is>
          <t>流程审批类</t>
        </is>
      </c>
      <c r="DV404" s="2"/>
      <c r="DW404" s="2" t="inlineStr">
        <is>
          <t>人力资源流程</t>
        </is>
      </c>
      <c r="DX404" s="2" t="inlineStr">
        <is>
          <t>跨部门协同</t>
        </is>
      </c>
      <c r="DY404" s="2" t="inlineStr">
        <is>
          <t>重要且紧急</t>
        </is>
      </c>
      <c r="DZ404" s="2" t="inlineStr">
        <is>
          <t>高度标准化-有成熟SOP，照做即可</t>
        </is>
      </c>
      <c r="EA404" s="2" t="inlineStr">
        <is>
          <t>极少（&lt;5%）</t>
        </is>
      </c>
      <c r="EB404" s="2" t="inlineStr">
        <is>
          <t>时效/强度负荷</t>
        </is>
      </c>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row>
    <row r="405">
      <c r="A405" s="2" t="inlineStr">
        <is>
          <t>2026-04-23 16:59:51</t>
        </is>
      </c>
      <c r="B405" s="2" t="inlineStr">
        <is>
          <t>高娟妮</t>
        </is>
      </c>
      <c r="C405" s="2" t="inlineStr">
        <is>
          <t>人力资源部</t>
        </is>
      </c>
      <c r="D405" s="2" t="inlineStr">
        <is>
          <t>女</t>
        </is>
      </c>
      <c r="E405" s="2" t="inlineStr">
        <is>
          <t>610581198506034423</t>
        </is>
      </c>
      <c r="F405" s="2" t="inlineStr">
        <is>
          <t>专业工程师</t>
        </is>
      </c>
      <c r="G405" s="2" t="inlineStr">
        <is>
          <t>2018-02</t>
        </is>
      </c>
      <c r="H405" s="2" t="inlineStr">
        <is>
          <t>陕西经济管理职业技术学院</t>
        </is>
      </c>
      <c r="I405" s="2" t="inlineStr">
        <is>
          <t>其他</t>
        </is>
      </c>
      <c r="J405" s="2" t="inlineStr">
        <is>
          <t>本科</t>
        </is>
      </c>
      <c r="K405" s="2"/>
      <c r="L405" s="6">
        <f>HYPERLINK("https://www.h3yun.com/Form/Attachments/?schemacode=D1483577de63ede327d4760b10664bd57671d7e&amp;bizObjectId=1b786492-4778-4e97-b3ac-7a7257f41a34&amp;name=F0000046","点击查看")</f>
        <v>0</v>
      </c>
      <c r="M405" s="2" t="inlineStr">
        <is>
          <t>无</t>
        </is>
      </c>
      <c r="N405" s="2" t="inlineStr">
        <is>
          <t>每日工作;每月工作;每季度/阶段性工作;临时/突发工作</t>
        </is>
      </c>
      <c r="O405" s="2" t="inlineStr">
        <is>
          <t>41-45岁</t>
        </is>
      </c>
      <c r="P405" s="2" t="inlineStr">
        <is>
          <t>C.已婚已育</t>
        </is>
      </c>
      <c r="Q405" s="2" t="inlineStr">
        <is>
          <t>B.是，主要照护子女</t>
        </is>
      </c>
      <c r="R405" s="2" t="inlineStr">
        <is>
          <t>B.有1名</t>
        </is>
      </c>
      <c r="S405" s="2" t="inlineStr">
        <is>
          <t>A.保持当前工作内容和节奏，收入相对稳定即可</t>
        </is>
      </c>
      <c r="T405" s="2" t="inlineStr">
        <is>
          <t>A.基本满意，希望保持</t>
        </is>
      </c>
      <c r="U405" s="2" t="inlineStr">
        <is>
          <t>C.增加弹性和稳定性</t>
        </is>
      </c>
      <c r="V405" s="2" t="inlineStr">
        <is>
          <t>A.没有</t>
        </is>
      </c>
      <c r="W405" s="2"/>
      <c r="X405" s="2" t="inlineStr">
        <is>
          <t>B.满负荷 (100%-120%)</t>
        </is>
      </c>
      <c r="Y405" s="2" t="inlineStr">
        <is>
          <t>E.临时差旅、突发事件、会议加班;G.接收到任务分配单完成周期内要求的加班</t>
        </is>
      </c>
      <c r="Z405" s="2" t="inlineStr">
        <is>
          <t>跨部门对接</t>
        </is>
      </c>
      <c r="AA405" s="2" t="inlineStr">
        <is>
          <t>催办</t>
        </is>
      </c>
      <c r="AB405" s="2" t="inlineStr">
        <is>
          <t>专业问题协调</t>
        </is>
      </c>
      <c r="AC405" s="2" t="inlineStr">
        <is>
          <t>A.高度匹配（得心应手）</t>
        </is>
      </c>
      <c r="AD405" s="2" t="inlineStr">
        <is>
          <t>无</t>
        </is>
      </c>
      <c r="AE405" s="2" t="inlineStr">
        <is>
          <t>流程审批项，缺少其它流程（比如人员调动无选项）</t>
        </is>
      </c>
      <c r="AF405" s="2"/>
      <c r="AG405" s="2" t="inlineStr">
        <is>
          <t>A.配偶为公司家属，常驻南京，不影响</t>
        </is>
      </c>
      <c r="AH405" s="2" t="inlineStr">
        <is>
          <t>D.无意向，但是可能会动态变化</t>
        </is>
      </c>
      <c r="AI405" s="7" t="n">
        <v>0.66</v>
      </c>
      <c r="AJ405" s="7" t="n">
        <v>0.66</v>
      </c>
      <c r="AK405" s="7" t="n">
        <v>0</v>
      </c>
      <c r="AL405" s="7" t="n">
        <v>0</v>
      </c>
      <c r="AM405" s="7" t="n">
        <v>5.27</v>
      </c>
      <c r="AN405" s="7" t="n">
        <v>6.91</v>
      </c>
      <c r="AO405" s="7" t="n">
        <v>0.51</v>
      </c>
      <c r="AP405" s="7" t="n">
        <v>0.59</v>
      </c>
      <c r="AQ405" s="7" t="n">
        <v>0.59</v>
      </c>
      <c r="AR405" s="7" t="n">
        <v>1.16</v>
      </c>
      <c r="AS405" s="7" t="n">
        <v>7.03</v>
      </c>
      <c r="AT405" s="7" t="n">
        <v>9.31</v>
      </c>
      <c r="AU405" s="7" t="n">
        <v>8.17</v>
      </c>
      <c r="AV405" s="2" t="inlineStr">
        <is>
          <t>满负荷</t>
        </is>
      </c>
      <c r="AW405" s="2" t="inlineStr">
        <is>
          <t>一致</t>
        </is>
      </c>
      <c r="AX405" s="2" t="inlineStr">
        <is>
          <t>1b786492-4778-4e97-b3ac-7a7257f41a34</t>
        </is>
      </c>
      <c r="AY405" s="2" t="inlineStr">
        <is>
          <t>人力资源部    高娟妮</t>
        </is>
      </c>
      <c r="AZ405" s="2" t="inlineStr">
        <is>
          <t>Anonymous</t>
        </is>
      </c>
      <c r="BA405" s="2" t="inlineStr">
        <is>
          <t>Anonymous</t>
        </is>
      </c>
      <c r="BB405" s="2"/>
      <c r="BC405" s="2" t="inlineStr">
        <is>
          <t>2026-05-21 08:43:22</t>
        </is>
      </c>
      <c r="BD405" s="3" t="n">
        <v>1985</v>
      </c>
      <c r="BE405" s="3" t="n">
        <v>41</v>
      </c>
      <c r="BF405" s="2" t="inlineStr">
        <is>
          <t>A.无此需求</t>
        </is>
      </c>
      <c r="BG405" s="2" t="inlineStr">
        <is>
          <t>已生效</t>
        </is>
      </c>
      <c r="BH405" s="2" t="inlineStr">
        <is>
          <t>bd80d221-93ad-4b4a-93bd-3ac31bdb6651</t>
        </is>
      </c>
      <c r="BI405" s="3" t="n">
        <v>1</v>
      </c>
      <c r="BJ405" s="2"/>
      <c r="BK405" s="2"/>
      <c r="BL405" s="2"/>
      <c r="BM405" s="2"/>
      <c r="BN405" s="2"/>
      <c r="BO405" s="2"/>
      <c r="BP405" s="2"/>
      <c r="BQ405" s="2"/>
      <c r="BR405" s="2"/>
      <c r="BS405" s="2" t="inlineStr">
        <is>
          <t>8ec4c7e9-5466-4380-8f97-e559e5518e4f</t>
        </is>
      </c>
      <c r="BT405" s="3" t="n">
        <v>1</v>
      </c>
      <c r="BU405" s="2" t="inlineStr">
        <is>
          <t>行政事务类</t>
        </is>
      </c>
      <c r="BV405" s="2" t="inlineStr">
        <is>
          <t>证书台账更新及系统ERP台账录入（质量员137人+其它530本证书）日常维护</t>
        </is>
      </c>
      <c r="BW405" s="2" t="inlineStr">
        <is>
          <t>1次</t>
        </is>
      </c>
      <c r="BX405" s="3" t="n">
        <v>1</v>
      </c>
      <c r="BY405" s="3" t="n">
        <v>1</v>
      </c>
      <c r="BZ405" s="2" t="inlineStr">
        <is>
          <t>A.20分钟以内</t>
        </is>
      </c>
      <c r="CA405" s="7" t="n">
        <v>0.33</v>
      </c>
      <c r="CB405" s="7" t="n">
        <v>0.33</v>
      </c>
      <c r="CC405" s="7" t="n">
        <v>0.33</v>
      </c>
      <c r="CD405" s="7" t="n">
        <v>0.33</v>
      </c>
      <c r="CE405" s="2" t="inlineStr">
        <is>
          <t>行政事务类</t>
        </is>
      </c>
      <c r="CF405" s="2"/>
      <c r="CG405" s="2" t="inlineStr">
        <is>
          <t>日常台账</t>
        </is>
      </c>
      <c r="CH405" s="2" t="inlineStr">
        <is>
          <t>岗位职责</t>
        </is>
      </c>
      <c r="CI405" s="2" t="inlineStr">
        <is>
          <t>重要不紧急</t>
        </is>
      </c>
      <c r="CJ405" s="2" t="inlineStr">
        <is>
          <t>半标准化-有流程框架，需专业经验</t>
        </is>
      </c>
      <c r="CK405" s="2" t="inlineStr">
        <is>
          <t>极少（&lt;5%）</t>
        </is>
      </c>
      <c r="CL405" s="2" t="inlineStr">
        <is>
          <t>沟通/协调负荷</t>
        </is>
      </c>
      <c r="CM405" s="2"/>
      <c r="CN405" s="2" t="inlineStr">
        <is>
          <t>2b14bcbe-6288-4a03-a7e0-1ac23a85b99c</t>
        </is>
      </c>
      <c r="CO405" s="3" t="n">
        <v>1</v>
      </c>
      <c r="CP405" s="2"/>
      <c r="CQ405" s="2"/>
      <c r="CR405" s="2"/>
      <c r="CS405" s="3"/>
      <c r="CT405" s="3"/>
      <c r="CU405" s="2"/>
      <c r="CV405" s="3"/>
      <c r="CW405" s="3"/>
      <c r="CX405" s="3"/>
      <c r="CY405" s="3"/>
      <c r="CZ405" s="2"/>
      <c r="DA405" s="2"/>
      <c r="DB405" s="2"/>
      <c r="DC405" s="2"/>
      <c r="DD405" s="2"/>
      <c r="DE405" s="2"/>
      <c r="DF405" s="2"/>
      <c r="DG405" s="2"/>
      <c r="DH405" s="2"/>
      <c r="DI405" s="2" t="inlineStr">
        <is>
          <t>33b59d88-fed6-4e8c-8d30-7568462240a2</t>
        </is>
      </c>
      <c r="DJ405" s="3" t="n">
        <v>1</v>
      </c>
      <c r="DK405" s="2"/>
      <c r="DL405" s="2" t="inlineStr">
        <is>
          <t>九大员证书、中国石化质检员证书、化工装置拆除证书复审资料收集统计</t>
        </is>
      </c>
      <c r="DM405" s="2" t="inlineStr">
        <is>
          <t>1次</t>
        </is>
      </c>
      <c r="DN405" s="3" t="n">
        <v>1</v>
      </c>
      <c r="DO405" s="3" t="n">
        <v>1</v>
      </c>
      <c r="DP405" s="2" t="inlineStr">
        <is>
          <t>E.8小时以上</t>
        </is>
      </c>
      <c r="DQ405" s="7" t="n">
        <v>8</v>
      </c>
      <c r="DR405" s="7" t="n">
        <v>8</v>
      </c>
      <c r="DS405" s="7" t="n">
        <v>8</v>
      </c>
      <c r="DT405" s="7" t="n">
        <v>8</v>
      </c>
      <c r="DU405" s="2" t="inlineStr">
        <is>
          <t>行政事务类</t>
        </is>
      </c>
      <c r="DV405" s="2"/>
      <c r="DW405" s="2" t="inlineStr">
        <is>
          <t>日常台账</t>
        </is>
      </c>
      <c r="DX405" s="2" t="inlineStr">
        <is>
          <t>跨部门协同</t>
        </is>
      </c>
      <c r="DY405" s="2" t="inlineStr">
        <is>
          <t>重要且紧急</t>
        </is>
      </c>
      <c r="DZ405" s="2" t="inlineStr">
        <is>
          <t>高度标准化-有成熟SOP，照做即可</t>
        </is>
      </c>
      <c r="EA405" s="2" t="inlineStr">
        <is>
          <t>极少（&lt;5%）</t>
        </is>
      </c>
      <c r="EB405" s="2" t="inlineStr">
        <is>
          <t>脑力/复杂度负荷</t>
        </is>
      </c>
      <c r="EC405" s="2"/>
      <c r="ED405" s="2" t="inlineStr">
        <is>
          <t>089b1d64-f40f-4a0e-8b42-9efa97199a14</t>
        </is>
      </c>
      <c r="EE405" s="3" t="n">
        <v>1</v>
      </c>
      <c r="EF405" s="2"/>
      <c r="EG405" s="2" t="inlineStr">
        <is>
          <t>劳务资格证书年审</t>
        </is>
      </c>
      <c r="EH405" s="2" t="inlineStr">
        <is>
          <t>1次</t>
        </is>
      </c>
      <c r="EI405" s="3" t="n">
        <v>1</v>
      </c>
      <c r="EJ405" s="2" t="inlineStr">
        <is>
          <t>E.8小时以上</t>
        </is>
      </c>
      <c r="EK405" s="7" t="n">
        <v>8</v>
      </c>
      <c r="EL405" s="7" t="n">
        <v>8</v>
      </c>
      <c r="EM405" s="7" t="n">
        <v>8</v>
      </c>
      <c r="EN405" s="7" t="n">
        <v>8</v>
      </c>
      <c r="EO405" s="2" t="inlineStr">
        <is>
          <t>监督检查类</t>
        </is>
      </c>
      <c r="EP405" s="2"/>
      <c r="EQ405" s="2" t="inlineStr">
        <is>
          <t>合规监督</t>
        </is>
      </c>
      <c r="ER405" s="2" t="inlineStr">
        <is>
          <t>上级指令</t>
        </is>
      </c>
      <c r="ES405" s="2" t="inlineStr">
        <is>
          <t>重要且紧急</t>
        </is>
      </c>
      <c r="ET405" s="2" t="inlineStr">
        <is>
          <t>非标准化</t>
        </is>
      </c>
      <c r="EU405" s="2" t="inlineStr">
        <is>
          <t>极少（&lt;5%）</t>
        </is>
      </c>
      <c r="EV405" s="2" t="inlineStr">
        <is>
          <t>沟通/协调负荷</t>
        </is>
      </c>
      <c r="EW405" s="2"/>
      <c r="EX405" s="2" t="inlineStr">
        <is>
          <t>bca1b267-8a50-4a0d-93be-21e99748fd32</t>
        </is>
      </c>
      <c r="EY405" s="3" t="n">
        <v>1</v>
      </c>
      <c r="EZ405" s="2"/>
      <c r="FA405" s="2" t="inlineStr">
        <is>
          <t>印章刻制及其它临时性工作安排</t>
        </is>
      </c>
      <c r="FB405" s="2" t="inlineStr">
        <is>
          <t>每月3-5次</t>
        </is>
      </c>
      <c r="FC405" s="2" t="inlineStr">
        <is>
          <t>月</t>
        </is>
      </c>
      <c r="FD405" s="3" t="n">
        <v>3</v>
      </c>
      <c r="FE405" s="3" t="n">
        <v>3</v>
      </c>
      <c r="FF405" s="2" t="inlineStr">
        <is>
          <t>C.2-4小时</t>
        </is>
      </c>
      <c r="FG405" s="7" t="n">
        <v>2</v>
      </c>
      <c r="FH405" s="7" t="n">
        <v>4</v>
      </c>
      <c r="FI405" s="7" t="n">
        <v>6</v>
      </c>
      <c r="FJ405" s="7" t="n">
        <v>12</v>
      </c>
      <c r="FK405" s="7" t="n">
        <v>0</v>
      </c>
      <c r="FL405" s="7" t="n">
        <v>0</v>
      </c>
      <c r="FM405" s="7" t="n">
        <v>0</v>
      </c>
      <c r="FN405" s="7" t="n">
        <v>0</v>
      </c>
      <c r="FO405" s="2" t="inlineStr">
        <is>
          <t>行政事务类</t>
        </is>
      </c>
      <c r="FP405" s="2"/>
      <c r="FQ405" s="2" t="inlineStr">
        <is>
          <t>日常台账</t>
        </is>
      </c>
      <c r="FR405" s="2" t="inlineStr">
        <is>
          <t>跨部门协同</t>
        </is>
      </c>
      <c r="FS405" s="2" t="inlineStr">
        <is>
          <t>重要且紧急</t>
        </is>
      </c>
      <c r="FT405" s="2" t="inlineStr">
        <is>
          <t>半标准化</t>
        </is>
      </c>
      <c r="FU405" s="2" t="inlineStr">
        <is>
          <t>极少（&lt;5%）</t>
        </is>
      </c>
      <c r="FV405" s="2" t="inlineStr">
        <is>
          <t>沟通/协调负荷</t>
        </is>
      </c>
      <c r="FW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t="inlineStr">
        <is>
          <t>7e35dc13-237a-4de9-95e0-428229bd3213</t>
        </is>
      </c>
      <c r="BT406" s="3" t="n">
        <v>2</v>
      </c>
      <c r="BU406" s="2" t="inlineStr">
        <is>
          <t>流程审批类</t>
        </is>
      </c>
      <c r="BV406" s="2" t="inlineStr">
        <is>
          <t>员工培训请假、工资、部门调动及各类ERP流程审批</t>
        </is>
      </c>
      <c r="BW406" s="2" t="inlineStr">
        <is>
          <t>1次</t>
        </is>
      </c>
      <c r="BX406" s="3" t="n">
        <v>1</v>
      </c>
      <c r="BY406" s="3" t="n">
        <v>1</v>
      </c>
      <c r="BZ406" s="2" t="inlineStr">
        <is>
          <t>A.20分钟以内</t>
        </is>
      </c>
      <c r="CA406" s="7" t="n">
        <v>0.33</v>
      </c>
      <c r="CB406" s="7" t="n">
        <v>0.33</v>
      </c>
      <c r="CC406" s="7" t="n">
        <v>0.33</v>
      </c>
      <c r="CD406" s="7" t="n">
        <v>0.33</v>
      </c>
      <c r="CE406" s="2" t="inlineStr">
        <is>
          <t>流程审批类</t>
        </is>
      </c>
      <c r="CF406" s="2"/>
      <c r="CG406" s="2" t="inlineStr">
        <is>
          <t>请假审批</t>
        </is>
      </c>
      <c r="CH406" s="2" t="inlineStr">
        <is>
          <t>跨部门协同</t>
        </is>
      </c>
      <c r="CI406" s="2" t="inlineStr">
        <is>
          <t>重要不紧急</t>
        </is>
      </c>
      <c r="CJ406" s="2" t="inlineStr">
        <is>
          <t>半标准化-有流程框架，需专业经验</t>
        </is>
      </c>
      <c r="CK406" s="2" t="inlineStr">
        <is>
          <t>极少（&lt;5%）</t>
        </is>
      </c>
      <c r="CL406" s="2" t="inlineStr">
        <is>
          <t>沟通/协调负荷</t>
        </is>
      </c>
      <c r="CM406" s="2"/>
      <c r="CN406" s="2"/>
      <c r="CO406" s="2"/>
      <c r="CP406" s="2"/>
      <c r="CQ406" s="2"/>
      <c r="CR406" s="2"/>
      <c r="CS406" s="2"/>
      <c r="CT406" s="2"/>
      <c r="CU406" s="2"/>
      <c r="CV406" s="2"/>
      <c r="CW406" s="2"/>
      <c r="CX406" s="2"/>
      <c r="CY406" s="2"/>
      <c r="CZ406" s="2"/>
      <c r="DA406" s="2"/>
      <c r="DB406" s="2"/>
      <c r="DC406" s="2"/>
      <c r="DD406" s="2"/>
      <c r="DE406" s="2"/>
      <c r="DF406" s="2"/>
      <c r="DG406" s="2"/>
      <c r="DH406" s="2"/>
      <c r="DI406" s="2" t="inlineStr">
        <is>
          <t>7e460346-2d73-42dc-98b5-0937d83eed43</t>
        </is>
      </c>
      <c r="DJ406" s="3" t="n">
        <v>2</v>
      </c>
      <c r="DK406" s="2"/>
      <c r="DL406" s="2" t="inlineStr">
        <is>
          <t>跟各分公司沟通九大员证书、中国石化焊接质检员证书的新培取证</t>
        </is>
      </c>
      <c r="DM406" s="2" t="inlineStr">
        <is>
          <t>1次</t>
        </is>
      </c>
      <c r="DN406" s="3" t="n">
        <v>1</v>
      </c>
      <c r="DO406" s="3" t="n">
        <v>1</v>
      </c>
      <c r="DP406" s="2" t="inlineStr">
        <is>
          <t>C.2-4小时</t>
        </is>
      </c>
      <c r="DQ406" s="7" t="n">
        <v>2</v>
      </c>
      <c r="DR406" s="7" t="n">
        <v>4</v>
      </c>
      <c r="DS406" s="7" t="n">
        <v>2</v>
      </c>
      <c r="DT406" s="7" t="n">
        <v>4</v>
      </c>
      <c r="DU406" s="2" t="inlineStr">
        <is>
          <t>协调沟通类</t>
        </is>
      </c>
      <c r="DV406" s="2"/>
      <c r="DW406" s="2" t="inlineStr">
        <is>
          <t>接口协调</t>
        </is>
      </c>
      <c r="DX406" s="2" t="inlineStr">
        <is>
          <t>岗位职责</t>
        </is>
      </c>
      <c r="DY406" s="2" t="inlineStr">
        <is>
          <t>重要且紧急</t>
        </is>
      </c>
      <c r="DZ406" s="2" t="inlineStr">
        <is>
          <t>半标准化-有流程框架，需专业经验</t>
        </is>
      </c>
      <c r="EA406" s="2" t="inlineStr">
        <is>
          <t>极少（&lt;5%）</t>
        </is>
      </c>
      <c r="EB406" s="2" t="inlineStr">
        <is>
          <t>沟通/协调负荷</t>
        </is>
      </c>
      <c r="EC406" s="2"/>
      <c r="ED406" s="2" t="inlineStr">
        <is>
          <t>2144612f-7ea4-414e-8cf2-c03a0d6d40de</t>
        </is>
      </c>
      <c r="EE406" s="3" t="n">
        <v>2</v>
      </c>
      <c r="EF406" s="2"/>
      <c r="EG406" s="2" t="inlineStr">
        <is>
          <t>商务局及商务部相关部门的随访检查</t>
        </is>
      </c>
      <c r="EH406" s="2" t="inlineStr">
        <is>
          <t>2次</t>
        </is>
      </c>
      <c r="EI406" s="3" t="n">
        <v>2</v>
      </c>
      <c r="EJ406" s="2" t="inlineStr">
        <is>
          <t>E.8小时以上</t>
        </is>
      </c>
      <c r="EK406" s="7" t="n">
        <v>8</v>
      </c>
      <c r="EL406" s="7" t="n">
        <v>8</v>
      </c>
      <c r="EM406" s="7" t="n">
        <v>16</v>
      </c>
      <c r="EN406" s="7" t="n">
        <v>16</v>
      </c>
      <c r="EO406" s="2" t="inlineStr">
        <is>
          <t>监督检查类</t>
        </is>
      </c>
      <c r="EP406" s="2"/>
      <c r="EQ406" s="2" t="inlineStr">
        <is>
          <t>专项检查</t>
        </is>
      </c>
      <c r="ER406" s="2" t="inlineStr">
        <is>
          <t>上级指令</t>
        </is>
      </c>
      <c r="ES406" s="2" t="inlineStr">
        <is>
          <t>重要且紧急</t>
        </is>
      </c>
      <c r="ET406" s="2" t="inlineStr">
        <is>
          <t>非标准化-无先例参考，需创新协调</t>
        </is>
      </c>
      <c r="EU406" s="2" t="inlineStr">
        <is>
          <t>低频（5%-10%）</t>
        </is>
      </c>
      <c r="EV406" s="2" t="inlineStr">
        <is>
          <t>责任/风险负荷</t>
        </is>
      </c>
      <c r="EW406" s="2"/>
      <c r="EX406" s="2" t="inlineStr">
        <is>
          <t>dcfcbc43-4f42-48cb-8b60-b3d3aced06dd</t>
        </is>
      </c>
      <c r="EY406" s="3" t="n">
        <v>2</v>
      </c>
      <c r="EZ406" s="2"/>
      <c r="FA406" s="2" t="inlineStr">
        <is>
          <t>境外人身意外伤害定残、赔付、医药费用报销及其它事项跟踪落实</t>
        </is>
      </c>
      <c r="FB406" s="2" t="inlineStr">
        <is>
          <t>每年3次以上</t>
        </is>
      </c>
      <c r="FC406" s="2" t="inlineStr">
        <is>
          <t>年</t>
        </is>
      </c>
      <c r="FD406" s="3" t="n">
        <v>3</v>
      </c>
      <c r="FE406" s="3" t="n">
        <v>3</v>
      </c>
      <c r="FF406" s="2" t="inlineStr">
        <is>
          <t>C.2-4小时</t>
        </is>
      </c>
      <c r="FG406" s="7" t="n">
        <v>2</v>
      </c>
      <c r="FH406" s="7" t="n">
        <v>4</v>
      </c>
      <c r="FI406" s="7" t="n">
        <v>0</v>
      </c>
      <c r="FJ406" s="7" t="n">
        <v>0</v>
      </c>
      <c r="FK406" s="7" t="n">
        <v>0</v>
      </c>
      <c r="FL406" s="7" t="n">
        <v>0</v>
      </c>
      <c r="FM406" s="7" t="n">
        <v>6</v>
      </c>
      <c r="FN406" s="7" t="n">
        <v>12</v>
      </c>
      <c r="FO406" s="2" t="inlineStr">
        <is>
          <t>行政事务类</t>
        </is>
      </c>
      <c r="FP406" s="2"/>
      <c r="FQ406" s="2" t="inlineStr">
        <is>
          <t>日常台账</t>
        </is>
      </c>
      <c r="FR406" s="2" t="inlineStr">
        <is>
          <t>跨部门协同</t>
        </is>
      </c>
      <c r="FS406" s="2" t="inlineStr">
        <is>
          <t>重要且紧急</t>
        </is>
      </c>
      <c r="FT406" s="2" t="inlineStr">
        <is>
          <t>高度标准化</t>
        </is>
      </c>
      <c r="FU406" s="2" t="inlineStr">
        <is>
          <t>极少（&lt;5%）</t>
        </is>
      </c>
      <c r="FV406" s="2" t="inlineStr">
        <is>
          <t>沟通/协调负荷</t>
        </is>
      </c>
      <c r="FW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t="inlineStr">
        <is>
          <t>f7033f53-cc96-4542-ac62-a7d804c0d077</t>
        </is>
      </c>
      <c r="DJ407" s="3" t="n">
        <v>3</v>
      </c>
      <c r="DK407" s="2"/>
      <c r="DL407" s="2" t="inlineStr">
        <is>
          <t>各类证书扫描存档</t>
        </is>
      </c>
      <c r="DM407" s="2" t="inlineStr">
        <is>
          <t>1次</t>
        </is>
      </c>
      <c r="DN407" s="3" t="n">
        <v>1</v>
      </c>
      <c r="DO407" s="3" t="n">
        <v>1</v>
      </c>
      <c r="DP407" s="2" t="inlineStr">
        <is>
          <t>C.2-4小时</t>
        </is>
      </c>
      <c r="DQ407" s="7" t="n">
        <v>2</v>
      </c>
      <c r="DR407" s="7" t="n">
        <v>4</v>
      </c>
      <c r="DS407" s="7" t="n">
        <v>2</v>
      </c>
      <c r="DT407" s="7" t="n">
        <v>4</v>
      </c>
      <c r="DU407" s="2" t="inlineStr">
        <is>
          <t>综合管理类</t>
        </is>
      </c>
      <c r="DV407" s="2"/>
      <c r="DW407" s="2" t="inlineStr">
        <is>
          <t>专题工作推进</t>
        </is>
      </c>
      <c r="DX407" s="2" t="inlineStr">
        <is>
          <t>岗位职责</t>
        </is>
      </c>
      <c r="DY407" s="2" t="inlineStr">
        <is>
          <t>重要不紧急</t>
        </is>
      </c>
      <c r="DZ407" s="2" t="inlineStr">
        <is>
          <t>半标准化-有流程框架，需专业经验</t>
        </is>
      </c>
      <c r="EA407" s="2" t="inlineStr">
        <is>
          <t>极少（&lt;5%）</t>
        </is>
      </c>
      <c r="EB407" s="2" t="inlineStr">
        <is>
          <t>时效/强度负荷</t>
        </is>
      </c>
      <c r="EC407" s="2"/>
      <c r="ED407" s="2" t="inlineStr">
        <is>
          <t>0fba4a96-36ff-4b20-954f-b8c4e0463e02</t>
        </is>
      </c>
      <c r="EE407" s="3" t="n">
        <v>3</v>
      </c>
      <c r="EF407" s="2"/>
      <c r="EG407" s="2" t="inlineStr">
        <is>
          <t>商务部系统关于劳务人员月度报表、季度报表、专项检查数据填写</t>
        </is>
      </c>
      <c r="EH407" s="2" t="inlineStr">
        <is>
          <t>2次</t>
        </is>
      </c>
      <c r="EI407" s="3" t="n">
        <v>2</v>
      </c>
      <c r="EJ407" s="2" t="inlineStr">
        <is>
          <t>C.2-4小时</t>
        </is>
      </c>
      <c r="EK407" s="7" t="n">
        <v>2</v>
      </c>
      <c r="EL407" s="7" t="n">
        <v>4</v>
      </c>
      <c r="EM407" s="7" t="n">
        <v>4</v>
      </c>
      <c r="EN407" s="7" t="n">
        <v>8</v>
      </c>
      <c r="EO407" s="2" t="inlineStr">
        <is>
          <t>数据报表类</t>
        </is>
      </c>
      <c r="EP407" s="2"/>
      <c r="EQ407" s="2" t="inlineStr">
        <is>
          <t>专项统计</t>
        </is>
      </c>
      <c r="ER407" s="2" t="inlineStr">
        <is>
          <t>上级指令</t>
        </is>
      </c>
      <c r="ES407" s="2" t="inlineStr">
        <is>
          <t>重要且紧急</t>
        </is>
      </c>
      <c r="ET407" s="2" t="inlineStr">
        <is>
          <t>非标准化-无先例参考，需创新协调</t>
        </is>
      </c>
      <c r="EU407" s="2" t="inlineStr">
        <is>
          <t>低频（5%-10%）</t>
        </is>
      </c>
      <c r="EV407" s="2" t="inlineStr">
        <is>
          <t>时效/强度负荷</t>
        </is>
      </c>
      <c r="EW407" s="2"/>
      <c r="EX407" s="2" t="inlineStr">
        <is>
          <t>581ba793-3688-41df-b7e2-908a5ec9a8c6</t>
        </is>
      </c>
      <c r="EY407" s="3" t="n">
        <v>3</v>
      </c>
      <c r="EZ407" s="2"/>
      <c r="FA407" s="2" t="inlineStr">
        <is>
          <t>国外人员医疗费用报销</t>
        </is>
      </c>
      <c r="FB407" s="2" t="inlineStr">
        <is>
          <t>每季3次以上</t>
        </is>
      </c>
      <c r="FC407" s="2" t="inlineStr">
        <is>
          <t>季</t>
        </is>
      </c>
      <c r="FD407" s="3" t="n">
        <v>3</v>
      </c>
      <c r="FE407" s="3" t="n">
        <v>3</v>
      </c>
      <c r="FF407" s="2" t="inlineStr">
        <is>
          <t>A.20分钟以内</t>
        </is>
      </c>
      <c r="FG407" s="7" t="n">
        <v>0.33</v>
      </c>
      <c r="FH407" s="7" t="n">
        <v>0.33</v>
      </c>
      <c r="FI407" s="7" t="n">
        <v>0</v>
      </c>
      <c r="FJ407" s="7" t="n">
        <v>0</v>
      </c>
      <c r="FK407" s="7" t="n">
        <v>0.99</v>
      </c>
      <c r="FL407" s="7" t="n">
        <v>0.99</v>
      </c>
      <c r="FM407" s="7" t="n">
        <v>0</v>
      </c>
      <c r="FN407" s="7" t="n">
        <v>0</v>
      </c>
      <c r="FO407" s="2" t="inlineStr">
        <is>
          <t>行政事务类</t>
        </is>
      </c>
      <c r="FP407" s="2"/>
      <c r="FQ407" s="2" t="inlineStr">
        <is>
          <t>日常台账</t>
        </is>
      </c>
      <c r="FR407" s="2" t="inlineStr">
        <is>
          <t>岗位职责</t>
        </is>
      </c>
      <c r="FS407" s="2" t="inlineStr">
        <is>
          <t>重要不紧急</t>
        </is>
      </c>
      <c r="FT407" s="2" t="inlineStr">
        <is>
          <t>高度标准化</t>
        </is>
      </c>
      <c r="FU407" s="2" t="inlineStr">
        <is>
          <t>极少（&lt;5%）</t>
        </is>
      </c>
      <c r="FV407" s="2" t="inlineStr">
        <is>
          <t>沟通/协调负荷</t>
        </is>
      </c>
      <c r="FW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t="inlineStr">
        <is>
          <t>c362b5b9-1047-4278-b4f2-e81ac75d1ce7</t>
        </is>
      </c>
      <c r="DJ408" s="3" t="n">
        <v>4</v>
      </c>
      <c r="DK408" s="2"/>
      <c r="DL408" s="2" t="inlineStr">
        <is>
          <t>根据公司年度培训计划，跟踪落实部门培训计划，并根据落实情况完成单位评价，做好月度、季度、年度统计工作</t>
        </is>
      </c>
      <c r="DM408" s="2" t="inlineStr">
        <is>
          <t>2-3次</t>
        </is>
      </c>
      <c r="DN408" s="3" t="n">
        <v>2</v>
      </c>
      <c r="DO408" s="3" t="n">
        <v>3</v>
      </c>
      <c r="DP408" s="2" t="inlineStr">
        <is>
          <t>D.4-8小时</t>
        </is>
      </c>
      <c r="DQ408" s="7" t="n">
        <v>4</v>
      </c>
      <c r="DR408" s="7" t="n">
        <v>8</v>
      </c>
      <c r="DS408" s="7" t="n">
        <v>8</v>
      </c>
      <c r="DT408" s="7" t="n">
        <v>24</v>
      </c>
      <c r="DU408" s="2" t="inlineStr">
        <is>
          <t>综合管理类</t>
        </is>
      </c>
      <c r="DV408" s="2"/>
      <c r="DW408" s="2" t="inlineStr">
        <is>
          <t>专题工作推进</t>
        </is>
      </c>
      <c r="DX408" s="2" t="inlineStr">
        <is>
          <t>跨部门协同</t>
        </is>
      </c>
      <c r="DY408" s="2" t="inlineStr">
        <is>
          <t>重要不紧急</t>
        </is>
      </c>
      <c r="DZ408" s="2" t="inlineStr">
        <is>
          <t>半标准化-有流程框架，需专业经验</t>
        </is>
      </c>
      <c r="EA408" s="2" t="inlineStr">
        <is>
          <t>极少（&lt;5%）</t>
        </is>
      </c>
      <c r="EB408" s="2" t="inlineStr">
        <is>
          <t>沟通/协调负荷</t>
        </is>
      </c>
      <c r="EC408" s="2"/>
      <c r="ED408" s="2" t="inlineStr">
        <is>
          <t>704d3c3c-847d-40de-94c0-6b189503322a</t>
        </is>
      </c>
      <c r="EE408" s="3" t="n">
        <v>4</v>
      </c>
      <c r="EF408" s="2"/>
      <c r="EG408" s="2" t="inlineStr">
        <is>
          <t>公司HSE部外审会议、证书及培训资料查阅</t>
        </is>
      </c>
      <c r="EH408" s="2" t="inlineStr">
        <is>
          <t>1次</t>
        </is>
      </c>
      <c r="EI408" s="3" t="n">
        <v>1</v>
      </c>
      <c r="EJ408" s="2" t="inlineStr">
        <is>
          <t>E.8小时以上</t>
        </is>
      </c>
      <c r="EK408" s="7" t="n">
        <v>8</v>
      </c>
      <c r="EL408" s="7" t="n">
        <v>8</v>
      </c>
      <c r="EM408" s="7" t="n">
        <v>8</v>
      </c>
      <c r="EN408" s="7" t="n">
        <v>8</v>
      </c>
      <c r="EO408" s="2" t="inlineStr">
        <is>
          <t>监督检查类</t>
        </is>
      </c>
      <c r="EP408" s="2"/>
      <c r="EQ408" s="2" t="inlineStr">
        <is>
          <t>合规监督</t>
        </is>
      </c>
      <c r="ER408" s="2" t="inlineStr">
        <is>
          <t>跨部门协同</t>
        </is>
      </c>
      <c r="ES408" s="2" t="inlineStr">
        <is>
          <t>重要且紧急</t>
        </is>
      </c>
      <c r="ET408" s="2" t="inlineStr">
        <is>
          <t>非标准化-无先例参考，需创新协调</t>
        </is>
      </c>
      <c r="EU408" s="2" t="inlineStr">
        <is>
          <t>极少（&lt;5%）</t>
        </is>
      </c>
      <c r="EV408" s="2" t="inlineStr">
        <is>
          <t>沟通/协调负荷</t>
        </is>
      </c>
      <c r="EW408" s="2"/>
      <c r="EX408" s="2" t="inlineStr">
        <is>
          <t>d109df2a-7c21-4f17-a8ff-85d45387747c</t>
        </is>
      </c>
      <c r="EY408" s="3" t="n">
        <v>4</v>
      </c>
      <c r="EZ408" s="2"/>
      <c r="FA408" s="2" t="inlineStr">
        <is>
          <t>解答证书取证及证书下载、考试等各种问题咨询</t>
        </is>
      </c>
      <c r="FB408" s="2" t="inlineStr">
        <is>
          <t>每月3次以上</t>
        </is>
      </c>
      <c r="FC408" s="2" t="inlineStr">
        <is>
          <t>月</t>
        </is>
      </c>
      <c r="FD408" s="3" t="n">
        <v>3</v>
      </c>
      <c r="FE408" s="3" t="n">
        <v>3</v>
      </c>
      <c r="FF408" s="2" t="inlineStr">
        <is>
          <t>C.2-4小时</t>
        </is>
      </c>
      <c r="FG408" s="7" t="n">
        <v>2</v>
      </c>
      <c r="FH408" s="7" t="n">
        <v>4</v>
      </c>
      <c r="FI408" s="7" t="n">
        <v>6</v>
      </c>
      <c r="FJ408" s="7" t="n">
        <v>12</v>
      </c>
      <c r="FK408" s="7" t="n">
        <v>0</v>
      </c>
      <c r="FL408" s="7" t="n">
        <v>0</v>
      </c>
      <c r="FM408" s="7" t="n">
        <v>0</v>
      </c>
      <c r="FN408" s="7" t="n">
        <v>0</v>
      </c>
      <c r="FO408" s="2" t="inlineStr">
        <is>
          <t>行政事务类</t>
        </is>
      </c>
      <c r="FP408" s="2"/>
      <c r="FQ408" s="2" t="inlineStr">
        <is>
          <t>日常台账</t>
        </is>
      </c>
      <c r="FR408" s="2" t="inlineStr">
        <is>
          <t>岗位职责</t>
        </is>
      </c>
      <c r="FS408" s="2" t="inlineStr">
        <is>
          <t>重要且紧急</t>
        </is>
      </c>
      <c r="FT408" s="2" t="inlineStr">
        <is>
          <t>高度标准化</t>
        </is>
      </c>
      <c r="FU408" s="2" t="inlineStr">
        <is>
          <t>极少（&lt;5%）</t>
        </is>
      </c>
      <c r="FV408" s="2" t="inlineStr">
        <is>
          <t>沟通/协调负荷</t>
        </is>
      </c>
      <c r="FW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t="inlineStr">
        <is>
          <t>19b4094e-4e8f-405d-9d69-26447b48f674</t>
        </is>
      </c>
      <c r="DJ409" s="3" t="n">
        <v>5</v>
      </c>
      <c r="DK409" s="2"/>
      <c r="DL409" s="2" t="inlineStr">
        <is>
          <t>部门月度会议</t>
        </is>
      </c>
      <c r="DM409" s="2" t="inlineStr">
        <is>
          <t>1次</t>
        </is>
      </c>
      <c r="DN409" s="3" t="n">
        <v>1</v>
      </c>
      <c r="DO409" s="3" t="n">
        <v>1</v>
      </c>
      <c r="DP409" s="2" t="inlineStr">
        <is>
          <t>C.2-4小时</t>
        </is>
      </c>
      <c r="DQ409" s="7" t="n">
        <v>2</v>
      </c>
      <c r="DR409" s="7" t="n">
        <v>4</v>
      </c>
      <c r="DS409" s="7" t="n">
        <v>2</v>
      </c>
      <c r="DT409" s="7" t="n">
        <v>4</v>
      </c>
      <c r="DU409" s="2" t="inlineStr">
        <is>
          <t>行政事务类</t>
        </is>
      </c>
      <c r="DV409" s="2"/>
      <c r="DW409" s="2" t="inlineStr">
        <is>
          <t>会议安排</t>
        </is>
      </c>
      <c r="DX409" s="2" t="inlineStr">
        <is>
          <t>部门计划</t>
        </is>
      </c>
      <c r="DY409" s="2" t="inlineStr">
        <is>
          <t>重要且紧急</t>
        </is>
      </c>
      <c r="DZ409" s="2" t="inlineStr">
        <is>
          <t>半标准化-有流程框架，需专业经验</t>
        </is>
      </c>
      <c r="EA409" s="2" t="inlineStr">
        <is>
          <t>极少（&lt;5%）</t>
        </is>
      </c>
      <c r="EB409" s="2" t="inlineStr">
        <is>
          <t>沟通/协调负荷</t>
        </is>
      </c>
      <c r="EC409" s="2"/>
      <c r="ED409" s="2" t="inlineStr">
        <is>
          <t>e3dc030f-7f30-4649-83c2-19b84f8df155</t>
        </is>
      </c>
      <c r="EE409" s="3" t="n">
        <v>5</v>
      </c>
      <c r="EF409" s="2"/>
      <c r="EG409" s="2" t="inlineStr">
        <is>
          <t>公司技术质量部特种设备换证会议、各类证书、台账及培训资料查阅</t>
        </is>
      </c>
      <c r="EH409" s="2" t="inlineStr">
        <is>
          <t>1次</t>
        </is>
      </c>
      <c r="EI409" s="3" t="n">
        <v>1</v>
      </c>
      <c r="EJ409" s="2" t="inlineStr">
        <is>
          <t>E.8小时以上</t>
        </is>
      </c>
      <c r="EK409" s="7" t="n">
        <v>8</v>
      </c>
      <c r="EL409" s="7" t="n">
        <v>8</v>
      </c>
      <c r="EM409" s="7" t="n">
        <v>8</v>
      </c>
      <c r="EN409" s="7" t="n">
        <v>8</v>
      </c>
      <c r="EO409" s="2" t="inlineStr">
        <is>
          <t>监督检查类</t>
        </is>
      </c>
      <c r="EP409" s="2"/>
      <c r="EQ409" s="2" t="inlineStr">
        <is>
          <t>专项检查</t>
        </is>
      </c>
      <c r="ER409" s="2" t="inlineStr">
        <is>
          <t>跨部门协同</t>
        </is>
      </c>
      <c r="ES409" s="2" t="inlineStr">
        <is>
          <t>重要且紧急</t>
        </is>
      </c>
      <c r="ET409" s="2" t="inlineStr">
        <is>
          <t>半标准化-有流程框架，需专业经验</t>
        </is>
      </c>
      <c r="EU409" s="2" t="inlineStr">
        <is>
          <t>极少（&lt;5%）</t>
        </is>
      </c>
      <c r="EV409" s="2" t="inlineStr">
        <is>
          <t>沟通/协调负荷</t>
        </is>
      </c>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t="inlineStr">
        <is>
          <t>f0d6687c-b385-4d8d-b686-3201279bce4e</t>
        </is>
      </c>
      <c r="DJ410" s="3" t="n">
        <v>6</v>
      </c>
      <c r="DK410" s="2"/>
      <c r="DL410" s="2" t="inlineStr">
        <is>
          <t>证书月度报表</t>
        </is>
      </c>
      <c r="DM410" s="2" t="inlineStr">
        <is>
          <t>1次</t>
        </is>
      </c>
      <c r="DN410" s="3" t="n">
        <v>1</v>
      </c>
      <c r="DO410" s="3" t="n">
        <v>1</v>
      </c>
      <c r="DP410" s="2" t="inlineStr">
        <is>
          <t>C.2-4小时</t>
        </is>
      </c>
      <c r="DQ410" s="7" t="n">
        <v>2</v>
      </c>
      <c r="DR410" s="7" t="n">
        <v>4</v>
      </c>
      <c r="DS410" s="7" t="n">
        <v>2</v>
      </c>
      <c r="DT410" s="7" t="n">
        <v>4</v>
      </c>
      <c r="DU410" s="2" t="inlineStr">
        <is>
          <t>数据报表类</t>
        </is>
      </c>
      <c r="DV410" s="2"/>
      <c r="DW410" s="2" t="inlineStr">
        <is>
          <t>月报</t>
        </is>
      </c>
      <c r="DX410" s="2" t="inlineStr">
        <is>
          <t>岗位职责</t>
        </is>
      </c>
      <c r="DY410" s="2" t="inlineStr">
        <is>
          <t>重要且紧急</t>
        </is>
      </c>
      <c r="DZ410" s="2" t="inlineStr">
        <is>
          <t>半标准化-有流程框架，需专业经验</t>
        </is>
      </c>
      <c r="EA410" s="2" t="inlineStr">
        <is>
          <t>低频（5%-10%）</t>
        </is>
      </c>
      <c r="EB410" s="2" t="inlineStr">
        <is>
          <t>时效/强度负荷</t>
        </is>
      </c>
      <c r="EC410" s="2"/>
      <c r="ED410" s="2" t="inlineStr">
        <is>
          <t>7dac0b07-ba04-4b1f-9e9a-0afecf0d949f</t>
        </is>
      </c>
      <c r="EE410" s="3" t="n">
        <v>6</v>
      </c>
      <c r="EF410" s="2"/>
      <c r="EG410" s="2" t="inlineStr">
        <is>
          <t>公司信息化中心两化融合会议、培训资料等查阅</t>
        </is>
      </c>
      <c r="EH410" s="2" t="inlineStr">
        <is>
          <t>1次</t>
        </is>
      </c>
      <c r="EI410" s="3" t="n">
        <v>1</v>
      </c>
      <c r="EJ410" s="2" t="inlineStr">
        <is>
          <t>E.8小时以上</t>
        </is>
      </c>
      <c r="EK410" s="7" t="n">
        <v>8</v>
      </c>
      <c r="EL410" s="7" t="n">
        <v>8</v>
      </c>
      <c r="EM410" s="7" t="n">
        <v>8</v>
      </c>
      <c r="EN410" s="7" t="n">
        <v>8</v>
      </c>
      <c r="EO410" s="2" t="inlineStr">
        <is>
          <t>监督检查类</t>
        </is>
      </c>
      <c r="EP410" s="2"/>
      <c r="EQ410" s="2" t="inlineStr">
        <is>
          <t>专项检查</t>
        </is>
      </c>
      <c r="ER410" s="2" t="inlineStr">
        <is>
          <t>跨部门协同</t>
        </is>
      </c>
      <c r="ES410" s="2" t="inlineStr">
        <is>
          <t>重要且紧急</t>
        </is>
      </c>
      <c r="ET410" s="2" t="inlineStr">
        <is>
          <t>半标准化-有流程框架，需专业经验</t>
        </is>
      </c>
      <c r="EU410" s="2" t="inlineStr">
        <is>
          <t>极少（&lt;5%）</t>
        </is>
      </c>
      <c r="EV410" s="2" t="inlineStr">
        <is>
          <t>沟通/协调负荷</t>
        </is>
      </c>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t="inlineStr">
        <is>
          <t>8d83e60e-2030-45f5-a5ec-30a97616850c</t>
        </is>
      </c>
      <c r="DJ411" s="3" t="n">
        <v>7</v>
      </c>
      <c r="DK411" s="2"/>
      <c r="DL411" s="2" t="inlineStr">
        <is>
          <t>月度会议汇报总结</t>
        </is>
      </c>
      <c r="DM411" s="2" t="inlineStr">
        <is>
          <t>1次</t>
        </is>
      </c>
      <c r="DN411" s="3" t="n">
        <v>1</v>
      </c>
      <c r="DO411" s="3" t="n">
        <v>1</v>
      </c>
      <c r="DP411" s="2" t="inlineStr">
        <is>
          <t>C.2-4小时</t>
        </is>
      </c>
      <c r="DQ411" s="7" t="n">
        <v>2</v>
      </c>
      <c r="DR411" s="7" t="n">
        <v>4</v>
      </c>
      <c r="DS411" s="7" t="n">
        <v>2</v>
      </c>
      <c r="DT411" s="7" t="n">
        <v>4</v>
      </c>
      <c r="DU411" s="2" t="inlineStr">
        <is>
          <t>行政事务类</t>
        </is>
      </c>
      <c r="DV411" s="2"/>
      <c r="DW411" s="2" t="inlineStr">
        <is>
          <t>会议安排</t>
        </is>
      </c>
      <c r="DX411" s="2" t="inlineStr">
        <is>
          <t>部门计划</t>
        </is>
      </c>
      <c r="DY411" s="2" t="inlineStr">
        <is>
          <t>重要且紧急</t>
        </is>
      </c>
      <c r="DZ411" s="2" t="inlineStr">
        <is>
          <t>半标准化-有流程框架，需专业经验</t>
        </is>
      </c>
      <c r="EA411" s="2" t="inlineStr">
        <is>
          <t>极少（&lt;5%）</t>
        </is>
      </c>
      <c r="EB411" s="2" t="inlineStr">
        <is>
          <t>时效/强度负荷</t>
        </is>
      </c>
      <c r="EC411" s="2"/>
      <c r="ED411" s="2" t="inlineStr">
        <is>
          <t>11d440eb-d8b1-4e3d-9957-873135064d7f</t>
        </is>
      </c>
      <c r="EE411" s="3" t="n">
        <v>7</v>
      </c>
      <c r="EF411" s="2"/>
      <c r="EG411" s="2" t="inlineStr">
        <is>
          <t>公司年度培训计划文件的起草、制定</t>
        </is>
      </c>
      <c r="EH411" s="2" t="inlineStr">
        <is>
          <t>1次</t>
        </is>
      </c>
      <c r="EI411" s="3" t="n">
        <v>1</v>
      </c>
      <c r="EJ411" s="2" t="inlineStr">
        <is>
          <t>E.8小时以上</t>
        </is>
      </c>
      <c r="EK411" s="7" t="n">
        <v>8</v>
      </c>
      <c r="EL411" s="7" t="n">
        <v>8</v>
      </c>
      <c r="EM411" s="7" t="n">
        <v>8</v>
      </c>
      <c r="EN411" s="7" t="n">
        <v>8</v>
      </c>
      <c r="EO411" s="2" t="inlineStr">
        <is>
          <t>综合管理类</t>
        </is>
      </c>
      <c r="EP411" s="2"/>
      <c r="EQ411" s="2" t="inlineStr">
        <is>
          <t>年度计划编制</t>
        </is>
      </c>
      <c r="ER411" s="2" t="inlineStr">
        <is>
          <t>部门计划</t>
        </is>
      </c>
      <c r="ES411" s="2" t="inlineStr">
        <is>
          <t>重要且紧急</t>
        </is>
      </c>
      <c r="ET411" s="2" t="inlineStr">
        <is>
          <t>半标准化-有流程框架，需专业经验</t>
        </is>
      </c>
      <c r="EU411" s="2" t="inlineStr">
        <is>
          <t>高频（&gt;30%）</t>
        </is>
      </c>
      <c r="EV411" s="2" t="inlineStr">
        <is>
          <t>沟通/协调负荷</t>
        </is>
      </c>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t="inlineStr">
        <is>
          <t>705f6f23-e156-41f2-a920-6c58dc018529</t>
        </is>
      </c>
      <c r="DJ412" s="3" t="n">
        <v>8</v>
      </c>
      <c r="DK412" s="2"/>
      <c r="DL412" s="2" t="inlineStr">
        <is>
          <t>配合各部门投标，公司八大员、九大员、中石化质检员以及各类资格证书及注册类证书借阅、印章用印</t>
        </is>
      </c>
      <c r="DM412" s="2" t="inlineStr">
        <is>
          <t>8次以上</t>
        </is>
      </c>
      <c r="DN412" s="3" t="n">
        <v>8</v>
      </c>
      <c r="DO412" s="3" t="n">
        <v>8</v>
      </c>
      <c r="DP412" s="2" t="inlineStr">
        <is>
          <t>E.8小时以上</t>
        </is>
      </c>
      <c r="DQ412" s="7" t="n">
        <v>8</v>
      </c>
      <c r="DR412" s="7" t="n">
        <v>8</v>
      </c>
      <c r="DS412" s="7" t="n">
        <v>64</v>
      </c>
      <c r="DT412" s="7" t="n">
        <v>64</v>
      </c>
      <c r="DU412" s="2" t="inlineStr">
        <is>
          <t>协调沟通类</t>
        </is>
      </c>
      <c r="DV412" s="2"/>
      <c r="DW412" s="2" t="inlineStr">
        <is>
          <t>接口协调</t>
        </is>
      </c>
      <c r="DX412" s="2" t="inlineStr">
        <is>
          <t>岗位职责</t>
        </is>
      </c>
      <c r="DY412" s="2" t="inlineStr">
        <is>
          <t>重要且紧急</t>
        </is>
      </c>
      <c r="DZ412" s="2" t="inlineStr">
        <is>
          <t>半标准化-有流程框架，需专业经验</t>
        </is>
      </c>
      <c r="EA412" s="2" t="inlineStr">
        <is>
          <t>极少（&lt;5%）</t>
        </is>
      </c>
      <c r="EB412" s="2" t="inlineStr">
        <is>
          <t>沟通/协调负荷</t>
        </is>
      </c>
      <c r="EC412" s="2"/>
      <c r="ED412" s="2" t="inlineStr">
        <is>
          <t>f6ff1316-c730-4145-bbb4-703db46355b3</t>
        </is>
      </c>
      <c r="EE412" s="3" t="n">
        <v>8</v>
      </c>
      <c r="EF412" s="2"/>
      <c r="EG412" s="2" t="inlineStr">
        <is>
          <t>出境人员团体意外险购买、落实</t>
        </is>
      </c>
      <c r="EH412" s="2" t="inlineStr">
        <is>
          <t>3次及以上</t>
        </is>
      </c>
      <c r="EI412" s="3" t="n">
        <v>3</v>
      </c>
      <c r="EJ412" s="2" t="inlineStr">
        <is>
          <t>E.8小时以上</t>
        </is>
      </c>
      <c r="EK412" s="7" t="n">
        <v>8</v>
      </c>
      <c r="EL412" s="7" t="n">
        <v>8</v>
      </c>
      <c r="EM412" s="7" t="n">
        <v>24</v>
      </c>
      <c r="EN412" s="7" t="n">
        <v>24</v>
      </c>
      <c r="EO412" s="2" t="inlineStr">
        <is>
          <t>行政事务类</t>
        </is>
      </c>
      <c r="EP412" s="2"/>
      <c r="EQ412" s="2" t="inlineStr">
        <is>
          <t>日常台账</t>
        </is>
      </c>
      <c r="ER412" s="2" t="inlineStr">
        <is>
          <t>跨部门协同</t>
        </is>
      </c>
      <c r="ES412" s="2" t="inlineStr">
        <is>
          <t>重要且紧急</t>
        </is>
      </c>
      <c r="ET412" s="2" t="inlineStr">
        <is>
          <t>非标准化-无先例参考，需创新协调</t>
        </is>
      </c>
      <c r="EU412" s="2" t="inlineStr">
        <is>
          <t>极少（&lt;5%）</t>
        </is>
      </c>
      <c r="EV412" s="2" t="inlineStr">
        <is>
          <t>沟通/协调负荷</t>
        </is>
      </c>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t="inlineStr">
        <is>
          <t>ae1a6562-28d0-44fe-a2eb-02562e206e6e</t>
        </is>
      </c>
      <c r="DJ413" s="3" t="n">
        <v>9</v>
      </c>
      <c r="DK413" s="2"/>
      <c r="DL413" s="2" t="inlineStr">
        <is>
          <t>马来国内、国外正式员工部门调动及审批</t>
        </is>
      </c>
      <c r="DM413" s="2" t="inlineStr">
        <is>
          <t>2-3次</t>
        </is>
      </c>
      <c r="DN413" s="3" t="n">
        <v>2</v>
      </c>
      <c r="DO413" s="3" t="n">
        <v>3</v>
      </c>
      <c r="DP413" s="2" t="inlineStr">
        <is>
          <t>B.2小时以内</t>
        </is>
      </c>
      <c r="DQ413" s="7" t="n">
        <v>2</v>
      </c>
      <c r="DR413" s="7" t="n">
        <v>2</v>
      </c>
      <c r="DS413" s="7" t="n">
        <v>4</v>
      </c>
      <c r="DT413" s="7" t="n">
        <v>6</v>
      </c>
      <c r="DU413" s="2" t="inlineStr">
        <is>
          <t>行政事务类</t>
        </is>
      </c>
      <c r="DV413" s="2"/>
      <c r="DW413" s="2" t="inlineStr">
        <is>
          <t>日常台账</t>
        </is>
      </c>
      <c r="DX413" s="2" t="inlineStr">
        <is>
          <t>自主发起</t>
        </is>
      </c>
      <c r="DY413" s="2" t="inlineStr">
        <is>
          <t>重要且紧急</t>
        </is>
      </c>
      <c r="DZ413" s="2" t="inlineStr">
        <is>
          <t>半标准化-有流程框架，需专业经验</t>
        </is>
      </c>
      <c r="EA413" s="2" t="inlineStr">
        <is>
          <t>极少（&lt;5%）</t>
        </is>
      </c>
      <c r="EB413" s="2" t="inlineStr">
        <is>
          <t>时效/强度负荷</t>
        </is>
      </c>
      <c r="EC413" s="2"/>
      <c r="ED413" s="2" t="inlineStr">
        <is>
          <t>e66df274-510c-420d-9990-6d74ac64433f</t>
        </is>
      </c>
      <c r="EE413" s="3" t="n">
        <v>9</v>
      </c>
      <c r="EF413" s="2"/>
      <c r="EG413" s="2" t="inlineStr">
        <is>
          <t>马来西亚国内人员过节费及高温费发放</t>
        </is>
      </c>
      <c r="EH413" s="2" t="inlineStr">
        <is>
          <t>3次及以上</t>
        </is>
      </c>
      <c r="EI413" s="3" t="n">
        <v>3</v>
      </c>
      <c r="EJ413" s="2" t="inlineStr">
        <is>
          <t>C.2-4小时</t>
        </is>
      </c>
      <c r="EK413" s="7" t="n">
        <v>2</v>
      </c>
      <c r="EL413" s="7" t="n">
        <v>4</v>
      </c>
      <c r="EM413" s="7" t="n">
        <v>6</v>
      </c>
      <c r="EN413" s="7" t="n">
        <v>12</v>
      </c>
      <c r="EO413" s="2" t="inlineStr">
        <is>
          <t>协调沟通类</t>
        </is>
      </c>
      <c r="EP413" s="2"/>
      <c r="EQ413" s="2" t="inlineStr">
        <is>
          <t>跨部门对接</t>
        </is>
      </c>
      <c r="ER413" s="2" t="inlineStr">
        <is>
          <t>上级指令</t>
        </is>
      </c>
      <c r="ES413" s="2" t="inlineStr">
        <is>
          <t>重要且紧急</t>
        </is>
      </c>
      <c r="ET413" s="2" t="inlineStr">
        <is>
          <t>高度标准化-有成熟SOP，照做即可</t>
        </is>
      </c>
      <c r="EU413" s="2" t="inlineStr">
        <is>
          <t>极少（&lt;5%）</t>
        </is>
      </c>
      <c r="EV413" s="2" t="inlineStr">
        <is>
          <t>时效/强度负荷</t>
        </is>
      </c>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t="inlineStr">
        <is>
          <t>9cf0c5f1-1fc9-48d6-903d-1a4a8f125bf6</t>
        </is>
      </c>
      <c r="DJ414" s="3" t="n">
        <v>10</v>
      </c>
      <c r="DK414" s="2"/>
      <c r="DL414" s="2" t="inlineStr">
        <is>
          <t>马来国内正式员工考勤收集</t>
        </is>
      </c>
      <c r="DM414" s="2" t="inlineStr">
        <is>
          <t>2-3次</t>
        </is>
      </c>
      <c r="DN414" s="3" t="n">
        <v>2</v>
      </c>
      <c r="DO414" s="3" t="n">
        <v>3</v>
      </c>
      <c r="DP414" s="2" t="inlineStr">
        <is>
          <t>B.2小时以内</t>
        </is>
      </c>
      <c r="DQ414" s="7" t="n">
        <v>2</v>
      </c>
      <c r="DR414" s="7" t="n">
        <v>2</v>
      </c>
      <c r="DS414" s="7" t="n">
        <v>4</v>
      </c>
      <c r="DT414" s="7" t="n">
        <v>6</v>
      </c>
      <c r="DU414" s="2" t="inlineStr">
        <is>
          <t>协调沟通类</t>
        </is>
      </c>
      <c r="DV414" s="2"/>
      <c r="DW414" s="2" t="inlineStr">
        <is>
          <t>跨部门对接</t>
        </is>
      </c>
      <c r="DX414" s="2" t="inlineStr">
        <is>
          <t>岗位职责</t>
        </is>
      </c>
      <c r="DY414" s="2" t="inlineStr">
        <is>
          <t>重要且紧急</t>
        </is>
      </c>
      <c r="DZ414" s="2" t="inlineStr">
        <is>
          <t>半标准化-有流程框架，需专业经验</t>
        </is>
      </c>
      <c r="EA414" s="2" t="inlineStr">
        <is>
          <t>中频（10%-30%）</t>
        </is>
      </c>
      <c r="EB414" s="2" t="inlineStr">
        <is>
          <t>时效/强度负荷</t>
        </is>
      </c>
      <c r="EC414" s="2"/>
      <c r="ED414" s="2" t="inlineStr">
        <is>
          <t>5340f830-097a-4b4c-8816-1b5610ac7d1b</t>
        </is>
      </c>
      <c r="EE414" s="3" t="n">
        <v>10</v>
      </c>
      <c r="EF414" s="2"/>
      <c r="EG414" s="2" t="inlineStr">
        <is>
          <t>马来西亚国内年终奖统计、录入和资金划拨明细表制作</t>
        </is>
      </c>
      <c r="EH414" s="2" t="inlineStr">
        <is>
          <t>1次</t>
        </is>
      </c>
      <c r="EI414" s="3" t="n">
        <v>1</v>
      </c>
      <c r="EJ414" s="2" t="inlineStr">
        <is>
          <t>E.8小时以上</t>
        </is>
      </c>
      <c r="EK414" s="7" t="n">
        <v>8</v>
      </c>
      <c r="EL414" s="7" t="n">
        <v>8</v>
      </c>
      <c r="EM414" s="7" t="n">
        <v>8</v>
      </c>
      <c r="EN414" s="7" t="n">
        <v>8</v>
      </c>
      <c r="EO414" s="2" t="inlineStr">
        <is>
          <t>行政事务类</t>
        </is>
      </c>
      <c r="EP414" s="2"/>
      <c r="EQ414" s="2" t="inlineStr">
        <is>
          <t>日常台账</t>
        </is>
      </c>
      <c r="ER414" s="2" t="inlineStr">
        <is>
          <t>岗位职责</t>
        </is>
      </c>
      <c r="ES414" s="2" t="inlineStr">
        <is>
          <t>重要且紧急</t>
        </is>
      </c>
      <c r="ET414" s="2" t="inlineStr">
        <is>
          <t>高度标准化-有成熟SOP，照做即可</t>
        </is>
      </c>
      <c r="EU414" s="2" t="inlineStr">
        <is>
          <t>极少（&lt;5%）</t>
        </is>
      </c>
      <c r="EV414" s="2" t="inlineStr">
        <is>
          <t>时效/强度负荷</t>
        </is>
      </c>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t="inlineStr">
        <is>
          <t>bdc65ae9-ef25-4967-ba8a-57ae50ef3bd3</t>
        </is>
      </c>
      <c r="DJ415" s="3" t="n">
        <v>11</v>
      </c>
      <c r="DK415" s="2"/>
      <c r="DL415" s="2" t="inlineStr">
        <is>
          <t>一建、二建、一造、二造、PMP等证书的到期通知及延续提醒及审批</t>
        </is>
      </c>
      <c r="DM415" s="2" t="inlineStr">
        <is>
          <t>2-3次</t>
        </is>
      </c>
      <c r="DN415" s="3" t="n">
        <v>2</v>
      </c>
      <c r="DO415" s="3" t="n">
        <v>3</v>
      </c>
      <c r="DP415" s="2" t="inlineStr">
        <is>
          <t>B.2小时以内</t>
        </is>
      </c>
      <c r="DQ415" s="7" t="n">
        <v>2</v>
      </c>
      <c r="DR415" s="7" t="n">
        <v>2</v>
      </c>
      <c r="DS415" s="7" t="n">
        <v>4</v>
      </c>
      <c r="DT415" s="7" t="n">
        <v>6</v>
      </c>
      <c r="DU415" s="2" t="inlineStr">
        <is>
          <t>协调沟通类</t>
        </is>
      </c>
      <c r="DV415" s="2"/>
      <c r="DW415" s="2" t="inlineStr">
        <is>
          <t>催办</t>
        </is>
      </c>
      <c r="DX415" s="2" t="inlineStr">
        <is>
          <t>岗位职责</t>
        </is>
      </c>
      <c r="DY415" s="2" t="inlineStr">
        <is>
          <t>重要不紧急</t>
        </is>
      </c>
      <c r="DZ415" s="2" t="inlineStr">
        <is>
          <t>半标准化-有流程框架，需专业经验</t>
        </is>
      </c>
      <c r="EA415" s="2" t="inlineStr">
        <is>
          <t>极少（&lt;5%）</t>
        </is>
      </c>
      <c r="EB415" s="2" t="inlineStr">
        <is>
          <t>沟通/协调负荷</t>
        </is>
      </c>
      <c r="EC415" s="2"/>
      <c r="ED415" s="2" t="inlineStr">
        <is>
          <t>a4dda820-e7aa-4970-bf62-dcaff0a60c63</t>
        </is>
      </c>
      <c r="EE415" s="3" t="n">
        <v>11</v>
      </c>
      <c r="EF415" s="2"/>
      <c r="EG415" s="2" t="inlineStr">
        <is>
          <t>马来西亚国外年终奖制作及公司资金往来明细表制作</t>
        </is>
      </c>
      <c r="EH415" s="2" t="inlineStr">
        <is>
          <t>1次</t>
        </is>
      </c>
      <c r="EI415" s="3" t="n">
        <v>1</v>
      </c>
      <c r="EJ415" s="2" t="inlineStr">
        <is>
          <t>E.8小时以上</t>
        </is>
      </c>
      <c r="EK415" s="7" t="n">
        <v>8</v>
      </c>
      <c r="EL415" s="7" t="n">
        <v>8</v>
      </c>
      <c r="EM415" s="7" t="n">
        <v>8</v>
      </c>
      <c r="EN415" s="7" t="n">
        <v>8</v>
      </c>
      <c r="EO415" s="2" t="inlineStr">
        <is>
          <t>数据报表类</t>
        </is>
      </c>
      <c r="EP415" s="2"/>
      <c r="EQ415" s="2" t="inlineStr">
        <is>
          <t>专项统计</t>
        </is>
      </c>
      <c r="ER415" s="2" t="inlineStr">
        <is>
          <t>岗位职责</t>
        </is>
      </c>
      <c r="ES415" s="2" t="inlineStr">
        <is>
          <t>重要且紧急</t>
        </is>
      </c>
      <c r="ET415" s="2" t="inlineStr">
        <is>
          <t>半标准化-有流程框架，需专业经验</t>
        </is>
      </c>
      <c r="EU415" s="2" t="inlineStr">
        <is>
          <t>极少（&lt;5%）</t>
        </is>
      </c>
      <c r="EV415" s="2" t="inlineStr">
        <is>
          <t>脑力/复杂度负荷</t>
        </is>
      </c>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t="inlineStr">
        <is>
          <t>622e66c6-e3cd-4d8d-b971-b2f0ddcdb23d</t>
        </is>
      </c>
      <c r="DJ416" s="3" t="n">
        <v>12</v>
      </c>
      <c r="DK416" s="2"/>
      <c r="DL416" s="2" t="inlineStr">
        <is>
          <t>各类证书的继续教育报名及费用报销</t>
        </is>
      </c>
      <c r="DM416" s="2" t="inlineStr">
        <is>
          <t>2-3次</t>
        </is>
      </c>
      <c r="DN416" s="3" t="n">
        <v>2</v>
      </c>
      <c r="DO416" s="3" t="n">
        <v>3</v>
      </c>
      <c r="DP416" s="2" t="inlineStr">
        <is>
          <t>B.2小时以内</t>
        </is>
      </c>
      <c r="DQ416" s="7" t="n">
        <v>2</v>
      </c>
      <c r="DR416" s="7" t="n">
        <v>2</v>
      </c>
      <c r="DS416" s="7" t="n">
        <v>4</v>
      </c>
      <c r="DT416" s="7" t="n">
        <v>6</v>
      </c>
      <c r="DU416" s="2" t="inlineStr">
        <is>
          <t>综合管理类</t>
        </is>
      </c>
      <c r="DV416" s="2"/>
      <c r="DW416" s="2" t="inlineStr">
        <is>
          <t>专题工作推进</t>
        </is>
      </c>
      <c r="DX416" s="2" t="inlineStr">
        <is>
          <t>岗位职责</t>
        </is>
      </c>
      <c r="DY416" s="2" t="inlineStr">
        <is>
          <t>重要且紧急</t>
        </is>
      </c>
      <c r="DZ416" s="2" t="inlineStr">
        <is>
          <t>半标准化-有流程框架，需专业经验</t>
        </is>
      </c>
      <c r="EA416" s="2" t="inlineStr">
        <is>
          <t>低频（5%-10%）</t>
        </is>
      </c>
      <c r="EB416" s="2" t="inlineStr">
        <is>
          <t>沟通/协调负荷</t>
        </is>
      </c>
      <c r="EC416" s="2"/>
      <c r="ED416" s="2" t="inlineStr">
        <is>
          <t>0343d9d2-b964-410c-a141-8dea6ff401fc</t>
        </is>
      </c>
      <c r="EE416" s="3" t="n">
        <v>12</v>
      </c>
      <c r="EF416" s="2"/>
      <c r="EG416" s="2" t="inlineStr">
        <is>
          <t>每年一级建造师的报名统计</t>
        </is>
      </c>
      <c r="EH416" s="2" t="inlineStr">
        <is>
          <t>1次</t>
        </is>
      </c>
      <c r="EI416" s="3" t="n">
        <v>1</v>
      </c>
      <c r="EJ416" s="2" t="inlineStr">
        <is>
          <t>E.8小时以上</t>
        </is>
      </c>
      <c r="EK416" s="7" t="n">
        <v>8</v>
      </c>
      <c r="EL416" s="7" t="n">
        <v>8</v>
      </c>
      <c r="EM416" s="7" t="n">
        <v>8</v>
      </c>
      <c r="EN416" s="7" t="n">
        <v>8</v>
      </c>
      <c r="EO416" s="2" t="inlineStr">
        <is>
          <t>协调沟通类</t>
        </is>
      </c>
      <c r="EP416" s="2"/>
      <c r="EQ416" s="2" t="inlineStr">
        <is>
          <t>接口协调</t>
        </is>
      </c>
      <c r="ER416" s="2" t="inlineStr">
        <is>
          <t>部门计划</t>
        </is>
      </c>
      <c r="ES416" s="2" t="inlineStr">
        <is>
          <t>重要不紧急</t>
        </is>
      </c>
      <c r="ET416" s="2" t="inlineStr">
        <is>
          <t>非标准化-无先例参考，需创新协调</t>
        </is>
      </c>
      <c r="EU416" s="2" t="inlineStr">
        <is>
          <t>极少（&lt;5%）</t>
        </is>
      </c>
      <c r="EV416" s="2" t="inlineStr">
        <is>
          <t>沟通/协调负荷</t>
        </is>
      </c>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t="inlineStr">
        <is>
          <t>64742d2a-ae20-44a7-a14d-401ec94e63a9</t>
        </is>
      </c>
      <c r="DJ417" s="3" t="n">
        <v>13</v>
      </c>
      <c r="DK417" s="2"/>
      <c r="DL417" s="2" t="inlineStr">
        <is>
          <t>马来西亚分公司（国内）正式员工外聘人员工资录入</t>
        </is>
      </c>
      <c r="DM417" s="2" t="inlineStr">
        <is>
          <t>1次</t>
        </is>
      </c>
      <c r="DN417" s="3" t="n">
        <v>1</v>
      </c>
      <c r="DO417" s="3" t="n">
        <v>1</v>
      </c>
      <c r="DP417" s="2" t="inlineStr">
        <is>
          <t>E.8小时以上</t>
        </is>
      </c>
      <c r="DQ417" s="7" t="n">
        <v>8</v>
      </c>
      <c r="DR417" s="7" t="n">
        <v>8</v>
      </c>
      <c r="DS417" s="7" t="n">
        <v>8</v>
      </c>
      <c r="DT417" s="7" t="n">
        <v>8</v>
      </c>
      <c r="DU417" s="2" t="inlineStr">
        <is>
          <t>行政事务类</t>
        </is>
      </c>
      <c r="DV417" s="2"/>
      <c r="DW417" s="2" t="inlineStr">
        <is>
          <t>日常台账</t>
        </is>
      </c>
      <c r="DX417" s="2" t="inlineStr">
        <is>
          <t>岗位职责</t>
        </is>
      </c>
      <c r="DY417" s="2" t="inlineStr">
        <is>
          <t>重要且紧急</t>
        </is>
      </c>
      <c r="DZ417" s="2" t="inlineStr">
        <is>
          <t>高度标准化-有成熟SOP，照做即可</t>
        </is>
      </c>
      <c r="EA417" s="2" t="inlineStr">
        <is>
          <t>极少（&lt;5%）</t>
        </is>
      </c>
      <c r="EB417" s="2" t="inlineStr">
        <is>
          <t>时效/强度负荷</t>
        </is>
      </c>
      <c r="EC417" s="2"/>
      <c r="ED417" s="2" t="inlineStr">
        <is>
          <t>cc0d9195-f47f-437a-aa47-d03e2143aa87</t>
        </is>
      </c>
      <c r="EE417" s="3" t="n">
        <v>13</v>
      </c>
      <c r="EF417" s="2"/>
      <c r="EG417" s="2" t="inlineStr">
        <is>
          <t>每年一级建造师的考试合格人员统计</t>
        </is>
      </c>
      <c r="EH417" s="2" t="inlineStr">
        <is>
          <t>1次</t>
        </is>
      </c>
      <c r="EI417" s="3" t="n">
        <v>1</v>
      </c>
      <c r="EJ417" s="2" t="inlineStr">
        <is>
          <t>D.4-8小时</t>
        </is>
      </c>
      <c r="EK417" s="7" t="n">
        <v>4</v>
      </c>
      <c r="EL417" s="7" t="n">
        <v>8</v>
      </c>
      <c r="EM417" s="7" t="n">
        <v>4</v>
      </c>
      <c r="EN417" s="7" t="n">
        <v>8</v>
      </c>
      <c r="EO417" s="2" t="inlineStr">
        <is>
          <t>协调沟通类</t>
        </is>
      </c>
      <c r="EP417" s="2"/>
      <c r="EQ417" s="2" t="inlineStr">
        <is>
          <t>接口协调</t>
        </is>
      </c>
      <c r="ER417" s="2" t="inlineStr">
        <is>
          <t>部门计划</t>
        </is>
      </c>
      <c r="ES417" s="2" t="inlineStr">
        <is>
          <t>重要不紧急</t>
        </is>
      </c>
      <c r="ET417" s="2" t="inlineStr">
        <is>
          <t>半标准化-有流程框架，需专业经验</t>
        </is>
      </c>
      <c r="EU417" s="2" t="inlineStr">
        <is>
          <t>极少（&lt;5%）</t>
        </is>
      </c>
      <c r="EV417" s="2" t="inlineStr">
        <is>
          <t>沟通/协调负荷</t>
        </is>
      </c>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t="inlineStr">
        <is>
          <t>dc28c364-2ec0-437c-bd7c-e06749ebbec1</t>
        </is>
      </c>
      <c r="DJ418" s="3" t="n">
        <v>14</v>
      </c>
      <c r="DK418" s="2"/>
      <c r="DL418" s="2" t="inlineStr">
        <is>
          <t>马来西亚分公司（国外）正式及外聘人员工资录入</t>
        </is>
      </c>
      <c r="DM418" s="2" t="inlineStr">
        <is>
          <t>1次</t>
        </is>
      </c>
      <c r="DN418" s="3" t="n">
        <v>1</v>
      </c>
      <c r="DO418" s="3" t="n">
        <v>1</v>
      </c>
      <c r="DP418" s="2" t="inlineStr">
        <is>
          <t>C.2-4小时</t>
        </is>
      </c>
      <c r="DQ418" s="7" t="n">
        <v>2</v>
      </c>
      <c r="DR418" s="7" t="n">
        <v>4</v>
      </c>
      <c r="DS418" s="7" t="n">
        <v>2</v>
      </c>
      <c r="DT418" s="7" t="n">
        <v>4</v>
      </c>
      <c r="DU418" s="2" t="inlineStr">
        <is>
          <t>行政事务类</t>
        </is>
      </c>
      <c r="DV418" s="2"/>
      <c r="DW418" s="2" t="inlineStr">
        <is>
          <t>日常台账</t>
        </is>
      </c>
      <c r="DX418" s="2" t="inlineStr">
        <is>
          <t>岗位职责</t>
        </is>
      </c>
      <c r="DY418" s="2" t="inlineStr">
        <is>
          <t>重要且紧急</t>
        </is>
      </c>
      <c r="DZ418" s="2" t="inlineStr">
        <is>
          <t>高度标准化-有成熟SOP，照做即可</t>
        </is>
      </c>
      <c r="EA418" s="2" t="inlineStr">
        <is>
          <t>极少（&lt;5%）</t>
        </is>
      </c>
      <c r="EB418" s="2" t="inlineStr">
        <is>
          <t>时效/强度负荷</t>
        </is>
      </c>
      <c r="EC418" s="2"/>
      <c r="ED418" s="2" t="inlineStr">
        <is>
          <t>6c4c9662-8fab-462e-a0b9-5672dce33e29</t>
        </is>
      </c>
      <c r="EE418" s="3" t="n">
        <v>14</v>
      </c>
      <c r="EF418" s="2"/>
      <c r="EG418" s="2" t="inlineStr">
        <is>
          <t>年度培训计划的执行情况统计、落实与督办</t>
        </is>
      </c>
      <c r="EH418" s="2" t="inlineStr">
        <is>
          <t>3次及以上</t>
        </is>
      </c>
      <c r="EI418" s="3" t="n">
        <v>3</v>
      </c>
      <c r="EJ418" s="2" t="inlineStr">
        <is>
          <t>C.2-4小时</t>
        </is>
      </c>
      <c r="EK418" s="7" t="n">
        <v>2</v>
      </c>
      <c r="EL418" s="7" t="n">
        <v>4</v>
      </c>
      <c r="EM418" s="7" t="n">
        <v>6</v>
      </c>
      <c r="EN418" s="7" t="n">
        <v>12</v>
      </c>
      <c r="EO418" s="2" t="inlineStr">
        <is>
          <t>协调沟通类</t>
        </is>
      </c>
      <c r="EP418" s="2"/>
      <c r="EQ418" s="2" t="inlineStr">
        <is>
          <t>接口协调</t>
        </is>
      </c>
      <c r="ER418" s="2" t="inlineStr">
        <is>
          <t>部门计划</t>
        </is>
      </c>
      <c r="ES418" s="2" t="inlineStr">
        <is>
          <t>重要不紧急</t>
        </is>
      </c>
      <c r="ET418" s="2" t="inlineStr">
        <is>
          <t>半标准化-有流程框架，需专业经验</t>
        </is>
      </c>
      <c r="EU418" s="2" t="inlineStr">
        <is>
          <t>极少（&lt;5%）</t>
        </is>
      </c>
      <c r="EV418" s="2" t="inlineStr">
        <is>
          <t>沟通/协调负荷</t>
        </is>
      </c>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t="inlineStr">
        <is>
          <t>868bd45b-ac8b-40b9-9e07-3632267bec95</t>
        </is>
      </c>
      <c r="EE419" s="3" t="n">
        <v>15</v>
      </c>
      <c r="EF419" s="2"/>
      <c r="EG419" s="2" t="inlineStr">
        <is>
          <t>焊培中心取证员工的食宿安排</t>
        </is>
      </c>
      <c r="EH419" s="2" t="inlineStr">
        <is>
          <t>1次</t>
        </is>
      </c>
      <c r="EI419" s="3" t="n">
        <v>1</v>
      </c>
      <c r="EJ419" s="2" t="inlineStr">
        <is>
          <t>B.2小时以内</t>
        </is>
      </c>
      <c r="EK419" s="7" t="n">
        <v>2</v>
      </c>
      <c r="EL419" s="7" t="n">
        <v>2</v>
      </c>
      <c r="EM419" s="7" t="n">
        <v>2</v>
      </c>
      <c r="EN419" s="7" t="n">
        <v>2</v>
      </c>
      <c r="EO419" s="2" t="inlineStr">
        <is>
          <t>协调沟通类</t>
        </is>
      </c>
      <c r="EP419" s="2"/>
      <c r="EQ419" s="2" t="inlineStr">
        <is>
          <t>接口协调</t>
        </is>
      </c>
      <c r="ER419" s="2" t="inlineStr">
        <is>
          <t>跨部门协同</t>
        </is>
      </c>
      <c r="ES419" s="2" t="inlineStr">
        <is>
          <t>重要且紧急</t>
        </is>
      </c>
      <c r="ET419" s="2" t="inlineStr">
        <is>
          <t>半标准化-有流程框架，需专业经验</t>
        </is>
      </c>
      <c r="EU419" s="2" t="inlineStr">
        <is>
          <t>极少（&lt;5%）</t>
        </is>
      </c>
      <c r="EV419" s="2" t="inlineStr">
        <is>
          <t>沟通/协调负荷</t>
        </is>
      </c>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row>
    <row r="420">
      <c r="A420" s="2" t="inlineStr">
        <is>
          <t>2026-04-23 16:51:57</t>
        </is>
      </c>
      <c r="B420" s="2" t="inlineStr">
        <is>
          <t>蔡婷婷</t>
        </is>
      </c>
      <c r="C420" s="2" t="inlineStr">
        <is>
          <t>人力资源部</t>
        </is>
      </c>
      <c r="D420" s="2" t="inlineStr">
        <is>
          <t>女</t>
        </is>
      </c>
      <c r="E420" s="2" t="inlineStr">
        <is>
          <t>320112199112050827</t>
        </is>
      </c>
      <c r="F420" s="2" t="inlineStr">
        <is>
          <t>专业工程师</t>
        </is>
      </c>
      <c r="G420" s="2" t="inlineStr">
        <is>
          <t>2013-08</t>
        </is>
      </c>
      <c r="H420" s="2" t="inlineStr">
        <is>
          <t>南京化工职业技术学院</t>
        </is>
      </c>
      <c r="I420" s="2" t="inlineStr">
        <is>
          <t>其他</t>
        </is>
      </c>
      <c r="J420" s="2" t="inlineStr">
        <is>
          <t>大专</t>
        </is>
      </c>
      <c r="K420" s="2"/>
      <c r="L420" s="6">
        <f>HYPERLINK("https://www.h3yun.com/Form/Attachments/?schemacode=D1483577de63ede327d4760b10664bd57671d7e&amp;bizObjectId=bd4b9a62-7288-42d6-a73e-95f5b84ef559&amp;name=F0000046","点击查看")</f>
        <v>0</v>
      </c>
      <c r="M420" s="2" t="inlineStr">
        <is>
          <t>无</t>
        </is>
      </c>
      <c r="N420" s="2" t="inlineStr">
        <is>
          <t>每月工作;每季度/阶段性工作;临时/突发工作</t>
        </is>
      </c>
      <c r="O420" s="2" t="inlineStr">
        <is>
          <t>31-35岁</t>
        </is>
      </c>
      <c r="P420" s="2" t="inlineStr">
        <is>
          <t>A.未婚</t>
        </is>
      </c>
      <c r="Q420" s="2" t="inlineStr">
        <is>
          <t>A.否</t>
        </is>
      </c>
      <c r="R420" s="2" t="inlineStr">
        <is>
          <t>A.否</t>
        </is>
      </c>
      <c r="S420" s="2" t="inlineStr">
        <is>
          <t>A.保持当前工作内容和节奏，收入相对稳定即可</t>
        </is>
      </c>
      <c r="T420" s="2" t="inlineStr">
        <is>
          <t>A.基本满意，希望保持</t>
        </is>
      </c>
      <c r="U420" s="2" t="inlineStr">
        <is>
          <t>C.增加弹性和稳定性</t>
        </is>
      </c>
      <c r="V420" s="2" t="inlineStr">
        <is>
          <t>A.没有</t>
        </is>
      </c>
      <c r="W420" s="2"/>
      <c r="X420" s="2" t="inlineStr">
        <is>
          <t>B.满负荷 (100%-120%)</t>
        </is>
      </c>
      <c r="Y420" s="2" t="inlineStr">
        <is>
          <t>I.因正常工作任务截止日遇上节假日所需加班</t>
        </is>
      </c>
      <c r="Z420" s="2" t="inlineStr">
        <is>
          <t>催办</t>
        </is>
      </c>
      <c r="AA420" s="2" t="inlineStr">
        <is>
          <t>催办</t>
        </is>
      </c>
      <c r="AB420" s="2" t="inlineStr">
        <is>
          <t>考核通报</t>
        </is>
      </c>
      <c r="AC420" s="2" t="inlineStr">
        <is>
          <t>A.高度匹配（得心应手）</t>
        </is>
      </c>
      <c r="AD420" s="2" t="inlineStr">
        <is>
          <t>无</t>
        </is>
      </c>
      <c r="AE420" s="2" t="inlineStr">
        <is>
          <t>加班里，缺少因正常工作任务截止日碰上节假日所需加班</t>
        </is>
      </c>
      <c r="AF420" s="2"/>
      <c r="AG420" s="2"/>
      <c r="AH420" s="2"/>
      <c r="AI420" s="7" t="n">
        <v>0</v>
      </c>
      <c r="AJ420" s="7" t="n">
        <v>0</v>
      </c>
      <c r="AK420" s="7" t="n">
        <v>0</v>
      </c>
      <c r="AL420" s="7" t="n">
        <v>0</v>
      </c>
      <c r="AM420" s="7" t="n">
        <v>4.54</v>
      </c>
      <c r="AN420" s="7" t="n">
        <v>7.91</v>
      </c>
      <c r="AO420" s="7" t="n">
        <v>0.4</v>
      </c>
      <c r="AP420" s="7" t="n">
        <v>0.58</v>
      </c>
      <c r="AQ420" s="7" t="n">
        <v>0.1</v>
      </c>
      <c r="AR420" s="7" t="n">
        <v>0.15</v>
      </c>
      <c r="AS420" s="7" t="n">
        <v>5.04</v>
      </c>
      <c r="AT420" s="7" t="n">
        <v>8.64</v>
      </c>
      <c r="AU420" s="7" t="n">
        <v>6.84</v>
      </c>
      <c r="AV420" s="2" t="inlineStr">
        <is>
          <t>均衡</t>
        </is>
      </c>
      <c r="AW420" s="2" t="inlineStr">
        <is>
          <t>不一致</t>
        </is>
      </c>
      <c r="AX420" s="2" t="inlineStr">
        <is>
          <t>bd4b9a62-7288-42d6-a73e-95f5b84ef559</t>
        </is>
      </c>
      <c r="AY420" s="2" t="inlineStr">
        <is>
          <t>人力资源部    蔡婷婷</t>
        </is>
      </c>
      <c r="AZ420" s="2" t="inlineStr">
        <is>
          <t>Anonymous</t>
        </is>
      </c>
      <c r="BA420" s="2" t="inlineStr">
        <is>
          <t>Anonymous</t>
        </is>
      </c>
      <c r="BB420" s="2"/>
      <c r="BC420" s="2" t="inlineStr">
        <is>
          <t>2026-05-21 08:39:53</t>
        </is>
      </c>
      <c r="BD420" s="3" t="n">
        <v>1991</v>
      </c>
      <c r="BE420" s="3" t="n">
        <v>35</v>
      </c>
      <c r="BF420" s="2" t="inlineStr">
        <is>
          <t>A.无此需求</t>
        </is>
      </c>
      <c r="BG420" s="2" t="inlineStr">
        <is>
          <t>已生效</t>
        </is>
      </c>
      <c r="BH420" s="2" t="inlineStr">
        <is>
          <t>cb46b835-6ed2-487b-8f2b-c2b79a3e7919</t>
        </is>
      </c>
      <c r="BI420" s="3" t="n">
        <v>1</v>
      </c>
      <c r="BJ420" s="2"/>
      <c r="BK420" s="2"/>
      <c r="BL420" s="2"/>
      <c r="BM420" s="2"/>
      <c r="BN420" s="2"/>
      <c r="BO420" s="2"/>
      <c r="BP420" s="2"/>
      <c r="BQ420" s="2"/>
      <c r="BR420" s="2"/>
      <c r="BS420" s="2" t="inlineStr">
        <is>
          <t>77f39403-637c-4044-ab3d-0a1d2d7aa1b2</t>
        </is>
      </c>
      <c r="BT420" s="3" t="n">
        <v>1</v>
      </c>
      <c r="BU420" s="2"/>
      <c r="BV420" s="2"/>
      <c r="BW420" s="2"/>
      <c r="BX420" s="3"/>
      <c r="BY420" s="3"/>
      <c r="BZ420" s="2"/>
      <c r="CA420" s="3"/>
      <c r="CB420" s="3"/>
      <c r="CC420" s="3"/>
      <c r="CD420" s="3"/>
      <c r="CE420" s="2"/>
      <c r="CF420" s="2"/>
      <c r="CG420" s="2"/>
      <c r="CH420" s="2"/>
      <c r="CI420" s="2"/>
      <c r="CJ420" s="2"/>
      <c r="CK420" s="2"/>
      <c r="CL420" s="2"/>
      <c r="CM420" s="2"/>
      <c r="CN420" s="2" t="inlineStr">
        <is>
          <t>218ec093-9f7d-4efe-b81c-9711d25a74fd</t>
        </is>
      </c>
      <c r="CO420" s="3" t="n">
        <v>1</v>
      </c>
      <c r="CP420" s="2"/>
      <c r="CQ420" s="2"/>
      <c r="CR420" s="2"/>
      <c r="CS420" s="3"/>
      <c r="CT420" s="3"/>
      <c r="CU420" s="2"/>
      <c r="CV420" s="3"/>
      <c r="CW420" s="3"/>
      <c r="CX420" s="3"/>
      <c r="CY420" s="3"/>
      <c r="CZ420" s="2"/>
      <c r="DA420" s="2"/>
      <c r="DB420" s="2"/>
      <c r="DC420" s="2"/>
      <c r="DD420" s="2"/>
      <c r="DE420" s="2"/>
      <c r="DF420" s="2"/>
      <c r="DG420" s="2"/>
      <c r="DH420" s="2"/>
      <c r="DI420" s="2" t="inlineStr">
        <is>
          <t>972ed74d-75b5-490c-9b88-963016805d62</t>
        </is>
      </c>
      <c r="DJ420" s="3" t="n">
        <v>1</v>
      </c>
      <c r="DK420" s="2"/>
      <c r="DL420" s="2" t="inlineStr">
        <is>
          <t>统计机关考勤并分发部门</t>
        </is>
      </c>
      <c r="DM420" s="2" t="inlineStr">
        <is>
          <t>1次</t>
        </is>
      </c>
      <c r="DN420" s="3" t="n">
        <v>1</v>
      </c>
      <c r="DO420" s="3" t="n">
        <v>1</v>
      </c>
      <c r="DP420" s="2" t="inlineStr">
        <is>
          <t>E.8小时以上</t>
        </is>
      </c>
      <c r="DQ420" s="7" t="n">
        <v>8</v>
      </c>
      <c r="DR420" s="7" t="n">
        <v>8</v>
      </c>
      <c r="DS420" s="7" t="n">
        <v>8</v>
      </c>
      <c r="DT420" s="7" t="n">
        <v>8</v>
      </c>
      <c r="DU420" s="2" t="inlineStr">
        <is>
          <t>行政事务类</t>
        </is>
      </c>
      <c r="DV420" s="2"/>
      <c r="DW420" s="2" t="inlineStr">
        <is>
          <t>日常台账</t>
        </is>
      </c>
      <c r="DX420" s="2" t="inlineStr">
        <is>
          <t>岗位职责</t>
        </is>
      </c>
      <c r="DY420" s="2" t="inlineStr">
        <is>
          <t>重要且紧急</t>
        </is>
      </c>
      <c r="DZ420" s="2" t="inlineStr">
        <is>
          <t>半标准化-有流程框架，需专业经验</t>
        </is>
      </c>
      <c r="EA420" s="2" t="inlineStr">
        <is>
          <t>极少（&lt;5%）</t>
        </is>
      </c>
      <c r="EB420" s="2" t="inlineStr">
        <is>
          <t>沟通/协调负荷</t>
        </is>
      </c>
      <c r="EC420" s="2"/>
      <c r="ED420" s="2" t="inlineStr">
        <is>
          <t>6870a5ee-6fab-4801-ab75-7833644edf36</t>
        </is>
      </c>
      <c r="EE420" s="3" t="n">
        <v>1</v>
      </c>
      <c r="EF420" s="2"/>
      <c r="EG420" s="2" t="inlineStr">
        <is>
          <t>做机关及分公司中层流动考勤表</t>
        </is>
      </c>
      <c r="EH420" s="2" t="inlineStr">
        <is>
          <t>2次</t>
        </is>
      </c>
      <c r="EI420" s="3" t="n">
        <v>2</v>
      </c>
      <c r="EJ420" s="2" t="inlineStr">
        <is>
          <t>D.4-8小时</t>
        </is>
      </c>
      <c r="EK420" s="7" t="n">
        <v>4</v>
      </c>
      <c r="EL420" s="7" t="n">
        <v>8</v>
      </c>
      <c r="EM420" s="7" t="n">
        <v>8</v>
      </c>
      <c r="EN420" s="7" t="n">
        <v>16</v>
      </c>
      <c r="EO420" s="2" t="inlineStr">
        <is>
          <t>数据报表类</t>
        </is>
      </c>
      <c r="EP420" s="2"/>
      <c r="EQ420" s="2" t="inlineStr">
        <is>
          <t>专项统计</t>
        </is>
      </c>
      <c r="ER420" s="2" t="inlineStr">
        <is>
          <t>岗位职责</t>
        </is>
      </c>
      <c r="ES420" s="2" t="inlineStr">
        <is>
          <t>重要且紧急</t>
        </is>
      </c>
      <c r="ET420" s="2" t="inlineStr">
        <is>
          <t>半标准化</t>
        </is>
      </c>
      <c r="EU420" s="2" t="inlineStr">
        <is>
          <t>极少（&lt;5%）</t>
        </is>
      </c>
      <c r="EV420" s="2" t="inlineStr">
        <is>
          <t>责任/风险负荷</t>
        </is>
      </c>
      <c r="EW420" s="2"/>
      <c r="EX420" s="2" t="inlineStr">
        <is>
          <t>1a757174-38be-4652-98aa-e9a86b68aaed</t>
        </is>
      </c>
      <c r="EY420" s="3" t="n">
        <v>1</v>
      </c>
      <c r="EZ420" s="2"/>
      <c r="FA420" s="2" t="inlineStr">
        <is>
          <t>打收入证明</t>
        </is>
      </c>
      <c r="FB420" s="2" t="inlineStr">
        <is>
          <t>每月1-2次</t>
        </is>
      </c>
      <c r="FC420" s="2" t="inlineStr">
        <is>
          <t>月</t>
        </is>
      </c>
      <c r="FD420" s="3" t="n">
        <v>1</v>
      </c>
      <c r="FE420" s="3" t="n">
        <v>2</v>
      </c>
      <c r="FF420" s="2" t="inlineStr">
        <is>
          <t>A.20分钟以内</t>
        </is>
      </c>
      <c r="FG420" s="7" t="n">
        <v>0.33</v>
      </c>
      <c r="FH420" s="7" t="n">
        <v>0.33</v>
      </c>
      <c r="FI420" s="7" t="n">
        <v>0.33</v>
      </c>
      <c r="FJ420" s="7" t="n">
        <v>0.66</v>
      </c>
      <c r="FK420" s="7" t="n">
        <v>0</v>
      </c>
      <c r="FL420" s="7" t="n">
        <v>0</v>
      </c>
      <c r="FM420" s="7" t="n">
        <v>0</v>
      </c>
      <c r="FN420" s="7" t="n">
        <v>0</v>
      </c>
      <c r="FO420" s="2" t="inlineStr">
        <is>
          <t>行政事务类</t>
        </is>
      </c>
      <c r="FP420" s="2"/>
      <c r="FQ420" s="2" t="inlineStr">
        <is>
          <t>日常台账</t>
        </is>
      </c>
      <c r="FR420" s="2" t="inlineStr">
        <is>
          <t>岗位职责</t>
        </is>
      </c>
      <c r="FS420" s="2" t="inlineStr">
        <is>
          <t>重要且紧急</t>
        </is>
      </c>
      <c r="FT420" s="2" t="inlineStr">
        <is>
          <t>半标准化-有流程框架，需专业经验</t>
        </is>
      </c>
      <c r="FU420" s="2" t="inlineStr">
        <is>
          <t>极少（&lt;5%）</t>
        </is>
      </c>
      <c r="FV420" s="2" t="inlineStr">
        <is>
          <t>沟通/协调负荷</t>
        </is>
      </c>
      <c r="FW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t="inlineStr">
        <is>
          <t>9de76266-9a76-4f71-80b6-5a98e250a9e2</t>
        </is>
      </c>
      <c r="DJ421" s="3" t="n">
        <v>2</v>
      </c>
      <c r="DK421" s="2"/>
      <c r="DL421" s="2" t="inlineStr">
        <is>
          <t>写机关换休条</t>
        </is>
      </c>
      <c r="DM421" s="2" t="inlineStr">
        <is>
          <t>1次</t>
        </is>
      </c>
      <c r="DN421" s="3" t="n">
        <v>1</v>
      </c>
      <c r="DO421" s="3" t="n">
        <v>1</v>
      </c>
      <c r="DP421" s="2" t="inlineStr">
        <is>
          <t>D.4-8小时</t>
        </is>
      </c>
      <c r="DQ421" s="7" t="n">
        <v>4</v>
      </c>
      <c r="DR421" s="7" t="n">
        <v>8</v>
      </c>
      <c r="DS421" s="7" t="n">
        <v>4</v>
      </c>
      <c r="DT421" s="7" t="n">
        <v>8</v>
      </c>
      <c r="DU421" s="2" t="inlineStr">
        <is>
          <t>行政事务类</t>
        </is>
      </c>
      <c r="DV421" s="2"/>
      <c r="DW421" s="2" t="inlineStr">
        <is>
          <t>日常台账</t>
        </is>
      </c>
      <c r="DX421" s="2" t="inlineStr">
        <is>
          <t>岗位职责</t>
        </is>
      </c>
      <c r="DY421" s="2" t="inlineStr">
        <is>
          <t>重要不紧急</t>
        </is>
      </c>
      <c r="DZ421" s="2" t="inlineStr">
        <is>
          <t>半标准化-有流程框架，需专业经验</t>
        </is>
      </c>
      <c r="EA421" s="2" t="inlineStr">
        <is>
          <t>极少（&lt;5%）</t>
        </is>
      </c>
      <c r="EB421" s="2" t="inlineStr">
        <is>
          <t>沟通/协调负荷</t>
        </is>
      </c>
      <c r="EC421" s="2"/>
      <c r="ED421" s="2" t="inlineStr">
        <is>
          <t>ad14bb79-1a97-4d0d-8354-e5cfa4230a07</t>
        </is>
      </c>
      <c r="EE421" s="3" t="n">
        <v>2</v>
      </c>
      <c r="EF421" s="2"/>
      <c r="EG421" s="2" t="inlineStr">
        <is>
          <t>做公司年度计划数与提取数差额</t>
        </is>
      </c>
      <c r="EH421" s="2" t="inlineStr">
        <is>
          <t>1次</t>
        </is>
      </c>
      <c r="EI421" s="3" t="n">
        <v>1</v>
      </c>
      <c r="EJ421" s="2" t="inlineStr">
        <is>
          <t>E.8小时以上</t>
        </is>
      </c>
      <c r="EK421" s="7" t="n">
        <v>8</v>
      </c>
      <c r="EL421" s="7" t="n">
        <v>8</v>
      </c>
      <c r="EM421" s="7" t="n">
        <v>8</v>
      </c>
      <c r="EN421" s="7" t="n">
        <v>8</v>
      </c>
      <c r="EO421" s="2" t="inlineStr">
        <is>
          <t>数据报表类</t>
        </is>
      </c>
      <c r="EP421" s="2"/>
      <c r="EQ421" s="2" t="inlineStr">
        <is>
          <t>专项统计</t>
        </is>
      </c>
      <c r="ER421" s="2" t="inlineStr">
        <is>
          <t>岗位职责</t>
        </is>
      </c>
      <c r="ES421" s="2" t="inlineStr">
        <is>
          <t>重要且紧急</t>
        </is>
      </c>
      <c r="ET421" s="2" t="inlineStr">
        <is>
          <t>半标准化</t>
        </is>
      </c>
      <c r="EU421" s="2" t="inlineStr">
        <is>
          <t>极少（&lt;5%）</t>
        </is>
      </c>
      <c r="EV421" s="2" t="inlineStr">
        <is>
          <t>责任/风险负荷</t>
        </is>
      </c>
      <c r="EW421" s="2"/>
      <c r="EX421" s="2" t="inlineStr">
        <is>
          <t>e1eb5c5b-7873-4e9c-8fd5-80d0350cdfbf</t>
        </is>
      </c>
      <c r="EY421" s="3" t="n">
        <v>2</v>
      </c>
      <c r="EZ421" s="2"/>
      <c r="FA421" s="2" t="inlineStr">
        <is>
          <t>解答并解决工资相关问题和福利待遇疑问</t>
        </is>
      </c>
      <c r="FB421" s="2" t="inlineStr">
        <is>
          <t>每月3次以上</t>
        </is>
      </c>
      <c r="FC421" s="2" t="inlineStr">
        <is>
          <t>月</t>
        </is>
      </c>
      <c r="FD421" s="3" t="n">
        <v>3</v>
      </c>
      <c r="FE421" s="3" t="n">
        <v>3</v>
      </c>
      <c r="FF421" s="2" t="inlineStr">
        <is>
          <t>A.20分钟以内</t>
        </is>
      </c>
      <c r="FG421" s="7" t="n">
        <v>0.33</v>
      </c>
      <c r="FH421" s="7" t="n">
        <v>0.33</v>
      </c>
      <c r="FI421" s="7" t="n">
        <v>0.99</v>
      </c>
      <c r="FJ421" s="7" t="n">
        <v>0.99</v>
      </c>
      <c r="FK421" s="7" t="n">
        <v>0</v>
      </c>
      <c r="FL421" s="7" t="n">
        <v>0</v>
      </c>
      <c r="FM421" s="7" t="n">
        <v>0</v>
      </c>
      <c r="FN421" s="7" t="n">
        <v>0</v>
      </c>
      <c r="FO421" s="2" t="inlineStr">
        <is>
          <t>协调沟通类</t>
        </is>
      </c>
      <c r="FP421" s="2"/>
      <c r="FQ421" s="2" t="inlineStr">
        <is>
          <t>跨部门对接</t>
        </is>
      </c>
      <c r="FR421" s="2" t="inlineStr">
        <is>
          <t>岗位职责</t>
        </is>
      </c>
      <c r="FS421" s="2" t="inlineStr">
        <is>
          <t>重要且紧急</t>
        </is>
      </c>
      <c r="FT421" s="2" t="inlineStr">
        <is>
          <t>非标准化-无先例参考，需创新协调</t>
        </is>
      </c>
      <c r="FU421" s="2" t="inlineStr">
        <is>
          <t>极少（&lt;5%）</t>
        </is>
      </c>
      <c r="FV421" s="2" t="inlineStr">
        <is>
          <t>沟通/协调负荷</t>
        </is>
      </c>
      <c r="FW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t="inlineStr">
        <is>
          <t>f7e2f188-bf55-4c61-ad23-8e14019d8ab8</t>
        </is>
      </c>
      <c r="DJ422" s="3" t="n">
        <v>3</v>
      </c>
      <c r="DK422" s="2"/>
      <c r="DL422" s="2" t="inlineStr">
        <is>
          <t>核对外聘台账是否有到期续签并通知部门填写告知函，若续签则发合同</t>
        </is>
      </c>
      <c r="DM422" s="2" t="inlineStr">
        <is>
          <t>1次</t>
        </is>
      </c>
      <c r="DN422" s="3" t="n">
        <v>1</v>
      </c>
      <c r="DO422" s="3" t="n">
        <v>1</v>
      </c>
      <c r="DP422" s="2" t="inlineStr">
        <is>
          <t>B.2小时以内</t>
        </is>
      </c>
      <c r="DQ422" s="7" t="n">
        <v>2</v>
      </c>
      <c r="DR422" s="7" t="n">
        <v>2</v>
      </c>
      <c r="DS422" s="7" t="n">
        <v>2</v>
      </c>
      <c r="DT422" s="7" t="n">
        <v>2</v>
      </c>
      <c r="DU422" s="2" t="inlineStr">
        <is>
          <t>协调沟通类</t>
        </is>
      </c>
      <c r="DV422" s="2"/>
      <c r="DW422" s="2" t="inlineStr">
        <is>
          <t>跨部门对接</t>
        </is>
      </c>
      <c r="DX422" s="2" t="inlineStr">
        <is>
          <t>岗位职责</t>
        </is>
      </c>
      <c r="DY422" s="2" t="inlineStr">
        <is>
          <t>重要且紧急</t>
        </is>
      </c>
      <c r="DZ422" s="2" t="inlineStr">
        <is>
          <t>半标准化-有流程框架，需专业经验</t>
        </is>
      </c>
      <c r="EA422" s="2" t="inlineStr">
        <is>
          <t>极少（&lt;5%）</t>
        </is>
      </c>
      <c r="EB422" s="2" t="inlineStr">
        <is>
          <t>沟通/协调负荷</t>
        </is>
      </c>
      <c r="EC422" s="2"/>
      <c r="ED422" s="2" t="inlineStr">
        <is>
          <t>fde903a2-eac6-40f9-952f-9825fe61f9b2</t>
        </is>
      </c>
      <c r="EE422" s="3" t="n">
        <v>3</v>
      </c>
      <c r="EF422" s="2"/>
      <c r="EG422" s="2" t="inlineStr">
        <is>
          <t>通知新员工满6个月可以参加年金并收集年金表</t>
        </is>
      </c>
      <c r="EH422" s="2" t="inlineStr">
        <is>
          <t>1次</t>
        </is>
      </c>
      <c r="EI422" s="3" t="n">
        <v>1</v>
      </c>
      <c r="EJ422" s="2" t="inlineStr">
        <is>
          <t>D.4-8小时</t>
        </is>
      </c>
      <c r="EK422" s="7" t="n">
        <v>4</v>
      </c>
      <c r="EL422" s="7" t="n">
        <v>8</v>
      </c>
      <c r="EM422" s="7" t="n">
        <v>4</v>
      </c>
      <c r="EN422" s="7" t="n">
        <v>8</v>
      </c>
      <c r="EO422" s="2" t="inlineStr">
        <is>
          <t>协调沟通类</t>
        </is>
      </c>
      <c r="EP422" s="2"/>
      <c r="EQ422" s="2" t="inlineStr">
        <is>
          <t>跨部门对接</t>
        </is>
      </c>
      <c r="ER422" s="2" t="inlineStr">
        <is>
          <t>岗位职责</t>
        </is>
      </c>
      <c r="ES422" s="2" t="inlineStr">
        <is>
          <t>重要不紧急</t>
        </is>
      </c>
      <c r="ET422" s="2" t="inlineStr">
        <is>
          <t>半标准化</t>
        </is>
      </c>
      <c r="EU422" s="2" t="inlineStr">
        <is>
          <t>极少（&lt;5%）</t>
        </is>
      </c>
      <c r="EV422" s="2" t="inlineStr">
        <is>
          <t>沟通/协调负荷</t>
        </is>
      </c>
      <c r="EW422" s="2"/>
      <c r="EX422" s="2" t="inlineStr">
        <is>
          <t>97c46548-3402-42a9-982e-e08e8ca439b7</t>
        </is>
      </c>
      <c r="EY422" s="3" t="n">
        <v>3</v>
      </c>
      <c r="EZ422" s="2"/>
      <c r="FA422" s="2" t="inlineStr">
        <is>
          <t>提供工资条</t>
        </is>
      </c>
      <c r="FB422" s="2" t="inlineStr">
        <is>
          <t>每月1-2次</t>
        </is>
      </c>
      <c r="FC422" s="2" t="inlineStr">
        <is>
          <t>月</t>
        </is>
      </c>
      <c r="FD422" s="3" t="n">
        <v>1</v>
      </c>
      <c r="FE422" s="3" t="n">
        <v>2</v>
      </c>
      <c r="FF422" s="2" t="inlineStr">
        <is>
          <t>A.20分钟以内</t>
        </is>
      </c>
      <c r="FG422" s="7" t="n">
        <v>0.33</v>
      </c>
      <c r="FH422" s="7" t="n">
        <v>0.33</v>
      </c>
      <c r="FI422" s="7" t="n">
        <v>0.33</v>
      </c>
      <c r="FJ422" s="7" t="n">
        <v>0.66</v>
      </c>
      <c r="FK422" s="7" t="n">
        <v>0</v>
      </c>
      <c r="FL422" s="7" t="n">
        <v>0</v>
      </c>
      <c r="FM422" s="7" t="n">
        <v>0</v>
      </c>
      <c r="FN422" s="7" t="n">
        <v>0</v>
      </c>
      <c r="FO422" s="2" t="inlineStr">
        <is>
          <t>协调沟通类</t>
        </is>
      </c>
      <c r="FP422" s="2"/>
      <c r="FQ422" s="2" t="inlineStr">
        <is>
          <t>跨部门对接</t>
        </is>
      </c>
      <c r="FR422" s="2" t="inlineStr">
        <is>
          <t>跨部门协同</t>
        </is>
      </c>
      <c r="FS422" s="2" t="inlineStr">
        <is>
          <t>重要不紧急</t>
        </is>
      </c>
      <c r="FT422" s="2" t="inlineStr">
        <is>
          <t>半标准化-有流程框架，需专业经验</t>
        </is>
      </c>
      <c r="FU422" s="2" t="inlineStr">
        <is>
          <t>极少（&lt;5%）</t>
        </is>
      </c>
      <c r="FV422" s="2" t="inlineStr">
        <is>
          <t>沟通/协调负荷</t>
        </is>
      </c>
      <c r="FW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t="inlineStr">
        <is>
          <t>38377186-c17d-4448-a8d9-344a1a56ad3f</t>
        </is>
      </c>
      <c r="DJ423" s="3" t="n">
        <v>4</v>
      </c>
      <c r="DK423" s="2"/>
      <c r="DL423" s="2" t="inlineStr">
        <is>
          <t>做机关外聘人员工资</t>
        </is>
      </c>
      <c r="DM423" s="2" t="inlineStr">
        <is>
          <t>1次</t>
        </is>
      </c>
      <c r="DN423" s="3" t="n">
        <v>1</v>
      </c>
      <c r="DO423" s="3" t="n">
        <v>1</v>
      </c>
      <c r="DP423" s="2" t="inlineStr">
        <is>
          <t>D.4-8小时</t>
        </is>
      </c>
      <c r="DQ423" s="7" t="n">
        <v>4</v>
      </c>
      <c r="DR423" s="7" t="n">
        <v>8</v>
      </c>
      <c r="DS423" s="7" t="n">
        <v>4</v>
      </c>
      <c r="DT423" s="7" t="n">
        <v>8</v>
      </c>
      <c r="DU423" s="2" t="inlineStr">
        <is>
          <t>行政事务类</t>
        </is>
      </c>
      <c r="DV423" s="2"/>
      <c r="DW423" s="2" t="inlineStr">
        <is>
          <t>日常台账</t>
        </is>
      </c>
      <c r="DX423" s="2" t="inlineStr">
        <is>
          <t>岗位职责</t>
        </is>
      </c>
      <c r="DY423" s="2" t="inlineStr">
        <is>
          <t>重要且紧急</t>
        </is>
      </c>
      <c r="DZ423" s="2" t="inlineStr">
        <is>
          <t>半标准化-有流程框架，需专业经验</t>
        </is>
      </c>
      <c r="EA423" s="2" t="inlineStr">
        <is>
          <t>极少（&lt;5%）</t>
        </is>
      </c>
      <c r="EB423" s="2" t="inlineStr">
        <is>
          <t>时效/强度负荷</t>
        </is>
      </c>
      <c r="EC423" s="2"/>
      <c r="ED423" s="2" t="inlineStr">
        <is>
          <t>6c0597cc-e3cb-4182-9f59-0cc9ff3f6a33</t>
        </is>
      </c>
      <c r="EE423" s="3" t="n">
        <v>4</v>
      </c>
      <c r="EF423" s="2"/>
      <c r="EG423" s="2" t="inlineStr">
        <is>
          <t>机关外聘人员购买人寿保险</t>
        </is>
      </c>
      <c r="EH423" s="2" t="inlineStr">
        <is>
          <t>1次</t>
        </is>
      </c>
      <c r="EI423" s="3" t="n">
        <v>1</v>
      </c>
      <c r="EJ423" s="2" t="inlineStr">
        <is>
          <t>E.8小时以上</t>
        </is>
      </c>
      <c r="EK423" s="7" t="n">
        <v>8</v>
      </c>
      <c r="EL423" s="7" t="n">
        <v>8</v>
      </c>
      <c r="EM423" s="7" t="n">
        <v>8</v>
      </c>
      <c r="EN423" s="7" t="n">
        <v>8</v>
      </c>
      <c r="EO423" s="2" t="inlineStr">
        <is>
          <t>行政事务类</t>
        </is>
      </c>
      <c r="EP423" s="2"/>
      <c r="EQ423" s="2" t="inlineStr">
        <is>
          <t>日常台账</t>
        </is>
      </c>
      <c r="ER423" s="2" t="inlineStr">
        <is>
          <t>跨部门协同</t>
        </is>
      </c>
      <c r="ES423" s="2" t="inlineStr">
        <is>
          <t>重要且紧急</t>
        </is>
      </c>
      <c r="ET423" s="2" t="inlineStr">
        <is>
          <t>半标准化</t>
        </is>
      </c>
      <c r="EU423" s="2" t="inlineStr">
        <is>
          <t>极少（&lt;5%）</t>
        </is>
      </c>
      <c r="EV423" s="2" t="inlineStr">
        <is>
          <t>沟通/协调负荷</t>
        </is>
      </c>
      <c r="EW423" s="2"/>
      <c r="EX423" s="2" t="inlineStr">
        <is>
          <t>8b0471fb-f98f-443b-b78d-2be6f1e8a37a</t>
        </is>
      </c>
      <c r="EY423" s="3" t="n">
        <v>4</v>
      </c>
      <c r="EZ423" s="2"/>
      <c r="FA423" s="2" t="inlineStr">
        <is>
          <t>工资测算</t>
        </is>
      </c>
      <c r="FB423" s="2" t="inlineStr">
        <is>
          <t>每年3次以上</t>
        </is>
      </c>
      <c r="FC423" s="2" t="inlineStr">
        <is>
          <t>年</t>
        </is>
      </c>
      <c r="FD423" s="3" t="n">
        <v>3</v>
      </c>
      <c r="FE423" s="3" t="n">
        <v>3</v>
      </c>
      <c r="FF423" s="2" t="inlineStr">
        <is>
          <t>C.2-4小时</t>
        </is>
      </c>
      <c r="FG423" s="7" t="n">
        <v>2</v>
      </c>
      <c r="FH423" s="7" t="n">
        <v>4</v>
      </c>
      <c r="FI423" s="7" t="n">
        <v>0</v>
      </c>
      <c r="FJ423" s="7" t="n">
        <v>0</v>
      </c>
      <c r="FK423" s="7" t="n">
        <v>0</v>
      </c>
      <c r="FL423" s="7" t="n">
        <v>0</v>
      </c>
      <c r="FM423" s="7" t="n">
        <v>6</v>
      </c>
      <c r="FN423" s="7" t="n">
        <v>12</v>
      </c>
      <c r="FO423" s="2" t="inlineStr">
        <is>
          <t>行政事务类</t>
        </is>
      </c>
      <c r="FP423" s="2"/>
      <c r="FQ423" s="2" t="inlineStr">
        <is>
          <t>日常台账</t>
        </is>
      </c>
      <c r="FR423" s="2" t="inlineStr">
        <is>
          <t>上级指令</t>
        </is>
      </c>
      <c r="FS423" s="2" t="inlineStr">
        <is>
          <t>重要且紧急</t>
        </is>
      </c>
      <c r="FT423" s="2" t="inlineStr">
        <is>
          <t>半标准化-有流程框架，需专业经验</t>
        </is>
      </c>
      <c r="FU423" s="2" t="inlineStr">
        <is>
          <t>极少（&lt;5%）</t>
        </is>
      </c>
      <c r="FV423" s="2" t="inlineStr">
        <is>
          <t>脑力/复杂度负荷</t>
        </is>
      </c>
      <c r="FW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t="inlineStr">
        <is>
          <t>e89db8a6-eae1-46de-bc4e-a82a5e5e895f</t>
        </is>
      </c>
      <c r="DJ424" s="3" t="n">
        <v>5</v>
      </c>
      <c r="DK424" s="2"/>
      <c r="DL424" s="2" t="inlineStr">
        <is>
          <t>打印分公司及机关工资表装订成册并制作汇总表</t>
        </is>
      </c>
      <c r="DM424" s="2" t="inlineStr">
        <is>
          <t>1次</t>
        </is>
      </c>
      <c r="DN424" s="3" t="n">
        <v>1</v>
      </c>
      <c r="DO424" s="3" t="n">
        <v>1</v>
      </c>
      <c r="DP424" s="2" t="inlineStr">
        <is>
          <t>D.4-8小时</t>
        </is>
      </c>
      <c r="DQ424" s="7" t="n">
        <v>4</v>
      </c>
      <c r="DR424" s="7" t="n">
        <v>8</v>
      </c>
      <c r="DS424" s="7" t="n">
        <v>4</v>
      </c>
      <c r="DT424" s="7" t="n">
        <v>8</v>
      </c>
      <c r="DU424" s="2" t="inlineStr">
        <is>
          <t>行政事务类</t>
        </is>
      </c>
      <c r="DV424" s="2"/>
      <c r="DW424" s="2" t="inlineStr">
        <is>
          <t>日常台账</t>
        </is>
      </c>
      <c r="DX424" s="2" t="inlineStr">
        <is>
          <t>岗位职责</t>
        </is>
      </c>
      <c r="DY424" s="2" t="inlineStr">
        <is>
          <t>不重要不紧急</t>
        </is>
      </c>
      <c r="DZ424" s="2" t="inlineStr">
        <is>
          <t>半标准化-有流程框架，需专业经验</t>
        </is>
      </c>
      <c r="EA424" s="2" t="inlineStr">
        <is>
          <t>极少（&lt;5%）</t>
        </is>
      </c>
      <c r="EB424" s="2" t="inlineStr">
        <is>
          <t>责任/风险负荷</t>
        </is>
      </c>
      <c r="EC424" s="2"/>
      <c r="ED424" s="2" t="inlineStr">
        <is>
          <t>fa5ed70a-6f1e-4a4d-af58-fc52ffc63a1d</t>
        </is>
      </c>
      <c r="EE424" s="3" t="n">
        <v>5</v>
      </c>
      <c r="EF424" s="2"/>
      <c r="EG424" s="2" t="inlineStr">
        <is>
          <t>整理涉及人力资源的文件并制目录装订归档</t>
        </is>
      </c>
      <c r="EH424" s="2" t="inlineStr">
        <is>
          <t>1次</t>
        </is>
      </c>
      <c r="EI424" s="3" t="n">
        <v>1</v>
      </c>
      <c r="EJ424" s="2" t="inlineStr">
        <is>
          <t>B.2小时以内</t>
        </is>
      </c>
      <c r="EK424" s="7" t="n">
        <v>2</v>
      </c>
      <c r="EL424" s="7" t="n">
        <v>2</v>
      </c>
      <c r="EM424" s="7" t="n">
        <v>2</v>
      </c>
      <c r="EN424" s="7" t="n">
        <v>2</v>
      </c>
      <c r="EO424" s="2" t="inlineStr">
        <is>
          <t>行政事务类</t>
        </is>
      </c>
      <c r="EP424" s="2"/>
      <c r="EQ424" s="2" t="inlineStr">
        <is>
          <t>日常台账</t>
        </is>
      </c>
      <c r="ER424" s="2" t="inlineStr">
        <is>
          <t>岗位职责</t>
        </is>
      </c>
      <c r="ES424" s="2" t="inlineStr">
        <is>
          <t>重要不紧急</t>
        </is>
      </c>
      <c r="ET424" s="2" t="inlineStr">
        <is>
          <t>半标准化-有流程框架，需专业经验</t>
        </is>
      </c>
      <c r="EU424" s="2" t="inlineStr">
        <is>
          <t>极少（&lt;5%）</t>
        </is>
      </c>
      <c r="EV424" s="2" t="inlineStr">
        <is>
          <t>沟通/协调负荷</t>
        </is>
      </c>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t="inlineStr">
        <is>
          <t>b725670d-deb9-46df-9a12-fddec05de7ba</t>
        </is>
      </c>
      <c r="DJ425" s="3" t="n">
        <v>6</v>
      </c>
      <c r="DK425" s="2"/>
      <c r="DL425" s="2" t="inlineStr">
        <is>
          <t>薪资调整，基本薪酬及住补，查看当月是否有员工两年1级和住补到期，若有则进系统调整</t>
        </is>
      </c>
      <c r="DM425" s="2" t="inlineStr">
        <is>
          <t>1次</t>
        </is>
      </c>
      <c r="DN425" s="3" t="n">
        <v>1</v>
      </c>
      <c r="DO425" s="3" t="n">
        <v>1</v>
      </c>
      <c r="DP425" s="2" t="inlineStr">
        <is>
          <t>D.4-8小时</t>
        </is>
      </c>
      <c r="DQ425" s="7" t="n">
        <v>4</v>
      </c>
      <c r="DR425" s="7" t="n">
        <v>8</v>
      </c>
      <c r="DS425" s="7" t="n">
        <v>4</v>
      </c>
      <c r="DT425" s="7" t="n">
        <v>8</v>
      </c>
      <c r="DU425" s="2" t="inlineStr">
        <is>
          <t>行政事务类</t>
        </is>
      </c>
      <c r="DV425" s="2"/>
      <c r="DW425" s="2" t="inlineStr">
        <is>
          <t>日常台账</t>
        </is>
      </c>
      <c r="DX425" s="2" t="inlineStr">
        <is>
          <t>岗位职责</t>
        </is>
      </c>
      <c r="DY425" s="2" t="inlineStr">
        <is>
          <t>重要且紧急</t>
        </is>
      </c>
      <c r="DZ425" s="2" t="inlineStr">
        <is>
          <t>半标准化-有流程框架，需专业经验</t>
        </is>
      </c>
      <c r="EA425" s="2" t="inlineStr">
        <is>
          <t>极少（&lt;5%）</t>
        </is>
      </c>
      <c r="EB425" s="2" t="inlineStr">
        <is>
          <t>责任/风险负荷</t>
        </is>
      </c>
      <c r="EC425" s="2"/>
      <c r="ED425" s="2" t="inlineStr">
        <is>
          <t>b0d83f3a-1a45-464e-87c4-8d5bcb97cbbd</t>
        </is>
      </c>
      <c r="EE425" s="3" t="n">
        <v>6</v>
      </c>
      <c r="EF425" s="2"/>
      <c r="EG425" s="2" t="inlineStr">
        <is>
          <t>做机关正式及外聘员工过节费并通知项目部</t>
        </is>
      </c>
      <c r="EH425" s="2" t="inlineStr">
        <is>
          <t>2次</t>
        </is>
      </c>
      <c r="EI425" s="3" t="n">
        <v>2</v>
      </c>
      <c r="EJ425" s="2" t="inlineStr">
        <is>
          <t>D.4-8小时</t>
        </is>
      </c>
      <c r="EK425" s="7" t="n">
        <v>4</v>
      </c>
      <c r="EL425" s="7" t="n">
        <v>8</v>
      </c>
      <c r="EM425" s="7" t="n">
        <v>8</v>
      </c>
      <c r="EN425" s="7" t="n">
        <v>16</v>
      </c>
      <c r="EO425" s="2" t="inlineStr">
        <is>
          <t>行政事务类</t>
        </is>
      </c>
      <c r="EP425" s="2"/>
      <c r="EQ425" s="2" t="inlineStr">
        <is>
          <t>日常台账</t>
        </is>
      </c>
      <c r="ER425" s="2" t="inlineStr">
        <is>
          <t>岗位职责</t>
        </is>
      </c>
      <c r="ES425" s="2" t="inlineStr">
        <is>
          <t>重要且紧急</t>
        </is>
      </c>
      <c r="ET425" s="2" t="inlineStr">
        <is>
          <t>半标准化-有流程框架，需专业经验</t>
        </is>
      </c>
      <c r="EU425" s="2" t="inlineStr">
        <is>
          <t>极少（&lt;5%）</t>
        </is>
      </c>
      <c r="EV425" s="2" t="inlineStr">
        <is>
          <t>时效/强度负荷</t>
        </is>
      </c>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t="inlineStr">
        <is>
          <t>849f3dfd-4a77-45f8-96b6-5be4a1165bc8</t>
        </is>
      </c>
      <c r="DJ426" s="3" t="n">
        <v>7</v>
      </c>
      <c r="DK426" s="2"/>
      <c r="DL426" s="2" t="inlineStr">
        <is>
          <t>和同事确认当月是否有人取证书，加证书津贴</t>
        </is>
      </c>
      <c r="DM426" s="2" t="inlineStr">
        <is>
          <t>1次</t>
        </is>
      </c>
      <c r="DN426" s="3" t="n">
        <v>1</v>
      </c>
      <c r="DO426" s="3" t="n">
        <v>1</v>
      </c>
      <c r="DP426" s="2" t="inlineStr">
        <is>
          <t>A.20分钟以内</t>
        </is>
      </c>
      <c r="DQ426" s="7" t="n">
        <v>0.33</v>
      </c>
      <c r="DR426" s="7" t="n">
        <v>0.33</v>
      </c>
      <c r="DS426" s="7" t="n">
        <v>0.33</v>
      </c>
      <c r="DT426" s="7" t="n">
        <v>0.33</v>
      </c>
      <c r="DU426" s="2" t="inlineStr">
        <is>
          <t>行政事务类</t>
        </is>
      </c>
      <c r="DV426" s="2"/>
      <c r="DW426" s="2" t="inlineStr">
        <is>
          <t>日常台账</t>
        </is>
      </c>
      <c r="DX426" s="2" t="inlineStr">
        <is>
          <t>岗位职责</t>
        </is>
      </c>
      <c r="DY426" s="2" t="inlineStr">
        <is>
          <t>重要且紧急</t>
        </is>
      </c>
      <c r="DZ426" s="2" t="inlineStr">
        <is>
          <t>半标准化-有流程框架，需专业经验</t>
        </is>
      </c>
      <c r="EA426" s="2" t="inlineStr">
        <is>
          <t>极少（&lt;5%）</t>
        </is>
      </c>
      <c r="EB426" s="2" t="inlineStr">
        <is>
          <t>沟通/协调负荷</t>
        </is>
      </c>
      <c r="EC426" s="2"/>
      <c r="ED426" s="2" t="inlineStr">
        <is>
          <t>ca38b0ff-14e4-4f63-82ea-05cd7bceac02</t>
        </is>
      </c>
      <c r="EE426" s="3" t="n">
        <v>7</v>
      </c>
      <c r="EF426" s="2"/>
      <c r="EG426" s="2" t="inlineStr">
        <is>
          <t>年度考核合格人员两年一档基本薪酬调整及连续4年优秀薪酬调整</t>
        </is>
      </c>
      <c r="EH426" s="2" t="inlineStr">
        <is>
          <t>1次</t>
        </is>
      </c>
      <c r="EI426" s="3" t="n">
        <v>1</v>
      </c>
      <c r="EJ426" s="2" t="inlineStr">
        <is>
          <t>E.8小时以上</t>
        </is>
      </c>
      <c r="EK426" s="7" t="n">
        <v>8</v>
      </c>
      <c r="EL426" s="7" t="n">
        <v>8</v>
      </c>
      <c r="EM426" s="7" t="n">
        <v>8</v>
      </c>
      <c r="EN426" s="7" t="n">
        <v>8</v>
      </c>
      <c r="EO426" s="2" t="inlineStr">
        <is>
          <t>行政事务类</t>
        </is>
      </c>
      <c r="EP426" s="2"/>
      <c r="EQ426" s="2" t="inlineStr">
        <is>
          <t>日常台账</t>
        </is>
      </c>
      <c r="ER426" s="2" t="inlineStr">
        <is>
          <t>岗位职责</t>
        </is>
      </c>
      <c r="ES426" s="2" t="inlineStr">
        <is>
          <t>重要且紧急</t>
        </is>
      </c>
      <c r="ET426" s="2" t="inlineStr">
        <is>
          <t>半标准化-有流程框架，需专业经验</t>
        </is>
      </c>
      <c r="EU426" s="2" t="inlineStr">
        <is>
          <t>极少（&lt;5%）</t>
        </is>
      </c>
      <c r="EV426" s="2" t="inlineStr">
        <is>
          <t>时效/强度负荷</t>
        </is>
      </c>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t="inlineStr">
        <is>
          <t>148ab5db-97ee-44aa-8ca8-11757784aacf</t>
        </is>
      </c>
      <c r="DJ427" s="3" t="n">
        <v>8</v>
      </c>
      <c r="DK427" s="2"/>
      <c r="DL427" s="2" t="inlineStr">
        <is>
          <t>做机关及分公司中层工资表</t>
        </is>
      </c>
      <c r="DM427" s="2" t="inlineStr">
        <is>
          <t>1次</t>
        </is>
      </c>
      <c r="DN427" s="3" t="n">
        <v>1</v>
      </c>
      <c r="DO427" s="3" t="n">
        <v>1</v>
      </c>
      <c r="DP427" s="2" t="inlineStr">
        <is>
          <t>D.4-8小时</t>
        </is>
      </c>
      <c r="DQ427" s="7" t="n">
        <v>4</v>
      </c>
      <c r="DR427" s="7" t="n">
        <v>8</v>
      </c>
      <c r="DS427" s="7" t="n">
        <v>4</v>
      </c>
      <c r="DT427" s="7" t="n">
        <v>8</v>
      </c>
      <c r="DU427" s="2" t="inlineStr">
        <is>
          <t>行政事务类</t>
        </is>
      </c>
      <c r="DV427" s="2"/>
      <c r="DW427" s="2" t="inlineStr">
        <is>
          <t>日常台账</t>
        </is>
      </c>
      <c r="DX427" s="2" t="inlineStr">
        <is>
          <t>岗位职责</t>
        </is>
      </c>
      <c r="DY427" s="2" t="inlineStr">
        <is>
          <t>重要且紧急</t>
        </is>
      </c>
      <c r="DZ427" s="2" t="inlineStr">
        <is>
          <t>半标准化-有流程框架，需专业经验</t>
        </is>
      </c>
      <c r="EA427" s="2" t="inlineStr">
        <is>
          <t>极少（&lt;5%）</t>
        </is>
      </c>
      <c r="EB427" s="2" t="inlineStr">
        <is>
          <t>责任/风险负荷</t>
        </is>
      </c>
      <c r="EC427" s="2"/>
      <c r="ED427" s="2" t="inlineStr">
        <is>
          <t>815219db-b985-45fc-b74d-04c341ee3804</t>
        </is>
      </c>
      <c r="EE427" s="3" t="n">
        <v>8</v>
      </c>
      <c r="EF427" s="2"/>
      <c r="EG427" s="2" t="inlineStr">
        <is>
          <t>年初职称评选调整基本薪酬</t>
        </is>
      </c>
      <c r="EH427" s="2" t="inlineStr">
        <is>
          <t>1次</t>
        </is>
      </c>
      <c r="EI427" s="3" t="n">
        <v>1</v>
      </c>
      <c r="EJ427" s="2" t="inlineStr">
        <is>
          <t>D.4-8小时</t>
        </is>
      </c>
      <c r="EK427" s="7" t="n">
        <v>4</v>
      </c>
      <c r="EL427" s="7" t="n">
        <v>8</v>
      </c>
      <c r="EM427" s="7" t="n">
        <v>4</v>
      </c>
      <c r="EN427" s="7" t="n">
        <v>8</v>
      </c>
      <c r="EO427" s="2" t="inlineStr">
        <is>
          <t>行政事务类</t>
        </is>
      </c>
      <c r="EP427" s="2"/>
      <c r="EQ427" s="2" t="inlineStr">
        <is>
          <t>日常台账</t>
        </is>
      </c>
      <c r="ER427" s="2" t="inlineStr">
        <is>
          <t>岗位职责</t>
        </is>
      </c>
      <c r="ES427" s="2" t="inlineStr">
        <is>
          <t>重要且紧急</t>
        </is>
      </c>
      <c r="ET427" s="2" t="inlineStr">
        <is>
          <t>半标准化-有流程框架，需专业经验</t>
        </is>
      </c>
      <c r="EU427" s="2" t="inlineStr">
        <is>
          <t>极少（&lt;5%）</t>
        </is>
      </c>
      <c r="EV427" s="2" t="inlineStr">
        <is>
          <t>时效/强度负荷</t>
        </is>
      </c>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t="inlineStr">
        <is>
          <t>f164953d-6a0a-46ca-ba87-81e59ccbe8e6</t>
        </is>
      </c>
      <c r="DJ428" s="3" t="n">
        <v>9</v>
      </c>
      <c r="DK428" s="2"/>
      <c r="DL428" s="2" t="inlineStr">
        <is>
          <t>做项目管理公司工资表</t>
        </is>
      </c>
      <c r="DM428" s="2" t="inlineStr">
        <is>
          <t>1次</t>
        </is>
      </c>
      <c r="DN428" s="3" t="n">
        <v>1</v>
      </c>
      <c r="DO428" s="3" t="n">
        <v>1</v>
      </c>
      <c r="DP428" s="2" t="inlineStr">
        <is>
          <t>D.4-8小时</t>
        </is>
      </c>
      <c r="DQ428" s="7" t="n">
        <v>4</v>
      </c>
      <c r="DR428" s="7" t="n">
        <v>8</v>
      </c>
      <c r="DS428" s="7" t="n">
        <v>4</v>
      </c>
      <c r="DT428" s="7" t="n">
        <v>8</v>
      </c>
      <c r="DU428" s="2" t="inlineStr">
        <is>
          <t>行政事务类</t>
        </is>
      </c>
      <c r="DV428" s="2"/>
      <c r="DW428" s="2" t="inlineStr">
        <is>
          <t>日常台账</t>
        </is>
      </c>
      <c r="DX428" s="2" t="inlineStr">
        <is>
          <t>岗位职责</t>
        </is>
      </c>
      <c r="DY428" s="2" t="inlineStr">
        <is>
          <t>重要且紧急</t>
        </is>
      </c>
      <c r="DZ428" s="2" t="inlineStr">
        <is>
          <t>半标准化-有流程框架，需专业经验</t>
        </is>
      </c>
      <c r="EA428" s="2" t="inlineStr">
        <is>
          <t>极少（&lt;5%）</t>
        </is>
      </c>
      <c r="EB428" s="2" t="inlineStr">
        <is>
          <t>责任/风险负荷</t>
        </is>
      </c>
      <c r="EC428" s="2"/>
      <c r="ED428" s="2" t="inlineStr">
        <is>
          <t>6122e32e-96e0-4b04-876d-bff0365c935d</t>
        </is>
      </c>
      <c r="EE428" s="3" t="n">
        <v>9</v>
      </c>
      <c r="EF428" s="2"/>
      <c r="EG428" s="2" t="inlineStr">
        <is>
          <t>组织年终奖会议通知劳资参会</t>
        </is>
      </c>
      <c r="EH428" s="2" t="inlineStr">
        <is>
          <t>1次</t>
        </is>
      </c>
      <c r="EI428" s="3" t="n">
        <v>1</v>
      </c>
      <c r="EJ428" s="2" t="inlineStr">
        <is>
          <t>B.2小时以内</t>
        </is>
      </c>
      <c r="EK428" s="7" t="n">
        <v>2</v>
      </c>
      <c r="EL428" s="7" t="n">
        <v>2</v>
      </c>
      <c r="EM428" s="7" t="n">
        <v>2</v>
      </c>
      <c r="EN428" s="7" t="n">
        <v>2</v>
      </c>
      <c r="EO428" s="2" t="inlineStr">
        <is>
          <t>行政事务类</t>
        </is>
      </c>
      <c r="EP428" s="2"/>
      <c r="EQ428" s="2" t="inlineStr">
        <is>
          <t>会议安排</t>
        </is>
      </c>
      <c r="ER428" s="2" t="inlineStr">
        <is>
          <t>岗位职责</t>
        </is>
      </c>
      <c r="ES428" s="2" t="inlineStr">
        <is>
          <t>重要不紧急</t>
        </is>
      </c>
      <c r="ET428" s="2" t="inlineStr">
        <is>
          <t>半标准化-有流程框架，需专业经验</t>
        </is>
      </c>
      <c r="EU428" s="2" t="inlineStr">
        <is>
          <t>极少（&lt;5%）</t>
        </is>
      </c>
      <c r="EV428" s="2" t="inlineStr">
        <is>
          <t>沟通/协调负荷</t>
        </is>
      </c>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t="inlineStr">
        <is>
          <t>841ce2f3-155a-4094-9ae9-e08f7e306f4a</t>
        </is>
      </c>
      <c r="DJ429" s="3" t="n">
        <v>10</v>
      </c>
      <c r="DK429" s="2"/>
      <c r="DL429" s="2" t="inlineStr">
        <is>
          <t>统计机关女工费报给财务部</t>
        </is>
      </c>
      <c r="DM429" s="2" t="inlineStr">
        <is>
          <t>1次</t>
        </is>
      </c>
      <c r="DN429" s="3" t="n">
        <v>1</v>
      </c>
      <c r="DO429" s="3" t="n">
        <v>1</v>
      </c>
      <c r="DP429" s="2" t="inlineStr">
        <is>
          <t>B.2小时以内</t>
        </is>
      </c>
      <c r="DQ429" s="7" t="n">
        <v>2</v>
      </c>
      <c r="DR429" s="7" t="n">
        <v>2</v>
      </c>
      <c r="DS429" s="7" t="n">
        <v>2</v>
      </c>
      <c r="DT429" s="7" t="n">
        <v>2</v>
      </c>
      <c r="DU429" s="2" t="inlineStr">
        <is>
          <t>协调沟通类</t>
        </is>
      </c>
      <c r="DV429" s="2"/>
      <c r="DW429" s="2" t="inlineStr">
        <is>
          <t>跨部门对接</t>
        </is>
      </c>
      <c r="DX429" s="2" t="inlineStr">
        <is>
          <t>岗位职责</t>
        </is>
      </c>
      <c r="DY429" s="2" t="inlineStr">
        <is>
          <t>重要不紧急</t>
        </is>
      </c>
      <c r="DZ429" s="2" t="inlineStr">
        <is>
          <t>半标准化-有流程框架，需专业经验</t>
        </is>
      </c>
      <c r="EA429" s="2" t="inlineStr">
        <is>
          <t>极少（&lt;5%）</t>
        </is>
      </c>
      <c r="EB429" s="2" t="inlineStr">
        <is>
          <t>沟通/协调负荷</t>
        </is>
      </c>
      <c r="EC429" s="2"/>
      <c r="ED429" s="2" t="inlineStr">
        <is>
          <t>6cc9b9a4-cbff-404b-a306-53f8f408b2db</t>
        </is>
      </c>
      <c r="EE429" s="3" t="n">
        <v>10</v>
      </c>
      <c r="EF429" s="2"/>
      <c r="EG429" s="2" t="inlineStr">
        <is>
          <t>做公司年终奖调动参考表和已发津贴表及分公司退休人员年终奖，发送并通知劳资</t>
        </is>
      </c>
      <c r="EH429" s="2" t="inlineStr">
        <is>
          <t>1次</t>
        </is>
      </c>
      <c r="EI429" s="3" t="n">
        <v>1</v>
      </c>
      <c r="EJ429" s="2" t="inlineStr">
        <is>
          <t>E.8小时以上</t>
        </is>
      </c>
      <c r="EK429" s="7" t="n">
        <v>8</v>
      </c>
      <c r="EL429" s="7" t="n">
        <v>8</v>
      </c>
      <c r="EM429" s="7" t="n">
        <v>8</v>
      </c>
      <c r="EN429" s="7" t="n">
        <v>8</v>
      </c>
      <c r="EO429" s="2" t="inlineStr">
        <is>
          <t>协调沟通类</t>
        </is>
      </c>
      <c r="EP429" s="2"/>
      <c r="EQ429" s="2" t="inlineStr">
        <is>
          <t>跨部门对接</t>
        </is>
      </c>
      <c r="ER429" s="2" t="inlineStr">
        <is>
          <t>岗位职责</t>
        </is>
      </c>
      <c r="ES429" s="2" t="inlineStr">
        <is>
          <t>重要且紧急</t>
        </is>
      </c>
      <c r="ET429" s="2" t="inlineStr">
        <is>
          <t>半标准化-有流程框架，需专业经验</t>
        </is>
      </c>
      <c r="EU429" s="2" t="inlineStr">
        <is>
          <t>极少（&lt;5%）</t>
        </is>
      </c>
      <c r="EV429" s="2" t="inlineStr">
        <is>
          <t>沟通/协调负荷</t>
        </is>
      </c>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t="inlineStr">
        <is>
          <t>4b317332-ee54-423c-b89a-39aa8a43a76d</t>
        </is>
      </c>
      <c r="DJ430" s="3" t="n">
        <v>11</v>
      </c>
      <c r="DK430" s="2"/>
      <c r="DL430" s="2" t="inlineStr">
        <is>
          <t>整理年金表，离职人员从在职年金表档案分到离职年金档案里，并更新年金档案台账</t>
        </is>
      </c>
      <c r="DM430" s="2" t="inlineStr">
        <is>
          <t>1次</t>
        </is>
      </c>
      <c r="DN430" s="3" t="n">
        <v>1</v>
      </c>
      <c r="DO430" s="3" t="n">
        <v>1</v>
      </c>
      <c r="DP430" s="2" t="inlineStr">
        <is>
          <t>D.4-8小时</t>
        </is>
      </c>
      <c r="DQ430" s="7" t="n">
        <v>4</v>
      </c>
      <c r="DR430" s="7" t="n">
        <v>8</v>
      </c>
      <c r="DS430" s="7" t="n">
        <v>4</v>
      </c>
      <c r="DT430" s="7" t="n">
        <v>8</v>
      </c>
      <c r="DU430" s="2" t="inlineStr">
        <is>
          <t>行政事务类</t>
        </is>
      </c>
      <c r="DV430" s="2"/>
      <c r="DW430" s="2" t="inlineStr">
        <is>
          <t>日常台账</t>
        </is>
      </c>
      <c r="DX430" s="2" t="inlineStr">
        <is>
          <t>岗位职责</t>
        </is>
      </c>
      <c r="DY430" s="2" t="inlineStr">
        <is>
          <t>重要不紧急</t>
        </is>
      </c>
      <c r="DZ430" s="2" t="inlineStr">
        <is>
          <t>半标准化-有流程框架，需专业经验</t>
        </is>
      </c>
      <c r="EA430" s="2" t="inlineStr">
        <is>
          <t>极少（&lt;5%）</t>
        </is>
      </c>
      <c r="EB430" s="2" t="inlineStr">
        <is>
          <t>责任/风险负荷</t>
        </is>
      </c>
      <c r="EC430" s="2"/>
      <c r="ED430" s="2" t="inlineStr">
        <is>
          <t>4e12fb98-4550-4c66-b19e-8aebc52161cd</t>
        </is>
      </c>
      <c r="EE430" s="3" t="n">
        <v>11</v>
      </c>
      <c r="EF430" s="2"/>
      <c r="EG430" s="2" t="inlineStr">
        <is>
          <t>审核分公司年终奖</t>
        </is>
      </c>
      <c r="EH430" s="2" t="inlineStr">
        <is>
          <t>1次</t>
        </is>
      </c>
      <c r="EI430" s="3" t="n">
        <v>1</v>
      </c>
      <c r="EJ430" s="2" t="inlineStr">
        <is>
          <t>E.8小时以上</t>
        </is>
      </c>
      <c r="EK430" s="7" t="n">
        <v>8</v>
      </c>
      <c r="EL430" s="7" t="n">
        <v>8</v>
      </c>
      <c r="EM430" s="7" t="n">
        <v>8</v>
      </c>
      <c r="EN430" s="7" t="n">
        <v>8</v>
      </c>
      <c r="EO430" s="2" t="inlineStr">
        <is>
          <t>协调沟通类</t>
        </is>
      </c>
      <c r="EP430" s="2"/>
      <c r="EQ430" s="2" t="inlineStr">
        <is>
          <t>跨部门对接</t>
        </is>
      </c>
      <c r="ER430" s="2" t="inlineStr">
        <is>
          <t>岗位职责</t>
        </is>
      </c>
      <c r="ES430" s="2" t="inlineStr">
        <is>
          <t>重要且紧急</t>
        </is>
      </c>
      <c r="ET430" s="2" t="inlineStr">
        <is>
          <t>半标准化-有流程框架，需专业经验</t>
        </is>
      </c>
      <c r="EU430" s="2" t="inlineStr">
        <is>
          <t>极少（&lt;5%）</t>
        </is>
      </c>
      <c r="EV430" s="2" t="inlineStr">
        <is>
          <t>沟通/协调负荷</t>
        </is>
      </c>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t="inlineStr">
        <is>
          <t>c6428910-2c71-4901-86f6-f6ab6d64b829</t>
        </is>
      </c>
      <c r="DJ431" s="3" t="n">
        <v>12</v>
      </c>
      <c r="DK431" s="2"/>
      <c r="DL431" s="2" t="inlineStr">
        <is>
          <t>做年金报表并报财务</t>
        </is>
      </c>
      <c r="DM431" s="2" t="inlineStr">
        <is>
          <t>1次</t>
        </is>
      </c>
      <c r="DN431" s="3" t="n">
        <v>1</v>
      </c>
      <c r="DO431" s="3" t="n">
        <v>1</v>
      </c>
      <c r="DP431" s="2" t="inlineStr">
        <is>
          <t>D.4-8小时</t>
        </is>
      </c>
      <c r="DQ431" s="7" t="n">
        <v>4</v>
      </c>
      <c r="DR431" s="7" t="n">
        <v>8</v>
      </c>
      <c r="DS431" s="7" t="n">
        <v>4</v>
      </c>
      <c r="DT431" s="7" t="n">
        <v>8</v>
      </c>
      <c r="DU431" s="2" t="inlineStr">
        <is>
          <t>数据报表类</t>
        </is>
      </c>
      <c r="DV431" s="2"/>
      <c r="DW431" s="2" t="inlineStr">
        <is>
          <t>月报</t>
        </is>
      </c>
      <c r="DX431" s="2" t="inlineStr">
        <is>
          <t>岗位职责</t>
        </is>
      </c>
      <c r="DY431" s="2" t="inlineStr">
        <is>
          <t>重要且紧急</t>
        </is>
      </c>
      <c r="DZ431" s="2" t="inlineStr">
        <is>
          <t>半标准化-有流程框架，需专业经验</t>
        </is>
      </c>
      <c r="EA431" s="2" t="inlineStr">
        <is>
          <t>极少（&lt;5%）</t>
        </is>
      </c>
      <c r="EB431" s="2" t="inlineStr">
        <is>
          <t>责任/风险负荷</t>
        </is>
      </c>
      <c r="EC431" s="2"/>
      <c r="ED431" s="2" t="inlineStr">
        <is>
          <t>233b221d-4051-4068-b832-6812095cf45e</t>
        </is>
      </c>
      <c r="EE431" s="3" t="n">
        <v>12</v>
      </c>
      <c r="EF431" s="2"/>
      <c r="EG431" s="2" t="inlineStr">
        <is>
          <t>7月新员工入职，银行卡收集并交给财务</t>
        </is>
      </c>
      <c r="EH431" s="2" t="inlineStr">
        <is>
          <t>1次</t>
        </is>
      </c>
      <c r="EI431" s="3" t="n">
        <v>1</v>
      </c>
      <c r="EJ431" s="2" t="inlineStr">
        <is>
          <t>C.2-4小时</t>
        </is>
      </c>
      <c r="EK431" s="7" t="n">
        <v>2</v>
      </c>
      <c r="EL431" s="7" t="n">
        <v>4</v>
      </c>
      <c r="EM431" s="7" t="n">
        <v>2</v>
      </c>
      <c r="EN431" s="7" t="n">
        <v>4</v>
      </c>
      <c r="EO431" s="2" t="inlineStr">
        <is>
          <t>行政事务类</t>
        </is>
      </c>
      <c r="EP431" s="2"/>
      <c r="EQ431" s="2" t="inlineStr">
        <is>
          <t>日常台账</t>
        </is>
      </c>
      <c r="ER431" s="2" t="inlineStr">
        <is>
          <t>岗位职责</t>
        </is>
      </c>
      <c r="ES431" s="2" t="inlineStr">
        <is>
          <t>重要不紧急</t>
        </is>
      </c>
      <c r="ET431" s="2" t="inlineStr">
        <is>
          <t>半标准化-有流程框架，需专业经验</t>
        </is>
      </c>
      <c r="EU431" s="2" t="inlineStr">
        <is>
          <t>极少（&lt;5%）</t>
        </is>
      </c>
      <c r="EV431" s="2" t="inlineStr">
        <is>
          <t>沟通/协调负荷</t>
        </is>
      </c>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t="inlineStr">
        <is>
          <t>4db7650a-9b37-4ac0-84a3-e6123b299595</t>
        </is>
      </c>
      <c r="DJ432" s="3" t="n">
        <v>13</v>
      </c>
      <c r="DK432" s="2"/>
      <c r="DL432" s="2" t="inlineStr">
        <is>
          <t>做公司工资月报及工资报表汇总表</t>
        </is>
      </c>
      <c r="DM432" s="2" t="inlineStr">
        <is>
          <t>1次</t>
        </is>
      </c>
      <c r="DN432" s="3" t="n">
        <v>1</v>
      </c>
      <c r="DO432" s="3" t="n">
        <v>1</v>
      </c>
      <c r="DP432" s="2" t="inlineStr">
        <is>
          <t>E.8小时以上</t>
        </is>
      </c>
      <c r="DQ432" s="7" t="n">
        <v>8</v>
      </c>
      <c r="DR432" s="7" t="n">
        <v>8</v>
      </c>
      <c r="DS432" s="7" t="n">
        <v>8</v>
      </c>
      <c r="DT432" s="7" t="n">
        <v>8</v>
      </c>
      <c r="DU432" s="2" t="inlineStr">
        <is>
          <t>数据报表类</t>
        </is>
      </c>
      <c r="DV432" s="2"/>
      <c r="DW432" s="2" t="inlineStr">
        <is>
          <t>月报</t>
        </is>
      </c>
      <c r="DX432" s="2" t="inlineStr">
        <is>
          <t>岗位职责</t>
        </is>
      </c>
      <c r="DY432" s="2" t="inlineStr">
        <is>
          <t>重要且紧急</t>
        </is>
      </c>
      <c r="DZ432" s="2" t="inlineStr">
        <is>
          <t>半标准化-有流程框架，需专业经验</t>
        </is>
      </c>
      <c r="EA432" s="2" t="inlineStr">
        <is>
          <t>极少（&lt;5%）</t>
        </is>
      </c>
      <c r="EB432" s="2" t="inlineStr">
        <is>
          <t>时效/强度负荷</t>
        </is>
      </c>
      <c r="EC432" s="2"/>
      <c r="ED432" s="2" t="inlineStr">
        <is>
          <t>42cc08f9-dbf5-4ece-a334-394bacf4dd5e</t>
        </is>
      </c>
      <c r="EE432" s="3" t="n">
        <v>13</v>
      </c>
      <c r="EF432" s="2"/>
      <c r="EG432" s="2" t="inlineStr">
        <is>
          <t>做7月新员工培训期工资</t>
        </is>
      </c>
      <c r="EH432" s="2" t="inlineStr">
        <is>
          <t>1次</t>
        </is>
      </c>
      <c r="EI432" s="3" t="n">
        <v>1</v>
      </c>
      <c r="EJ432" s="2" t="inlineStr">
        <is>
          <t>C.2-4小时</t>
        </is>
      </c>
      <c r="EK432" s="7" t="n">
        <v>2</v>
      </c>
      <c r="EL432" s="7" t="n">
        <v>4</v>
      </c>
      <c r="EM432" s="7" t="n">
        <v>2</v>
      </c>
      <c r="EN432" s="7" t="n">
        <v>4</v>
      </c>
      <c r="EO432" s="2" t="inlineStr">
        <is>
          <t>行政事务类</t>
        </is>
      </c>
      <c r="EP432" s="2"/>
      <c r="EQ432" s="2" t="inlineStr">
        <is>
          <t>日常台账</t>
        </is>
      </c>
      <c r="ER432" s="2" t="inlineStr">
        <is>
          <t>岗位职责</t>
        </is>
      </c>
      <c r="ES432" s="2" t="inlineStr">
        <is>
          <t>重要且紧急</t>
        </is>
      </c>
      <c r="ET432" s="2" t="inlineStr">
        <is>
          <t>半标准化-有流程框架，需专业经验</t>
        </is>
      </c>
      <c r="EU432" s="2" t="inlineStr">
        <is>
          <t>极少（&lt;5%）</t>
        </is>
      </c>
      <c r="EV432" s="2" t="inlineStr">
        <is>
          <t>时效/强度负荷</t>
        </is>
      </c>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t="inlineStr">
        <is>
          <t>c7eb46c9-dc75-4d70-8b99-a37c6cec2b22</t>
        </is>
      </c>
      <c r="DJ433" s="3" t="n">
        <v>14</v>
      </c>
      <c r="DK433" s="2"/>
      <c r="DL433" s="2" t="inlineStr">
        <is>
          <t>审核公司奖金表及工资表</t>
        </is>
      </c>
      <c r="DM433" s="2" t="inlineStr">
        <is>
          <t>8次以上</t>
        </is>
      </c>
      <c r="DN433" s="3" t="n">
        <v>8</v>
      </c>
      <c r="DO433" s="3" t="n">
        <v>8</v>
      </c>
      <c r="DP433" s="2" t="inlineStr">
        <is>
          <t>A.20分钟以内</t>
        </is>
      </c>
      <c r="DQ433" s="7" t="n">
        <v>0.33</v>
      </c>
      <c r="DR433" s="7" t="n">
        <v>0.33</v>
      </c>
      <c r="DS433" s="7" t="n">
        <v>2.64</v>
      </c>
      <c r="DT433" s="7" t="n">
        <v>2.64</v>
      </c>
      <c r="DU433" s="2" t="inlineStr">
        <is>
          <t>流程审批类</t>
        </is>
      </c>
      <c r="DV433" s="2"/>
      <c r="DW433" s="2" t="inlineStr">
        <is>
          <t>合同流程</t>
        </is>
      </c>
      <c r="DX433" s="2" t="inlineStr">
        <is>
          <t>岗位职责</t>
        </is>
      </c>
      <c r="DY433" s="2" t="inlineStr">
        <is>
          <t>重要且紧急</t>
        </is>
      </c>
      <c r="DZ433" s="2" t="inlineStr">
        <is>
          <t>半标准化-有流程框架，需专业经验</t>
        </is>
      </c>
      <c r="EA433" s="2" t="inlineStr">
        <is>
          <t>极少（&lt;5%）</t>
        </is>
      </c>
      <c r="EB433" s="2" t="inlineStr">
        <is>
          <t>沟通/协调负荷</t>
        </is>
      </c>
      <c r="EC433" s="2"/>
      <c r="ED433" s="2" t="inlineStr">
        <is>
          <t>45c50ce4-dd0f-4b22-b3d4-3802d29b3a95</t>
        </is>
      </c>
      <c r="EE433" s="3" t="n">
        <v>14</v>
      </c>
      <c r="EF433" s="2"/>
      <c r="EG433" s="2" t="inlineStr">
        <is>
          <t>新员工入职系统里薪资、待遇福利填写</t>
        </is>
      </c>
      <c r="EH433" s="2" t="inlineStr">
        <is>
          <t>1次</t>
        </is>
      </c>
      <c r="EI433" s="3" t="n">
        <v>1</v>
      </c>
      <c r="EJ433" s="2" t="inlineStr">
        <is>
          <t>D.4-8小时</t>
        </is>
      </c>
      <c r="EK433" s="7" t="n">
        <v>4</v>
      </c>
      <c r="EL433" s="7" t="n">
        <v>8</v>
      </c>
      <c r="EM433" s="7" t="n">
        <v>4</v>
      </c>
      <c r="EN433" s="7" t="n">
        <v>8</v>
      </c>
      <c r="EO433" s="2" t="inlineStr">
        <is>
          <t>行政事务类</t>
        </is>
      </c>
      <c r="EP433" s="2"/>
      <c r="EQ433" s="2" t="inlineStr">
        <is>
          <t>日常台账</t>
        </is>
      </c>
      <c r="ER433" s="2" t="inlineStr">
        <is>
          <t>岗位职责</t>
        </is>
      </c>
      <c r="ES433" s="2" t="inlineStr">
        <is>
          <t>重要且紧急</t>
        </is>
      </c>
      <c r="ET433" s="2" t="inlineStr">
        <is>
          <t>半标准化-有流程框架，需专业经验</t>
        </is>
      </c>
      <c r="EU433" s="2" t="inlineStr">
        <is>
          <t>极少（&lt;5%）</t>
        </is>
      </c>
      <c r="EV433" s="2" t="inlineStr">
        <is>
          <t>时效/强度负荷</t>
        </is>
      </c>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t="inlineStr">
        <is>
          <t>7133f871-da32-4b0d-8e57-991db5225693</t>
        </is>
      </c>
      <c r="DJ434" s="3" t="n">
        <v>15</v>
      </c>
      <c r="DK434" s="2"/>
      <c r="DL434" s="2" t="inlineStr">
        <is>
          <t>审核请假流程</t>
        </is>
      </c>
      <c r="DM434" s="2" t="inlineStr">
        <is>
          <t>8次以上</t>
        </is>
      </c>
      <c r="DN434" s="3" t="n">
        <v>8</v>
      </c>
      <c r="DO434" s="3" t="n">
        <v>8</v>
      </c>
      <c r="DP434" s="2" t="inlineStr">
        <is>
          <t>A.20分钟以内</t>
        </is>
      </c>
      <c r="DQ434" s="7" t="n">
        <v>0.33</v>
      </c>
      <c r="DR434" s="7" t="n">
        <v>0.33</v>
      </c>
      <c r="DS434" s="7" t="n">
        <v>2.64</v>
      </c>
      <c r="DT434" s="7" t="n">
        <v>2.64</v>
      </c>
      <c r="DU434" s="2" t="inlineStr">
        <is>
          <t>流程审批类</t>
        </is>
      </c>
      <c r="DV434" s="2"/>
      <c r="DW434" s="2" t="inlineStr">
        <is>
          <t>请假审批</t>
        </is>
      </c>
      <c r="DX434" s="2" t="inlineStr">
        <is>
          <t>岗位职责</t>
        </is>
      </c>
      <c r="DY434" s="2" t="inlineStr">
        <is>
          <t>重要且紧急</t>
        </is>
      </c>
      <c r="DZ434" s="2" t="inlineStr">
        <is>
          <t>半标准化-有流程框架，需专业经验</t>
        </is>
      </c>
      <c r="EA434" s="2" t="inlineStr">
        <is>
          <t>极少（&lt;5%）</t>
        </is>
      </c>
      <c r="EB434" s="2" t="inlineStr">
        <is>
          <t>沟通/协调负荷</t>
        </is>
      </c>
      <c r="EC434" s="2"/>
      <c r="ED434" s="2" t="inlineStr">
        <is>
          <t>28034d86-0775-4fa1-b285-1ab40eb353b5</t>
        </is>
      </c>
      <c r="EE434" s="3" t="n">
        <v>15</v>
      </c>
      <c r="EF434" s="2"/>
      <c r="EG434" s="2" t="inlineStr">
        <is>
          <t>新入职员工年终奖津贴调整或取消，并告知劳资</t>
        </is>
      </c>
      <c r="EH434" s="2" t="inlineStr">
        <is>
          <t>2次</t>
        </is>
      </c>
      <c r="EI434" s="3" t="n">
        <v>2</v>
      </c>
      <c r="EJ434" s="2" t="inlineStr">
        <is>
          <t>D.4-8小时</t>
        </is>
      </c>
      <c r="EK434" s="7" t="n">
        <v>4</v>
      </c>
      <c r="EL434" s="7" t="n">
        <v>8</v>
      </c>
      <c r="EM434" s="7" t="n">
        <v>8</v>
      </c>
      <c r="EN434" s="7" t="n">
        <v>16</v>
      </c>
      <c r="EO434" s="2" t="inlineStr">
        <is>
          <t>行政事务类</t>
        </is>
      </c>
      <c r="EP434" s="2"/>
      <c r="EQ434" s="2" t="inlineStr">
        <is>
          <t>日常台账</t>
        </is>
      </c>
      <c r="ER434" s="2" t="inlineStr">
        <is>
          <t>岗位职责</t>
        </is>
      </c>
      <c r="ES434" s="2" t="inlineStr">
        <is>
          <t>重要不紧急</t>
        </is>
      </c>
      <c r="ET434" s="2" t="inlineStr">
        <is>
          <t>半标准化-有流程框架，需专业经验</t>
        </is>
      </c>
      <c r="EU434" s="2" t="inlineStr">
        <is>
          <t>极少（&lt;5%）</t>
        </is>
      </c>
      <c r="EV434" s="2" t="inlineStr">
        <is>
          <t>沟通/协调负荷</t>
        </is>
      </c>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t="inlineStr">
        <is>
          <t>6dbc568e-bb99-4ba7-a8ef-27a1d404aea0</t>
        </is>
      </c>
      <c r="DJ435" s="3" t="n">
        <v>16</v>
      </c>
      <c r="DK435" s="2"/>
      <c r="DL435" s="2" t="inlineStr">
        <is>
          <t>涉及薪资调整的人发外链给员工填写调资申请</t>
        </is>
      </c>
      <c r="DM435" s="2" t="inlineStr">
        <is>
          <t>8次以上</t>
        </is>
      </c>
      <c r="DN435" s="3" t="n">
        <v>8</v>
      </c>
      <c r="DO435" s="3" t="n">
        <v>8</v>
      </c>
      <c r="DP435" s="2" t="inlineStr">
        <is>
          <t>C.2-4小时</t>
        </is>
      </c>
      <c r="DQ435" s="7" t="n">
        <v>2</v>
      </c>
      <c r="DR435" s="7" t="n">
        <v>4</v>
      </c>
      <c r="DS435" s="7" t="n">
        <v>16</v>
      </c>
      <c r="DT435" s="7" t="n">
        <v>32</v>
      </c>
      <c r="DU435" s="2" t="inlineStr">
        <is>
          <t>协调沟通类</t>
        </is>
      </c>
      <c r="DV435" s="2"/>
      <c r="DW435" s="2" t="inlineStr">
        <is>
          <t>外部联络</t>
        </is>
      </c>
      <c r="DX435" s="2" t="inlineStr">
        <is>
          <t>岗位职责</t>
        </is>
      </c>
      <c r="DY435" s="2" t="inlineStr">
        <is>
          <t>重要不紧急</t>
        </is>
      </c>
      <c r="DZ435" s="2" t="inlineStr">
        <is>
          <t>半标准化-有流程框架，需专业经验</t>
        </is>
      </c>
      <c r="EA435" s="2" t="inlineStr">
        <is>
          <t>极少（&lt;5%）</t>
        </is>
      </c>
      <c r="EB435" s="2" t="inlineStr">
        <is>
          <t>沟通/协调负荷</t>
        </is>
      </c>
      <c r="EC435" s="2"/>
      <c r="ED435" s="2" t="inlineStr">
        <is>
          <t>ba9948f5-1bb7-40c7-a545-87b757fc07fa</t>
        </is>
      </c>
      <c r="EE435" s="3" t="n">
        <v>16</v>
      </c>
      <c r="EF435" s="2"/>
      <c r="EG435" s="2" t="inlineStr">
        <is>
          <t>机关及分公司中层年终奖划拨表并进系统走流程</t>
        </is>
      </c>
      <c r="EH435" s="2" t="inlineStr">
        <is>
          <t>1次</t>
        </is>
      </c>
      <c r="EI435" s="3" t="n">
        <v>1</v>
      </c>
      <c r="EJ435" s="2" t="inlineStr">
        <is>
          <t>E.8小时以上</t>
        </is>
      </c>
      <c r="EK435" s="7" t="n">
        <v>8</v>
      </c>
      <c r="EL435" s="7" t="n">
        <v>8</v>
      </c>
      <c r="EM435" s="7" t="n">
        <v>8</v>
      </c>
      <c r="EN435" s="7" t="n">
        <v>8</v>
      </c>
      <c r="EO435" s="2" t="inlineStr">
        <is>
          <t>流程审批类</t>
        </is>
      </c>
      <c r="EP435" s="2"/>
      <c r="EQ435" s="2" t="inlineStr">
        <is>
          <t>付款审批</t>
        </is>
      </c>
      <c r="ER435" s="2" t="inlineStr">
        <is>
          <t>岗位职责</t>
        </is>
      </c>
      <c r="ES435" s="2" t="inlineStr">
        <is>
          <t>重要且紧急</t>
        </is>
      </c>
      <c r="ET435" s="2" t="inlineStr">
        <is>
          <t>半标准化-有流程框架，需专业经验</t>
        </is>
      </c>
      <c r="EU435" s="2" t="inlineStr">
        <is>
          <t>极少（&lt;5%）</t>
        </is>
      </c>
      <c r="EV435" s="2" t="inlineStr">
        <is>
          <t>时效/强度负荷</t>
        </is>
      </c>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t="inlineStr">
        <is>
          <t>dfb1be3d-481e-45ea-9d96-d5b4fb929418</t>
        </is>
      </c>
      <c r="DJ436" s="3" t="n">
        <v>17</v>
      </c>
      <c r="DK436" s="2"/>
      <c r="DL436" s="2" t="inlineStr">
        <is>
          <t>已填写调资申请的员工联系考核主管考评打分</t>
        </is>
      </c>
      <c r="DM436" s="2" t="inlineStr">
        <is>
          <t>8次以上</t>
        </is>
      </c>
      <c r="DN436" s="3" t="n">
        <v>8</v>
      </c>
      <c r="DO436" s="3" t="n">
        <v>8</v>
      </c>
      <c r="DP436" s="2" t="inlineStr">
        <is>
          <t>C.2-4小时</t>
        </is>
      </c>
      <c r="DQ436" s="7" t="n">
        <v>2</v>
      </c>
      <c r="DR436" s="7" t="n">
        <v>4</v>
      </c>
      <c r="DS436" s="7" t="n">
        <v>16</v>
      </c>
      <c r="DT436" s="7" t="n">
        <v>32</v>
      </c>
      <c r="DU436" s="2" t="inlineStr">
        <is>
          <t>协调沟通类</t>
        </is>
      </c>
      <c r="DV436" s="2"/>
      <c r="DW436" s="2" t="inlineStr">
        <is>
          <t>外部联络</t>
        </is>
      </c>
      <c r="DX436" s="2" t="inlineStr">
        <is>
          <t>岗位职责</t>
        </is>
      </c>
      <c r="DY436" s="2" t="inlineStr">
        <is>
          <t>重要不紧急</t>
        </is>
      </c>
      <c r="DZ436" s="2" t="inlineStr">
        <is>
          <t>半标准化-有流程框架，需专业经验</t>
        </is>
      </c>
      <c r="EA436" s="2" t="inlineStr">
        <is>
          <t>极少（&lt;5%）</t>
        </is>
      </c>
      <c r="EB436" s="2" t="inlineStr">
        <is>
          <t>沟通/协调负荷</t>
        </is>
      </c>
      <c r="EC436" s="2"/>
      <c r="ED436" s="2" t="inlineStr">
        <is>
          <t>a0022862-fb4b-41aa-8b89-ce87a522be17</t>
        </is>
      </c>
      <c r="EE436" s="3" t="n">
        <v>17</v>
      </c>
      <c r="EF436" s="2"/>
      <c r="EG436" s="2" t="inlineStr">
        <is>
          <t>做机关正式及外聘人员年终奖</t>
        </is>
      </c>
      <c r="EH436" s="2" t="inlineStr">
        <is>
          <t>1次</t>
        </is>
      </c>
      <c r="EI436" s="3" t="n">
        <v>1</v>
      </c>
      <c r="EJ436" s="2" t="inlineStr">
        <is>
          <t>D.4-8小时</t>
        </is>
      </c>
      <c r="EK436" s="7" t="n">
        <v>4</v>
      </c>
      <c r="EL436" s="7" t="n">
        <v>8</v>
      </c>
      <c r="EM436" s="7" t="n">
        <v>4</v>
      </c>
      <c r="EN436" s="7" t="n">
        <v>8</v>
      </c>
      <c r="EO436" s="2" t="inlineStr">
        <is>
          <t>行政事务类</t>
        </is>
      </c>
      <c r="EP436" s="2"/>
      <c r="EQ436" s="2" t="inlineStr">
        <is>
          <t>日常台账</t>
        </is>
      </c>
      <c r="ER436" s="2" t="inlineStr">
        <is>
          <t>岗位职责</t>
        </is>
      </c>
      <c r="ES436" s="2" t="inlineStr">
        <is>
          <t>重要且紧急</t>
        </is>
      </c>
      <c r="ET436" s="2" t="inlineStr">
        <is>
          <t>半标准化-有流程框架，需专业经验</t>
        </is>
      </c>
      <c r="EU436" s="2" t="inlineStr">
        <is>
          <t>极少（&lt;5%）</t>
        </is>
      </c>
      <c r="EV436" s="2" t="inlineStr">
        <is>
          <t>沟通/协调负荷</t>
        </is>
      </c>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t="inlineStr">
        <is>
          <t>02cc381a-e656-4396-8ebd-2cf8ccd79dec</t>
        </is>
      </c>
      <c r="DJ437" s="3" t="n">
        <v>18</v>
      </c>
      <c r="DK437" s="2"/>
      <c r="DL437" s="2" t="inlineStr">
        <is>
          <t>参加部门会议</t>
        </is>
      </c>
      <c r="DM437" s="2" t="inlineStr">
        <is>
          <t>1次</t>
        </is>
      </c>
      <c r="DN437" s="3" t="n">
        <v>1</v>
      </c>
      <c r="DO437" s="3" t="n">
        <v>1</v>
      </c>
      <c r="DP437" s="2" t="inlineStr">
        <is>
          <t>C.2-4小时</t>
        </is>
      </c>
      <c r="DQ437" s="7" t="n">
        <v>2</v>
      </c>
      <c r="DR437" s="7" t="n">
        <v>4</v>
      </c>
      <c r="DS437" s="7" t="n">
        <v>2</v>
      </c>
      <c r="DT437" s="7" t="n">
        <v>4</v>
      </c>
      <c r="DU437" s="2" t="inlineStr">
        <is>
          <t>行政事务类</t>
        </is>
      </c>
      <c r="DV437" s="2"/>
      <c r="DW437" s="2" t="inlineStr">
        <is>
          <t>会议安排</t>
        </is>
      </c>
      <c r="DX437" s="2" t="inlineStr">
        <is>
          <t>岗位职责</t>
        </is>
      </c>
      <c r="DY437" s="2" t="inlineStr">
        <is>
          <t>重要不紧急</t>
        </is>
      </c>
      <c r="DZ437" s="2" t="inlineStr">
        <is>
          <t>半标准化-有流程框架，需专业经验</t>
        </is>
      </c>
      <c r="EA437" s="2" t="inlineStr">
        <is>
          <t>极少（&lt;5%）</t>
        </is>
      </c>
      <c r="EB437" s="2" t="inlineStr">
        <is>
          <t>沟通/协调负荷</t>
        </is>
      </c>
      <c r="EC437" s="2"/>
      <c r="ED437" s="2" t="inlineStr">
        <is>
          <t>3dd5d896-ad06-433e-8036-39638b7d5566</t>
        </is>
      </c>
      <c r="EE437" s="3" t="n">
        <v>18</v>
      </c>
      <c r="EF437" s="2"/>
      <c r="EG437" s="2" t="inlineStr">
        <is>
          <t>调整年金基数并录入erp系统</t>
        </is>
      </c>
      <c r="EH437" s="2" t="inlineStr">
        <is>
          <t>1次</t>
        </is>
      </c>
      <c r="EI437" s="3" t="n">
        <v>1</v>
      </c>
      <c r="EJ437" s="2" t="inlineStr">
        <is>
          <t>C.2-4小时</t>
        </is>
      </c>
      <c r="EK437" s="7" t="n">
        <v>2</v>
      </c>
      <c r="EL437" s="7" t="n">
        <v>4</v>
      </c>
      <c r="EM437" s="7" t="n">
        <v>2</v>
      </c>
      <c r="EN437" s="7" t="n">
        <v>4</v>
      </c>
      <c r="EO437" s="2" t="inlineStr">
        <is>
          <t>行政事务类</t>
        </is>
      </c>
      <c r="EP437" s="2"/>
      <c r="EQ437" s="2" t="inlineStr">
        <is>
          <t>日常台账</t>
        </is>
      </c>
      <c r="ER437" s="2" t="inlineStr">
        <is>
          <t>岗位职责</t>
        </is>
      </c>
      <c r="ES437" s="2" t="inlineStr">
        <is>
          <t>重要且紧急</t>
        </is>
      </c>
      <c r="ET437" s="2" t="inlineStr">
        <is>
          <t>半标准化-有流程框架，需专业经验</t>
        </is>
      </c>
      <c r="EU437" s="2" t="inlineStr">
        <is>
          <t>极少（&lt;5%）</t>
        </is>
      </c>
      <c r="EV437" s="2" t="inlineStr">
        <is>
          <t>时效/强度负荷</t>
        </is>
      </c>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t="inlineStr">
        <is>
          <t>bd264f5f-5562-4db2-bbde-81c20ffd18de</t>
        </is>
      </c>
      <c r="DJ438" s="3" t="n">
        <v>19</v>
      </c>
      <c r="DK438" s="2"/>
      <c r="DL438" s="2" t="inlineStr">
        <is>
          <t>做分公司中层工资划账单并上传系统走划拨流程</t>
        </is>
      </c>
      <c r="DM438" s="2" t="inlineStr">
        <is>
          <t>1次</t>
        </is>
      </c>
      <c r="DN438" s="3" t="n">
        <v>1</v>
      </c>
      <c r="DO438" s="3" t="n">
        <v>1</v>
      </c>
      <c r="DP438" s="2" t="inlineStr">
        <is>
          <t>D.4-8小时</t>
        </is>
      </c>
      <c r="DQ438" s="7" t="n">
        <v>4</v>
      </c>
      <c r="DR438" s="7" t="n">
        <v>8</v>
      </c>
      <c r="DS438" s="7" t="n">
        <v>4</v>
      </c>
      <c r="DT438" s="7" t="n">
        <v>8</v>
      </c>
      <c r="DU438" s="2" t="inlineStr">
        <is>
          <t>流程审批类</t>
        </is>
      </c>
      <c r="DV438" s="2"/>
      <c r="DW438" s="2" t="inlineStr">
        <is>
          <t>付款审批</t>
        </is>
      </c>
      <c r="DX438" s="2" t="inlineStr">
        <is>
          <t>岗位职责</t>
        </is>
      </c>
      <c r="DY438" s="2" t="inlineStr">
        <is>
          <t>重要且紧急</t>
        </is>
      </c>
      <c r="DZ438" s="2" t="inlineStr">
        <is>
          <t>半标准化-有流程框架，需专业经验</t>
        </is>
      </c>
      <c r="EA438" s="2" t="inlineStr">
        <is>
          <t>极少（&lt;5%）</t>
        </is>
      </c>
      <c r="EB438" s="2" t="inlineStr">
        <is>
          <t>时效/强度负荷</t>
        </is>
      </c>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t="inlineStr">
        <is>
          <t>833adc96-b3c9-4768-a05e-db519d1fd997</t>
        </is>
      </c>
      <c r="DJ439" s="3" t="n">
        <v>20</v>
      </c>
      <c r="DK439" s="2"/>
      <c r="DL439" s="2" t="inlineStr">
        <is>
          <t>报工资总额给合同部</t>
        </is>
      </c>
      <c r="DM439" s="2" t="inlineStr">
        <is>
          <t>1次</t>
        </is>
      </c>
      <c r="DN439" s="3" t="n">
        <v>1</v>
      </c>
      <c r="DO439" s="3" t="n">
        <v>1</v>
      </c>
      <c r="DP439" s="2" t="inlineStr">
        <is>
          <t>A.20分钟以内</t>
        </is>
      </c>
      <c r="DQ439" s="7" t="n">
        <v>0.33</v>
      </c>
      <c r="DR439" s="7" t="n">
        <v>0.33</v>
      </c>
      <c r="DS439" s="7" t="n">
        <v>0.33</v>
      </c>
      <c r="DT439" s="7" t="n">
        <v>0.33</v>
      </c>
      <c r="DU439" s="2" t="inlineStr">
        <is>
          <t>协调沟通类</t>
        </is>
      </c>
      <c r="DV439" s="2"/>
      <c r="DW439" s="2" t="inlineStr">
        <is>
          <t>跨部门对接</t>
        </is>
      </c>
      <c r="DX439" s="2" t="inlineStr">
        <is>
          <t>跨部门协同</t>
        </is>
      </c>
      <c r="DY439" s="2" t="inlineStr">
        <is>
          <t>重要且紧急</t>
        </is>
      </c>
      <c r="DZ439" s="2" t="inlineStr">
        <is>
          <t>半标准化-有流程框架，需专业经验</t>
        </is>
      </c>
      <c r="EA439" s="2" t="inlineStr">
        <is>
          <t>极少（&lt;5%）</t>
        </is>
      </c>
      <c r="EB439" s="2" t="inlineStr">
        <is>
          <t>沟通/协调负荷</t>
        </is>
      </c>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t="inlineStr">
        <is>
          <t>0eff6d27-dba4-4486-8c43-7fb9a2eb63da</t>
        </is>
      </c>
      <c r="DJ440" s="3" t="n">
        <v>21</v>
      </c>
      <c r="DK440" s="2"/>
      <c r="DL440" s="2" t="inlineStr">
        <is>
          <t>整理月度会议纪要并写月度会议总结</t>
        </is>
      </c>
      <c r="DM440" s="2" t="inlineStr">
        <is>
          <t>1次</t>
        </is>
      </c>
      <c r="DN440" s="3" t="n">
        <v>1</v>
      </c>
      <c r="DO440" s="3" t="n">
        <v>1</v>
      </c>
      <c r="DP440" s="2" t="inlineStr">
        <is>
          <t>D.4-8小时</t>
        </is>
      </c>
      <c r="DQ440" s="7" t="n">
        <v>4</v>
      </c>
      <c r="DR440" s="7" t="n">
        <v>8</v>
      </c>
      <c r="DS440" s="7" t="n">
        <v>4</v>
      </c>
      <c r="DT440" s="7" t="n">
        <v>8</v>
      </c>
      <c r="DU440" s="2" t="inlineStr">
        <is>
          <t>行政事务类</t>
        </is>
      </c>
      <c r="DV440" s="2"/>
      <c r="DW440" s="2" t="inlineStr">
        <is>
          <t>日常台账</t>
        </is>
      </c>
      <c r="DX440" s="2" t="inlineStr">
        <is>
          <t>岗位职责</t>
        </is>
      </c>
      <c r="DY440" s="2" t="inlineStr">
        <is>
          <t>重要且紧急</t>
        </is>
      </c>
      <c r="DZ440" s="2" t="inlineStr">
        <is>
          <t>半标准化-有流程框架，需专业经验</t>
        </is>
      </c>
      <c r="EA440" s="2" t="inlineStr">
        <is>
          <t>极少（&lt;5%）</t>
        </is>
      </c>
      <c r="EB440" s="2" t="inlineStr">
        <is>
          <t>沟通/协调负荷</t>
        </is>
      </c>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row>
  </sheetData>
  <mergeCells>
    <mergeCell ref="A4:A13"/>
    <mergeCell ref="B4:B13"/>
    <mergeCell ref="C4:C13"/>
    <mergeCell ref="D4:D13"/>
    <mergeCell ref="E4:E13"/>
    <mergeCell ref="F4:F13"/>
    <mergeCell ref="G4:G13"/>
    <mergeCell ref="H4:H13"/>
    <mergeCell ref="I4:I13"/>
    <mergeCell ref="J4:J13"/>
    <mergeCell ref="K4:K13"/>
    <mergeCell ref="L4:L13"/>
    <mergeCell ref="M4:M13"/>
    <mergeCell ref="N4:N13"/>
    <mergeCell ref="O4:O13"/>
    <mergeCell ref="P4:P13"/>
    <mergeCell ref="Q4:Q13"/>
    <mergeCell ref="R4:R13"/>
    <mergeCell ref="S4:S13"/>
    <mergeCell ref="T4:T13"/>
    <mergeCell ref="U4:U13"/>
    <mergeCell ref="V4:V13"/>
    <mergeCell ref="W4:W13"/>
    <mergeCell ref="X4:X13"/>
    <mergeCell ref="Y4:Y13"/>
    <mergeCell ref="Z4:Z13"/>
    <mergeCell ref="AA4:AA13"/>
    <mergeCell ref="AB4:AB13"/>
    <mergeCell ref="AC4:AC13"/>
    <mergeCell ref="AD4:AD13"/>
    <mergeCell ref="AE4:AE13"/>
    <mergeCell ref="AF4:AF13"/>
    <mergeCell ref="AG4:AG13"/>
    <mergeCell ref="AH4:AH13"/>
    <mergeCell ref="AI4:AI13"/>
    <mergeCell ref="AJ4:AJ13"/>
    <mergeCell ref="AK4:AK13"/>
    <mergeCell ref="AL4:AL13"/>
    <mergeCell ref="AM4:AM13"/>
    <mergeCell ref="AN4:AN13"/>
    <mergeCell ref="AO4:AO13"/>
    <mergeCell ref="AP4:AP13"/>
    <mergeCell ref="AQ4:AQ13"/>
    <mergeCell ref="AR4:AR13"/>
    <mergeCell ref="AS4:AS13"/>
    <mergeCell ref="AT4:AT13"/>
    <mergeCell ref="AU4:AU13"/>
    <mergeCell ref="AV4:AV13"/>
    <mergeCell ref="AW4:AW13"/>
    <mergeCell ref="AX4:AX13"/>
    <mergeCell ref="AY4:AY13"/>
    <mergeCell ref="AZ4:AZ13"/>
    <mergeCell ref="BA4:BA13"/>
    <mergeCell ref="BB4:BB13"/>
    <mergeCell ref="BC4:BC13"/>
    <mergeCell ref="BD4:BD13"/>
    <mergeCell ref="BE4:BE13"/>
    <mergeCell ref="BF4:BF13"/>
    <mergeCell ref="BG4:BG13"/>
    <mergeCell ref="A14:A25"/>
    <mergeCell ref="B14:B25"/>
    <mergeCell ref="C14:C25"/>
    <mergeCell ref="D14:D25"/>
    <mergeCell ref="E14:E25"/>
    <mergeCell ref="F14:F25"/>
    <mergeCell ref="G14:G25"/>
    <mergeCell ref="H14:H25"/>
    <mergeCell ref="I14:I25"/>
    <mergeCell ref="J14:J25"/>
    <mergeCell ref="K14:K25"/>
    <mergeCell ref="L14:L25"/>
    <mergeCell ref="M14:M25"/>
    <mergeCell ref="N14:N25"/>
    <mergeCell ref="O14:O25"/>
    <mergeCell ref="P14:P25"/>
    <mergeCell ref="Q14:Q25"/>
    <mergeCell ref="R14:R25"/>
    <mergeCell ref="S14:S25"/>
    <mergeCell ref="T14:T25"/>
    <mergeCell ref="U14:U25"/>
    <mergeCell ref="V14:V25"/>
    <mergeCell ref="W14:W25"/>
    <mergeCell ref="X14:X25"/>
    <mergeCell ref="Y14:Y25"/>
    <mergeCell ref="Z14:Z25"/>
    <mergeCell ref="AA14:AA25"/>
    <mergeCell ref="AB14:AB25"/>
    <mergeCell ref="AC14:AC25"/>
    <mergeCell ref="AD14:AD25"/>
    <mergeCell ref="AE14:AE25"/>
    <mergeCell ref="AF14:AF25"/>
    <mergeCell ref="AG14:AG25"/>
    <mergeCell ref="AH14:AH25"/>
    <mergeCell ref="AI14:AI25"/>
    <mergeCell ref="AJ14:AJ25"/>
    <mergeCell ref="AK14:AK25"/>
    <mergeCell ref="AL14:AL25"/>
    <mergeCell ref="AM14:AM25"/>
    <mergeCell ref="AN14:AN25"/>
    <mergeCell ref="AO14:AO25"/>
    <mergeCell ref="AP14:AP25"/>
    <mergeCell ref="AQ14:AQ25"/>
    <mergeCell ref="AR14:AR25"/>
    <mergeCell ref="AS14:AS25"/>
    <mergeCell ref="AT14:AT25"/>
    <mergeCell ref="AU14:AU25"/>
    <mergeCell ref="AV14:AV25"/>
    <mergeCell ref="AW14:AW25"/>
    <mergeCell ref="AX14:AX25"/>
    <mergeCell ref="AY14:AY25"/>
    <mergeCell ref="AZ14:AZ25"/>
    <mergeCell ref="BA14:BA25"/>
    <mergeCell ref="BB14:BB25"/>
    <mergeCell ref="BC14:BC25"/>
    <mergeCell ref="BD14:BD25"/>
    <mergeCell ref="BE14:BE25"/>
    <mergeCell ref="BF14:BF25"/>
    <mergeCell ref="BG14:BG25"/>
    <mergeCell ref="A26:A36"/>
    <mergeCell ref="B26:B36"/>
    <mergeCell ref="C26:C36"/>
    <mergeCell ref="D26:D36"/>
    <mergeCell ref="E26:E36"/>
    <mergeCell ref="F26:F36"/>
    <mergeCell ref="G26:G36"/>
    <mergeCell ref="H26:H36"/>
    <mergeCell ref="I26:I36"/>
    <mergeCell ref="J26:J36"/>
    <mergeCell ref="K26:K36"/>
    <mergeCell ref="L26:L36"/>
    <mergeCell ref="M26:M36"/>
    <mergeCell ref="N26:N36"/>
    <mergeCell ref="O26:O36"/>
    <mergeCell ref="P26:P36"/>
    <mergeCell ref="Q26:Q36"/>
    <mergeCell ref="R26:R36"/>
    <mergeCell ref="S26:S36"/>
    <mergeCell ref="T26:T36"/>
    <mergeCell ref="U26:U36"/>
    <mergeCell ref="V26:V36"/>
    <mergeCell ref="W26:W36"/>
    <mergeCell ref="X26:X36"/>
    <mergeCell ref="Y26:Y36"/>
    <mergeCell ref="Z26:Z36"/>
    <mergeCell ref="AA26:AA36"/>
    <mergeCell ref="AB26:AB36"/>
    <mergeCell ref="AC26:AC36"/>
    <mergeCell ref="AD26:AD36"/>
    <mergeCell ref="AE26:AE36"/>
    <mergeCell ref="AF26:AF36"/>
    <mergeCell ref="AG26:AG36"/>
    <mergeCell ref="AH26:AH36"/>
    <mergeCell ref="AI26:AI36"/>
    <mergeCell ref="AJ26:AJ36"/>
    <mergeCell ref="AK26:AK36"/>
    <mergeCell ref="AL26:AL36"/>
    <mergeCell ref="AM26:AM36"/>
    <mergeCell ref="AN26:AN36"/>
    <mergeCell ref="AO26:AO36"/>
    <mergeCell ref="AP26:AP36"/>
    <mergeCell ref="AQ26:AQ36"/>
    <mergeCell ref="AR26:AR36"/>
    <mergeCell ref="AS26:AS36"/>
    <mergeCell ref="AT26:AT36"/>
    <mergeCell ref="AU26:AU36"/>
    <mergeCell ref="AV26:AV36"/>
    <mergeCell ref="AW26:AW36"/>
    <mergeCell ref="AX26:AX36"/>
    <mergeCell ref="AY26:AY36"/>
    <mergeCell ref="AZ26:AZ36"/>
    <mergeCell ref="BA26:BA36"/>
    <mergeCell ref="BB26:BB36"/>
    <mergeCell ref="BC26:BC36"/>
    <mergeCell ref="BD26:BD36"/>
    <mergeCell ref="BE26:BE36"/>
    <mergeCell ref="BF26:BF36"/>
    <mergeCell ref="BG26:BG36"/>
    <mergeCell ref="A37:A46"/>
    <mergeCell ref="B37:B46"/>
    <mergeCell ref="C37:C46"/>
    <mergeCell ref="D37:D46"/>
    <mergeCell ref="E37:E46"/>
    <mergeCell ref="F37:F46"/>
    <mergeCell ref="G37:G46"/>
    <mergeCell ref="H37:H46"/>
    <mergeCell ref="I37:I46"/>
    <mergeCell ref="J37:J46"/>
    <mergeCell ref="K37:K46"/>
    <mergeCell ref="L37:L46"/>
    <mergeCell ref="M37:M46"/>
    <mergeCell ref="N37:N46"/>
    <mergeCell ref="O37:O46"/>
    <mergeCell ref="P37:P46"/>
    <mergeCell ref="Q37:Q46"/>
    <mergeCell ref="R37:R46"/>
    <mergeCell ref="S37:S46"/>
    <mergeCell ref="T37:T46"/>
    <mergeCell ref="U37:U46"/>
    <mergeCell ref="V37:V46"/>
    <mergeCell ref="W37:W46"/>
    <mergeCell ref="X37:X46"/>
    <mergeCell ref="Y37:Y46"/>
    <mergeCell ref="Z37:Z46"/>
    <mergeCell ref="AA37:AA46"/>
    <mergeCell ref="AB37:AB46"/>
    <mergeCell ref="AC37:AC46"/>
    <mergeCell ref="AD37:AD46"/>
    <mergeCell ref="AE37:AE46"/>
    <mergeCell ref="AF37:AF46"/>
    <mergeCell ref="AG37:AG46"/>
    <mergeCell ref="AH37:AH46"/>
    <mergeCell ref="AI37:AI46"/>
    <mergeCell ref="AJ37:AJ46"/>
    <mergeCell ref="AK37:AK46"/>
    <mergeCell ref="AL37:AL46"/>
    <mergeCell ref="AM37:AM46"/>
    <mergeCell ref="AN37:AN46"/>
    <mergeCell ref="AO37:AO46"/>
    <mergeCell ref="AP37:AP46"/>
    <mergeCell ref="AQ37:AQ46"/>
    <mergeCell ref="AR37:AR46"/>
    <mergeCell ref="AS37:AS46"/>
    <mergeCell ref="AT37:AT46"/>
    <mergeCell ref="AU37:AU46"/>
    <mergeCell ref="AV37:AV46"/>
    <mergeCell ref="AW37:AW46"/>
    <mergeCell ref="AX37:AX46"/>
    <mergeCell ref="AY37:AY46"/>
    <mergeCell ref="AZ37:AZ46"/>
    <mergeCell ref="BA37:BA46"/>
    <mergeCell ref="BB37:BB46"/>
    <mergeCell ref="BC37:BC46"/>
    <mergeCell ref="BD37:BD46"/>
    <mergeCell ref="BE37:BE46"/>
    <mergeCell ref="BF37:BF46"/>
    <mergeCell ref="BG37:BG46"/>
    <mergeCell ref="A47:A57"/>
    <mergeCell ref="B47:B57"/>
    <mergeCell ref="C47:C57"/>
    <mergeCell ref="D47:D57"/>
    <mergeCell ref="E47:E57"/>
    <mergeCell ref="F47:F57"/>
    <mergeCell ref="G47:G57"/>
    <mergeCell ref="H47:H57"/>
    <mergeCell ref="I47:I57"/>
    <mergeCell ref="J47:J57"/>
    <mergeCell ref="K47:K57"/>
    <mergeCell ref="L47:L57"/>
    <mergeCell ref="M47:M57"/>
    <mergeCell ref="N47:N57"/>
    <mergeCell ref="O47:O57"/>
    <mergeCell ref="P47:P57"/>
    <mergeCell ref="Q47:Q57"/>
    <mergeCell ref="R47:R57"/>
    <mergeCell ref="S47:S57"/>
    <mergeCell ref="T47:T57"/>
    <mergeCell ref="U47:U57"/>
    <mergeCell ref="V47:V57"/>
    <mergeCell ref="W47:W57"/>
    <mergeCell ref="X47:X57"/>
    <mergeCell ref="Y47:Y57"/>
    <mergeCell ref="Z47:Z57"/>
    <mergeCell ref="AA47:AA57"/>
    <mergeCell ref="AB47:AB57"/>
    <mergeCell ref="AC47:AC57"/>
    <mergeCell ref="AD47:AD57"/>
    <mergeCell ref="AE47:AE57"/>
    <mergeCell ref="AF47:AF57"/>
    <mergeCell ref="AG47:AG57"/>
    <mergeCell ref="AH47:AH57"/>
    <mergeCell ref="AI47:AI57"/>
    <mergeCell ref="AJ47:AJ57"/>
    <mergeCell ref="AK47:AK57"/>
    <mergeCell ref="AL47:AL57"/>
    <mergeCell ref="AM47:AM57"/>
    <mergeCell ref="AN47:AN57"/>
    <mergeCell ref="AO47:AO57"/>
    <mergeCell ref="AP47:AP57"/>
    <mergeCell ref="AQ47:AQ57"/>
    <mergeCell ref="AR47:AR57"/>
    <mergeCell ref="AS47:AS57"/>
    <mergeCell ref="AT47:AT57"/>
    <mergeCell ref="AU47:AU57"/>
    <mergeCell ref="AV47:AV57"/>
    <mergeCell ref="AW47:AW57"/>
    <mergeCell ref="AX47:AX57"/>
    <mergeCell ref="AY47:AY57"/>
    <mergeCell ref="AZ47:AZ57"/>
    <mergeCell ref="BA47:BA57"/>
    <mergeCell ref="BB47:BB57"/>
    <mergeCell ref="BC47:BC57"/>
    <mergeCell ref="BD47:BD57"/>
    <mergeCell ref="BE47:BE57"/>
    <mergeCell ref="BF47:BF57"/>
    <mergeCell ref="BG47:BG57"/>
    <mergeCell ref="A63:A66"/>
    <mergeCell ref="B63:B66"/>
    <mergeCell ref="C63:C66"/>
    <mergeCell ref="D63:D66"/>
    <mergeCell ref="E63:E66"/>
    <mergeCell ref="F63:F66"/>
    <mergeCell ref="G63:G66"/>
    <mergeCell ref="H63:H66"/>
    <mergeCell ref="I63:I66"/>
    <mergeCell ref="J63:J66"/>
    <mergeCell ref="K63:K66"/>
    <mergeCell ref="L63:L66"/>
    <mergeCell ref="M63:M66"/>
    <mergeCell ref="N63:N66"/>
    <mergeCell ref="O63:O66"/>
    <mergeCell ref="P63:P66"/>
    <mergeCell ref="Q63:Q66"/>
    <mergeCell ref="R63:R66"/>
    <mergeCell ref="S63:S66"/>
    <mergeCell ref="T63:T66"/>
    <mergeCell ref="U63:U66"/>
    <mergeCell ref="V63:V66"/>
    <mergeCell ref="W63:W66"/>
    <mergeCell ref="X63:X66"/>
    <mergeCell ref="Y63:Y66"/>
    <mergeCell ref="Z63:Z66"/>
    <mergeCell ref="AA63:AA66"/>
    <mergeCell ref="AB63:AB66"/>
    <mergeCell ref="AC63:AC66"/>
    <mergeCell ref="AD63:AD66"/>
    <mergeCell ref="AE63:AE66"/>
    <mergeCell ref="AF63:AF66"/>
    <mergeCell ref="AG63:AG66"/>
    <mergeCell ref="AH63:AH66"/>
    <mergeCell ref="AI63:AI66"/>
    <mergeCell ref="AJ63:AJ66"/>
    <mergeCell ref="AK63:AK66"/>
    <mergeCell ref="AL63:AL66"/>
    <mergeCell ref="AM63:AM66"/>
    <mergeCell ref="AN63:AN66"/>
    <mergeCell ref="AO63:AO66"/>
    <mergeCell ref="AP63:AP66"/>
    <mergeCell ref="AQ63:AQ66"/>
    <mergeCell ref="AR63:AR66"/>
    <mergeCell ref="AS63:AS66"/>
    <mergeCell ref="AT63:AT66"/>
    <mergeCell ref="AU63:AU66"/>
    <mergeCell ref="AV63:AV66"/>
    <mergeCell ref="AW63:AW66"/>
    <mergeCell ref="AX63:AX66"/>
    <mergeCell ref="AY63:AY66"/>
    <mergeCell ref="AZ63:AZ66"/>
    <mergeCell ref="BA63:BA66"/>
    <mergeCell ref="BB63:BB66"/>
    <mergeCell ref="BC63:BC66"/>
    <mergeCell ref="BD63:BD66"/>
    <mergeCell ref="BE63:BE66"/>
    <mergeCell ref="BF63:BF66"/>
    <mergeCell ref="BG63:BG66"/>
    <mergeCell ref="A69:A71"/>
    <mergeCell ref="B69:B71"/>
    <mergeCell ref="C69:C71"/>
    <mergeCell ref="D69:D71"/>
    <mergeCell ref="E69:E71"/>
    <mergeCell ref="F69:F71"/>
    <mergeCell ref="G69:G71"/>
    <mergeCell ref="H69:H71"/>
    <mergeCell ref="I69:I71"/>
    <mergeCell ref="J69:J71"/>
    <mergeCell ref="K69:K71"/>
    <mergeCell ref="L69:L71"/>
    <mergeCell ref="M69:M71"/>
    <mergeCell ref="N69:N71"/>
    <mergeCell ref="O69:O71"/>
    <mergeCell ref="P69:P71"/>
    <mergeCell ref="Q69:Q71"/>
    <mergeCell ref="R69:R71"/>
    <mergeCell ref="S69:S71"/>
    <mergeCell ref="T69:T71"/>
    <mergeCell ref="U69:U71"/>
    <mergeCell ref="V69:V71"/>
    <mergeCell ref="W69:W71"/>
    <mergeCell ref="X69:X71"/>
    <mergeCell ref="Y69:Y71"/>
    <mergeCell ref="Z69:Z71"/>
    <mergeCell ref="AA69:AA71"/>
    <mergeCell ref="AB69:AB71"/>
    <mergeCell ref="AC69:AC71"/>
    <mergeCell ref="AD69:AD71"/>
    <mergeCell ref="AE69:AE71"/>
    <mergeCell ref="AF69:AF71"/>
    <mergeCell ref="AG69:AG71"/>
    <mergeCell ref="AH69:AH71"/>
    <mergeCell ref="AI69:AI71"/>
    <mergeCell ref="AJ69:AJ71"/>
    <mergeCell ref="AK69:AK71"/>
    <mergeCell ref="AL69:AL71"/>
    <mergeCell ref="AM69:AM71"/>
    <mergeCell ref="AN69:AN71"/>
    <mergeCell ref="AO69:AO71"/>
    <mergeCell ref="AP69:AP71"/>
    <mergeCell ref="AQ69:AQ71"/>
    <mergeCell ref="AR69:AR71"/>
    <mergeCell ref="AS69:AS71"/>
    <mergeCell ref="AT69:AT71"/>
    <mergeCell ref="AU69:AU71"/>
    <mergeCell ref="AV69:AV71"/>
    <mergeCell ref="AW69:AW71"/>
    <mergeCell ref="AX69:AX71"/>
    <mergeCell ref="AY69:AY71"/>
    <mergeCell ref="AZ69:AZ71"/>
    <mergeCell ref="BA69:BA71"/>
    <mergeCell ref="BB69:BB71"/>
    <mergeCell ref="BC69:BC71"/>
    <mergeCell ref="BD69:BD71"/>
    <mergeCell ref="BE69:BE71"/>
    <mergeCell ref="BF69:BF71"/>
    <mergeCell ref="BG69:BG71"/>
    <mergeCell ref="A72:A76"/>
    <mergeCell ref="B72:B76"/>
    <mergeCell ref="C72:C76"/>
    <mergeCell ref="D72:D76"/>
    <mergeCell ref="E72:E76"/>
    <mergeCell ref="F72:F76"/>
    <mergeCell ref="G72:G76"/>
    <mergeCell ref="H72:H76"/>
    <mergeCell ref="I72:I76"/>
    <mergeCell ref="J72:J76"/>
    <mergeCell ref="K72:K76"/>
    <mergeCell ref="L72:L76"/>
    <mergeCell ref="M72:M76"/>
    <mergeCell ref="N72:N76"/>
    <mergeCell ref="O72:O76"/>
    <mergeCell ref="P72:P76"/>
    <mergeCell ref="Q72:Q76"/>
    <mergeCell ref="R72:R76"/>
    <mergeCell ref="S72:S76"/>
    <mergeCell ref="T72:T76"/>
    <mergeCell ref="U72:U76"/>
    <mergeCell ref="V72:V76"/>
    <mergeCell ref="W72:W76"/>
    <mergeCell ref="X72:X76"/>
    <mergeCell ref="Y72:Y76"/>
    <mergeCell ref="Z72:Z76"/>
    <mergeCell ref="AA72:AA76"/>
    <mergeCell ref="AB72:AB76"/>
    <mergeCell ref="AC72:AC76"/>
    <mergeCell ref="AD72:AD76"/>
    <mergeCell ref="AE72:AE76"/>
    <mergeCell ref="AF72:AF76"/>
    <mergeCell ref="AG72:AG76"/>
    <mergeCell ref="AH72:AH76"/>
    <mergeCell ref="AI72:AI76"/>
    <mergeCell ref="AJ72:AJ76"/>
    <mergeCell ref="AK72:AK76"/>
    <mergeCell ref="AL72:AL76"/>
    <mergeCell ref="AM72:AM76"/>
    <mergeCell ref="AN72:AN76"/>
    <mergeCell ref="AO72:AO76"/>
    <mergeCell ref="AP72:AP76"/>
    <mergeCell ref="AQ72:AQ76"/>
    <mergeCell ref="AR72:AR76"/>
    <mergeCell ref="AS72:AS76"/>
    <mergeCell ref="AT72:AT76"/>
    <mergeCell ref="AU72:AU76"/>
    <mergeCell ref="AV72:AV76"/>
    <mergeCell ref="AW72:AW76"/>
    <mergeCell ref="AX72:AX76"/>
    <mergeCell ref="AY72:AY76"/>
    <mergeCell ref="AZ72:AZ76"/>
    <mergeCell ref="BA72:BA76"/>
    <mergeCell ref="BB72:BB76"/>
    <mergeCell ref="BC72:BC76"/>
    <mergeCell ref="BD72:BD76"/>
    <mergeCell ref="BE72:BE76"/>
    <mergeCell ref="BF72:BF76"/>
    <mergeCell ref="BG72:BG76"/>
    <mergeCell ref="A77:A81"/>
    <mergeCell ref="B77:B81"/>
    <mergeCell ref="C77:C81"/>
    <mergeCell ref="D77:D81"/>
    <mergeCell ref="E77:E81"/>
    <mergeCell ref="F77:F81"/>
    <mergeCell ref="G77:G81"/>
    <mergeCell ref="H77:H81"/>
    <mergeCell ref="I77:I81"/>
    <mergeCell ref="J77:J81"/>
    <mergeCell ref="K77:K81"/>
    <mergeCell ref="L77:L81"/>
    <mergeCell ref="M77:M81"/>
    <mergeCell ref="N77:N81"/>
    <mergeCell ref="O77:O81"/>
    <mergeCell ref="P77:P81"/>
    <mergeCell ref="Q77:Q81"/>
    <mergeCell ref="R77:R81"/>
    <mergeCell ref="S77:S81"/>
    <mergeCell ref="T77:T81"/>
    <mergeCell ref="U77:U81"/>
    <mergeCell ref="V77:V81"/>
    <mergeCell ref="W77:W81"/>
    <mergeCell ref="X77:X81"/>
    <mergeCell ref="Y77:Y81"/>
    <mergeCell ref="Z77:Z81"/>
    <mergeCell ref="AA77:AA81"/>
    <mergeCell ref="AB77:AB81"/>
    <mergeCell ref="AC77:AC81"/>
    <mergeCell ref="AD77:AD81"/>
    <mergeCell ref="AE77:AE81"/>
    <mergeCell ref="AF77:AF81"/>
    <mergeCell ref="AG77:AG81"/>
    <mergeCell ref="AH77:AH81"/>
    <mergeCell ref="AI77:AI81"/>
    <mergeCell ref="AJ77:AJ81"/>
    <mergeCell ref="AK77:AK81"/>
    <mergeCell ref="AL77:AL81"/>
    <mergeCell ref="AM77:AM81"/>
    <mergeCell ref="AN77:AN81"/>
    <mergeCell ref="AO77:AO81"/>
    <mergeCell ref="AP77:AP81"/>
    <mergeCell ref="AQ77:AQ81"/>
    <mergeCell ref="AR77:AR81"/>
    <mergeCell ref="AS77:AS81"/>
    <mergeCell ref="AT77:AT81"/>
    <mergeCell ref="AU77:AU81"/>
    <mergeCell ref="AV77:AV81"/>
    <mergeCell ref="AW77:AW81"/>
    <mergeCell ref="AX77:AX81"/>
    <mergeCell ref="AY77:AY81"/>
    <mergeCell ref="AZ77:AZ81"/>
    <mergeCell ref="BA77:BA81"/>
    <mergeCell ref="BB77:BB81"/>
    <mergeCell ref="BC77:BC81"/>
    <mergeCell ref="BD77:BD81"/>
    <mergeCell ref="BE77:BE81"/>
    <mergeCell ref="BF77:BF81"/>
    <mergeCell ref="BG77:BG81"/>
    <mergeCell ref="A84:A91"/>
    <mergeCell ref="B84:B91"/>
    <mergeCell ref="C84:C91"/>
    <mergeCell ref="D84:D91"/>
    <mergeCell ref="E84:E91"/>
    <mergeCell ref="F84:F91"/>
    <mergeCell ref="G84:G91"/>
    <mergeCell ref="H84:H91"/>
    <mergeCell ref="I84:I91"/>
    <mergeCell ref="J84:J91"/>
    <mergeCell ref="K84:K91"/>
    <mergeCell ref="L84:L91"/>
    <mergeCell ref="M84:M91"/>
    <mergeCell ref="N84:N91"/>
    <mergeCell ref="O84:O91"/>
    <mergeCell ref="P84:P91"/>
    <mergeCell ref="Q84:Q91"/>
    <mergeCell ref="R84:R91"/>
    <mergeCell ref="S84:S91"/>
    <mergeCell ref="T84:T91"/>
    <mergeCell ref="U84:U91"/>
    <mergeCell ref="V84:V91"/>
    <mergeCell ref="W84:W91"/>
    <mergeCell ref="X84:X91"/>
    <mergeCell ref="Y84:Y91"/>
    <mergeCell ref="Z84:Z91"/>
    <mergeCell ref="AA84:AA91"/>
    <mergeCell ref="AB84:AB91"/>
    <mergeCell ref="AC84:AC91"/>
    <mergeCell ref="AD84:AD91"/>
    <mergeCell ref="AE84:AE91"/>
    <mergeCell ref="AF84:AF91"/>
    <mergeCell ref="AG84:AG91"/>
    <mergeCell ref="AH84:AH91"/>
    <mergeCell ref="AI84:AI91"/>
    <mergeCell ref="AJ84:AJ91"/>
    <mergeCell ref="AK84:AK91"/>
    <mergeCell ref="AL84:AL91"/>
    <mergeCell ref="AM84:AM91"/>
    <mergeCell ref="AN84:AN91"/>
    <mergeCell ref="AO84:AO91"/>
    <mergeCell ref="AP84:AP91"/>
    <mergeCell ref="AQ84:AQ91"/>
    <mergeCell ref="AR84:AR91"/>
    <mergeCell ref="AS84:AS91"/>
    <mergeCell ref="AT84:AT91"/>
    <mergeCell ref="AU84:AU91"/>
    <mergeCell ref="AV84:AV91"/>
    <mergeCell ref="AW84:AW91"/>
    <mergeCell ref="AX84:AX91"/>
    <mergeCell ref="AY84:AY91"/>
    <mergeCell ref="AZ84:AZ91"/>
    <mergeCell ref="BA84:BA91"/>
    <mergeCell ref="BB84:BB91"/>
    <mergeCell ref="BC84:BC91"/>
    <mergeCell ref="BD84:BD91"/>
    <mergeCell ref="BE84:BE91"/>
    <mergeCell ref="BF84:BF91"/>
    <mergeCell ref="BG84:BG91"/>
    <mergeCell ref="A92:A96"/>
    <mergeCell ref="B92:B96"/>
    <mergeCell ref="C92:C96"/>
    <mergeCell ref="D92:D96"/>
    <mergeCell ref="E92:E96"/>
    <mergeCell ref="F92:F96"/>
    <mergeCell ref="G92:G96"/>
    <mergeCell ref="H92:H96"/>
    <mergeCell ref="I92:I96"/>
    <mergeCell ref="J92:J96"/>
    <mergeCell ref="K92:K96"/>
    <mergeCell ref="L92:L96"/>
    <mergeCell ref="M92:M96"/>
    <mergeCell ref="N92:N96"/>
    <mergeCell ref="O92:O96"/>
    <mergeCell ref="P92:P96"/>
    <mergeCell ref="Q92:Q96"/>
    <mergeCell ref="R92:R96"/>
    <mergeCell ref="S92:S96"/>
    <mergeCell ref="T92:T96"/>
    <mergeCell ref="U92:U96"/>
    <mergeCell ref="V92:V96"/>
    <mergeCell ref="W92:W96"/>
    <mergeCell ref="X92:X96"/>
    <mergeCell ref="Y92:Y96"/>
    <mergeCell ref="Z92:Z96"/>
    <mergeCell ref="AA92:AA96"/>
    <mergeCell ref="AB92:AB96"/>
    <mergeCell ref="AC92:AC96"/>
    <mergeCell ref="AD92:AD96"/>
    <mergeCell ref="AE92:AE96"/>
    <mergeCell ref="AF92:AF96"/>
    <mergeCell ref="AG92:AG96"/>
    <mergeCell ref="AH92:AH96"/>
    <mergeCell ref="AI92:AI96"/>
    <mergeCell ref="AJ92:AJ96"/>
    <mergeCell ref="AK92:AK96"/>
    <mergeCell ref="AL92:AL96"/>
    <mergeCell ref="AM92:AM96"/>
    <mergeCell ref="AN92:AN96"/>
    <mergeCell ref="AO92:AO96"/>
    <mergeCell ref="AP92:AP96"/>
    <mergeCell ref="AQ92:AQ96"/>
    <mergeCell ref="AR92:AR96"/>
    <mergeCell ref="AS92:AS96"/>
    <mergeCell ref="AT92:AT96"/>
    <mergeCell ref="AU92:AU96"/>
    <mergeCell ref="AV92:AV96"/>
    <mergeCell ref="AW92:AW96"/>
    <mergeCell ref="AX92:AX96"/>
    <mergeCell ref="AY92:AY96"/>
    <mergeCell ref="AZ92:AZ96"/>
    <mergeCell ref="BA92:BA96"/>
    <mergeCell ref="BB92:BB96"/>
    <mergeCell ref="BC92:BC96"/>
    <mergeCell ref="BD92:BD96"/>
    <mergeCell ref="BE92:BE96"/>
    <mergeCell ref="BF92:BF96"/>
    <mergeCell ref="BG92:BG96"/>
    <mergeCell ref="A97:A100"/>
    <mergeCell ref="B97:B100"/>
    <mergeCell ref="C97:C100"/>
    <mergeCell ref="D97:D100"/>
    <mergeCell ref="E97:E100"/>
    <mergeCell ref="F97:F100"/>
    <mergeCell ref="G97:G100"/>
    <mergeCell ref="H97:H100"/>
    <mergeCell ref="I97:I100"/>
    <mergeCell ref="J97:J100"/>
    <mergeCell ref="K97:K100"/>
    <mergeCell ref="L97:L100"/>
    <mergeCell ref="M97:M100"/>
    <mergeCell ref="N97:N100"/>
    <mergeCell ref="O97:O100"/>
    <mergeCell ref="P97:P100"/>
    <mergeCell ref="Q97:Q100"/>
    <mergeCell ref="R97:R100"/>
    <mergeCell ref="S97:S100"/>
    <mergeCell ref="T97:T100"/>
    <mergeCell ref="U97:U100"/>
    <mergeCell ref="V97:V100"/>
    <mergeCell ref="W97:W100"/>
    <mergeCell ref="X97:X100"/>
    <mergeCell ref="Y97:Y100"/>
    <mergeCell ref="Z97:Z100"/>
    <mergeCell ref="AA97:AA100"/>
    <mergeCell ref="AB97:AB100"/>
    <mergeCell ref="AC97:AC100"/>
    <mergeCell ref="AD97:AD100"/>
    <mergeCell ref="AE97:AE100"/>
    <mergeCell ref="AF97:AF100"/>
    <mergeCell ref="AG97:AG100"/>
    <mergeCell ref="AH97:AH100"/>
    <mergeCell ref="AI97:AI100"/>
    <mergeCell ref="AJ97:AJ100"/>
    <mergeCell ref="AK97:AK100"/>
    <mergeCell ref="AL97:AL100"/>
    <mergeCell ref="AM97:AM100"/>
    <mergeCell ref="AN97:AN100"/>
    <mergeCell ref="AO97:AO100"/>
    <mergeCell ref="AP97:AP100"/>
    <mergeCell ref="AQ97:AQ100"/>
    <mergeCell ref="AR97:AR100"/>
    <mergeCell ref="AS97:AS100"/>
    <mergeCell ref="AT97:AT100"/>
    <mergeCell ref="AU97:AU100"/>
    <mergeCell ref="AV97:AV100"/>
    <mergeCell ref="AW97:AW100"/>
    <mergeCell ref="AX97:AX100"/>
    <mergeCell ref="AY97:AY100"/>
    <mergeCell ref="AZ97:AZ100"/>
    <mergeCell ref="BA97:BA100"/>
    <mergeCell ref="BB97:BB100"/>
    <mergeCell ref="BC97:BC100"/>
    <mergeCell ref="BD97:BD100"/>
    <mergeCell ref="BE97:BE100"/>
    <mergeCell ref="BF97:BF100"/>
    <mergeCell ref="BG97:BG100"/>
    <mergeCell ref="A101:A104"/>
    <mergeCell ref="B101:B104"/>
    <mergeCell ref="C101:C104"/>
    <mergeCell ref="D101:D104"/>
    <mergeCell ref="E101:E104"/>
    <mergeCell ref="F101:F104"/>
    <mergeCell ref="G101:G104"/>
    <mergeCell ref="H101:H104"/>
    <mergeCell ref="I101:I104"/>
    <mergeCell ref="J101:J104"/>
    <mergeCell ref="K101:K104"/>
    <mergeCell ref="L101:L104"/>
    <mergeCell ref="M101:M104"/>
    <mergeCell ref="N101:N104"/>
    <mergeCell ref="O101:O104"/>
    <mergeCell ref="P101:P104"/>
    <mergeCell ref="Q101:Q104"/>
    <mergeCell ref="R101:R104"/>
    <mergeCell ref="S101:S104"/>
    <mergeCell ref="T101:T104"/>
    <mergeCell ref="U101:U104"/>
    <mergeCell ref="V101:V104"/>
    <mergeCell ref="W101:W104"/>
    <mergeCell ref="X101:X104"/>
    <mergeCell ref="Y101:Y104"/>
    <mergeCell ref="Z101:Z104"/>
    <mergeCell ref="AA101:AA104"/>
    <mergeCell ref="AB101:AB104"/>
    <mergeCell ref="AC101:AC104"/>
    <mergeCell ref="AD101:AD104"/>
    <mergeCell ref="AE101:AE104"/>
    <mergeCell ref="AF101:AF104"/>
    <mergeCell ref="AG101:AG104"/>
    <mergeCell ref="AH101:AH104"/>
    <mergeCell ref="AI101:AI104"/>
    <mergeCell ref="AJ101:AJ104"/>
    <mergeCell ref="AK101:AK104"/>
    <mergeCell ref="AL101:AL104"/>
    <mergeCell ref="AM101:AM104"/>
    <mergeCell ref="AN101:AN104"/>
    <mergeCell ref="AO101:AO104"/>
    <mergeCell ref="AP101:AP104"/>
    <mergeCell ref="AQ101:AQ104"/>
    <mergeCell ref="AR101:AR104"/>
    <mergeCell ref="AS101:AS104"/>
    <mergeCell ref="AT101:AT104"/>
    <mergeCell ref="AU101:AU104"/>
    <mergeCell ref="AV101:AV104"/>
    <mergeCell ref="AW101:AW104"/>
    <mergeCell ref="AX101:AX104"/>
    <mergeCell ref="AY101:AY104"/>
    <mergeCell ref="AZ101:AZ104"/>
    <mergeCell ref="BA101:BA104"/>
    <mergeCell ref="BB101:BB104"/>
    <mergeCell ref="BC101:BC104"/>
    <mergeCell ref="BD101:BD104"/>
    <mergeCell ref="BE101:BE104"/>
    <mergeCell ref="BF101:BF104"/>
    <mergeCell ref="BG101:BG104"/>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Q107:Q108"/>
    <mergeCell ref="R107:R108"/>
    <mergeCell ref="S107:S108"/>
    <mergeCell ref="T107:T108"/>
    <mergeCell ref="U107:U108"/>
    <mergeCell ref="V107:V108"/>
    <mergeCell ref="W107:W108"/>
    <mergeCell ref="X107:X108"/>
    <mergeCell ref="Y107:Y108"/>
    <mergeCell ref="Z107:Z108"/>
    <mergeCell ref="AA107:AA108"/>
    <mergeCell ref="AB107:AB108"/>
    <mergeCell ref="AC107:AC108"/>
    <mergeCell ref="AD107:AD108"/>
    <mergeCell ref="AE107:AE108"/>
    <mergeCell ref="AF107:AF108"/>
    <mergeCell ref="AG107:AG108"/>
    <mergeCell ref="AH107:AH108"/>
    <mergeCell ref="AI107:AI108"/>
    <mergeCell ref="AJ107:AJ108"/>
    <mergeCell ref="AK107:AK108"/>
    <mergeCell ref="AL107:AL108"/>
    <mergeCell ref="AM107:AM108"/>
    <mergeCell ref="AN107:AN108"/>
    <mergeCell ref="AO107:AO108"/>
    <mergeCell ref="AP107:AP108"/>
    <mergeCell ref="AQ107:AQ108"/>
    <mergeCell ref="AR107:AR108"/>
    <mergeCell ref="AS107:AS108"/>
    <mergeCell ref="AT107:AT108"/>
    <mergeCell ref="AU107:AU108"/>
    <mergeCell ref="AV107:AV108"/>
    <mergeCell ref="AW107:AW108"/>
    <mergeCell ref="AX107:AX108"/>
    <mergeCell ref="AY107:AY108"/>
    <mergeCell ref="AZ107:AZ108"/>
    <mergeCell ref="BA107:BA108"/>
    <mergeCell ref="BB107:BB108"/>
    <mergeCell ref="BC107:BC108"/>
    <mergeCell ref="BD107:BD108"/>
    <mergeCell ref="BE107:BE108"/>
    <mergeCell ref="BF107:BF108"/>
    <mergeCell ref="BG107:BG108"/>
    <mergeCell ref="A110:A116"/>
    <mergeCell ref="B110:B116"/>
    <mergeCell ref="C110:C116"/>
    <mergeCell ref="D110:D116"/>
    <mergeCell ref="E110:E116"/>
    <mergeCell ref="F110:F116"/>
    <mergeCell ref="G110:G116"/>
    <mergeCell ref="H110:H116"/>
    <mergeCell ref="I110:I116"/>
    <mergeCell ref="J110:J116"/>
    <mergeCell ref="K110:K116"/>
    <mergeCell ref="L110:L116"/>
    <mergeCell ref="M110:M116"/>
    <mergeCell ref="N110:N116"/>
    <mergeCell ref="O110:O116"/>
    <mergeCell ref="P110:P116"/>
    <mergeCell ref="Q110:Q116"/>
    <mergeCell ref="R110:R116"/>
    <mergeCell ref="S110:S116"/>
    <mergeCell ref="T110:T116"/>
    <mergeCell ref="U110:U116"/>
    <mergeCell ref="V110:V116"/>
    <mergeCell ref="W110:W116"/>
    <mergeCell ref="X110:X116"/>
    <mergeCell ref="Y110:Y116"/>
    <mergeCell ref="Z110:Z116"/>
    <mergeCell ref="AA110:AA116"/>
    <mergeCell ref="AB110:AB116"/>
    <mergeCell ref="AC110:AC116"/>
    <mergeCell ref="AD110:AD116"/>
    <mergeCell ref="AE110:AE116"/>
    <mergeCell ref="AF110:AF116"/>
    <mergeCell ref="AG110:AG116"/>
    <mergeCell ref="AH110:AH116"/>
    <mergeCell ref="AI110:AI116"/>
    <mergeCell ref="AJ110:AJ116"/>
    <mergeCell ref="AK110:AK116"/>
    <mergeCell ref="AL110:AL116"/>
    <mergeCell ref="AM110:AM116"/>
    <mergeCell ref="AN110:AN116"/>
    <mergeCell ref="AO110:AO116"/>
    <mergeCell ref="AP110:AP116"/>
    <mergeCell ref="AQ110:AQ116"/>
    <mergeCell ref="AR110:AR116"/>
    <mergeCell ref="AS110:AS116"/>
    <mergeCell ref="AT110:AT116"/>
    <mergeCell ref="AU110:AU116"/>
    <mergeCell ref="AV110:AV116"/>
    <mergeCell ref="AW110:AW116"/>
    <mergeCell ref="AX110:AX116"/>
    <mergeCell ref="AY110:AY116"/>
    <mergeCell ref="AZ110:AZ116"/>
    <mergeCell ref="BA110:BA116"/>
    <mergeCell ref="BB110:BB116"/>
    <mergeCell ref="BC110:BC116"/>
    <mergeCell ref="BD110:BD116"/>
    <mergeCell ref="BE110:BE116"/>
    <mergeCell ref="BF110:BF116"/>
    <mergeCell ref="BG110:BG116"/>
    <mergeCell ref="A117:A120"/>
    <mergeCell ref="B117:B120"/>
    <mergeCell ref="C117:C120"/>
    <mergeCell ref="D117:D120"/>
    <mergeCell ref="E117:E120"/>
    <mergeCell ref="F117:F120"/>
    <mergeCell ref="G117:G120"/>
    <mergeCell ref="H117:H120"/>
    <mergeCell ref="I117:I120"/>
    <mergeCell ref="J117:J120"/>
    <mergeCell ref="K117:K120"/>
    <mergeCell ref="L117:L120"/>
    <mergeCell ref="M117:M120"/>
    <mergeCell ref="N117:N120"/>
    <mergeCell ref="O117:O120"/>
    <mergeCell ref="P117:P120"/>
    <mergeCell ref="Q117:Q120"/>
    <mergeCell ref="R117:R120"/>
    <mergeCell ref="S117:S120"/>
    <mergeCell ref="T117:T120"/>
    <mergeCell ref="U117:U120"/>
    <mergeCell ref="V117:V120"/>
    <mergeCell ref="W117:W120"/>
    <mergeCell ref="X117:X120"/>
    <mergeCell ref="Y117:Y120"/>
    <mergeCell ref="Z117:Z120"/>
    <mergeCell ref="AA117:AA120"/>
    <mergeCell ref="AB117:AB120"/>
    <mergeCell ref="AC117:AC120"/>
    <mergeCell ref="AD117:AD120"/>
    <mergeCell ref="AE117:AE120"/>
    <mergeCell ref="AF117:AF120"/>
    <mergeCell ref="AG117:AG120"/>
    <mergeCell ref="AH117:AH120"/>
    <mergeCell ref="AI117:AI120"/>
    <mergeCell ref="AJ117:AJ120"/>
    <mergeCell ref="AK117:AK120"/>
    <mergeCell ref="AL117:AL120"/>
    <mergeCell ref="AM117:AM120"/>
    <mergeCell ref="AN117:AN120"/>
    <mergeCell ref="AO117:AO120"/>
    <mergeCell ref="AP117:AP120"/>
    <mergeCell ref="AQ117:AQ120"/>
    <mergeCell ref="AR117:AR120"/>
    <mergeCell ref="AS117:AS120"/>
    <mergeCell ref="AT117:AT120"/>
    <mergeCell ref="AU117:AU120"/>
    <mergeCell ref="AV117:AV120"/>
    <mergeCell ref="AW117:AW120"/>
    <mergeCell ref="AX117:AX120"/>
    <mergeCell ref="AY117:AY120"/>
    <mergeCell ref="AZ117:AZ120"/>
    <mergeCell ref="BA117:BA120"/>
    <mergeCell ref="BB117:BB120"/>
    <mergeCell ref="BC117:BC120"/>
    <mergeCell ref="BD117:BD120"/>
    <mergeCell ref="BE117:BE120"/>
    <mergeCell ref="BF117:BF120"/>
    <mergeCell ref="BG117:BG120"/>
    <mergeCell ref="A122:A125"/>
    <mergeCell ref="B122:B125"/>
    <mergeCell ref="C122:C125"/>
    <mergeCell ref="D122:D125"/>
    <mergeCell ref="E122:E125"/>
    <mergeCell ref="F122:F125"/>
    <mergeCell ref="G122:G125"/>
    <mergeCell ref="H122:H125"/>
    <mergeCell ref="I122:I125"/>
    <mergeCell ref="J122:J125"/>
    <mergeCell ref="K122:K125"/>
    <mergeCell ref="L122:L125"/>
    <mergeCell ref="M122:M125"/>
    <mergeCell ref="N122:N125"/>
    <mergeCell ref="O122:O125"/>
    <mergeCell ref="P122:P125"/>
    <mergeCell ref="Q122:Q125"/>
    <mergeCell ref="R122:R125"/>
    <mergeCell ref="S122:S125"/>
    <mergeCell ref="T122:T125"/>
    <mergeCell ref="U122:U125"/>
    <mergeCell ref="V122:V125"/>
    <mergeCell ref="W122:W125"/>
    <mergeCell ref="X122:X125"/>
    <mergeCell ref="Y122:Y125"/>
    <mergeCell ref="Z122:Z125"/>
    <mergeCell ref="AA122:AA125"/>
    <mergeCell ref="AB122:AB125"/>
    <mergeCell ref="AC122:AC125"/>
    <mergeCell ref="AD122:AD125"/>
    <mergeCell ref="AE122:AE125"/>
    <mergeCell ref="AF122:AF125"/>
    <mergeCell ref="AG122:AG125"/>
    <mergeCell ref="AH122:AH125"/>
    <mergeCell ref="AI122:AI125"/>
    <mergeCell ref="AJ122:AJ125"/>
    <mergeCell ref="AK122:AK125"/>
    <mergeCell ref="AL122:AL125"/>
    <mergeCell ref="AM122:AM125"/>
    <mergeCell ref="AN122:AN125"/>
    <mergeCell ref="AO122:AO125"/>
    <mergeCell ref="AP122:AP125"/>
    <mergeCell ref="AQ122:AQ125"/>
    <mergeCell ref="AR122:AR125"/>
    <mergeCell ref="AS122:AS125"/>
    <mergeCell ref="AT122:AT125"/>
    <mergeCell ref="AU122:AU125"/>
    <mergeCell ref="AV122:AV125"/>
    <mergeCell ref="AW122:AW125"/>
    <mergeCell ref="AX122:AX125"/>
    <mergeCell ref="AY122:AY125"/>
    <mergeCell ref="AZ122:AZ125"/>
    <mergeCell ref="BA122:BA125"/>
    <mergeCell ref="BB122:BB125"/>
    <mergeCell ref="BC122:BC125"/>
    <mergeCell ref="BD122:BD125"/>
    <mergeCell ref="BE122:BE125"/>
    <mergeCell ref="BF122:BF125"/>
    <mergeCell ref="BG122:BG125"/>
    <mergeCell ref="A127:A133"/>
    <mergeCell ref="B127:B133"/>
    <mergeCell ref="C127:C133"/>
    <mergeCell ref="D127:D133"/>
    <mergeCell ref="E127:E133"/>
    <mergeCell ref="F127:F133"/>
    <mergeCell ref="G127:G133"/>
    <mergeCell ref="H127:H133"/>
    <mergeCell ref="I127:I133"/>
    <mergeCell ref="J127:J133"/>
    <mergeCell ref="K127:K133"/>
    <mergeCell ref="L127:L133"/>
    <mergeCell ref="M127:M133"/>
    <mergeCell ref="N127:N133"/>
    <mergeCell ref="O127:O133"/>
    <mergeCell ref="P127:P133"/>
    <mergeCell ref="Q127:Q133"/>
    <mergeCell ref="R127:R133"/>
    <mergeCell ref="S127:S133"/>
    <mergeCell ref="T127:T133"/>
    <mergeCell ref="U127:U133"/>
    <mergeCell ref="V127:V133"/>
    <mergeCell ref="W127:W133"/>
    <mergeCell ref="X127:X133"/>
    <mergeCell ref="Y127:Y133"/>
    <mergeCell ref="Z127:Z133"/>
    <mergeCell ref="AA127:AA133"/>
    <mergeCell ref="AB127:AB133"/>
    <mergeCell ref="AC127:AC133"/>
    <mergeCell ref="AD127:AD133"/>
    <mergeCell ref="AE127:AE133"/>
    <mergeCell ref="AF127:AF133"/>
    <mergeCell ref="AG127:AG133"/>
    <mergeCell ref="AH127:AH133"/>
    <mergeCell ref="AI127:AI133"/>
    <mergeCell ref="AJ127:AJ133"/>
    <mergeCell ref="AK127:AK133"/>
    <mergeCell ref="AL127:AL133"/>
    <mergeCell ref="AM127:AM133"/>
    <mergeCell ref="AN127:AN133"/>
    <mergeCell ref="AO127:AO133"/>
    <mergeCell ref="AP127:AP133"/>
    <mergeCell ref="AQ127:AQ133"/>
    <mergeCell ref="AR127:AR133"/>
    <mergeCell ref="AS127:AS133"/>
    <mergeCell ref="AT127:AT133"/>
    <mergeCell ref="AU127:AU133"/>
    <mergeCell ref="AV127:AV133"/>
    <mergeCell ref="AW127:AW133"/>
    <mergeCell ref="AX127:AX133"/>
    <mergeCell ref="AY127:AY133"/>
    <mergeCell ref="AZ127:AZ133"/>
    <mergeCell ref="BA127:BA133"/>
    <mergeCell ref="BB127:BB133"/>
    <mergeCell ref="BC127:BC133"/>
    <mergeCell ref="BD127:BD133"/>
    <mergeCell ref="BE127:BE133"/>
    <mergeCell ref="BF127:BF133"/>
    <mergeCell ref="BG127:BG133"/>
    <mergeCell ref="A138:A144"/>
    <mergeCell ref="B138:B144"/>
    <mergeCell ref="C138:C144"/>
    <mergeCell ref="D138:D144"/>
    <mergeCell ref="E138:E144"/>
    <mergeCell ref="F138:F144"/>
    <mergeCell ref="G138:G144"/>
    <mergeCell ref="H138:H144"/>
    <mergeCell ref="I138:I144"/>
    <mergeCell ref="J138:J144"/>
    <mergeCell ref="K138:K144"/>
    <mergeCell ref="L138:L144"/>
    <mergeCell ref="M138:M144"/>
    <mergeCell ref="N138:N144"/>
    <mergeCell ref="O138:O144"/>
    <mergeCell ref="P138:P144"/>
    <mergeCell ref="Q138:Q144"/>
    <mergeCell ref="R138:R144"/>
    <mergeCell ref="S138:S144"/>
    <mergeCell ref="T138:T144"/>
    <mergeCell ref="U138:U144"/>
    <mergeCell ref="V138:V144"/>
    <mergeCell ref="W138:W144"/>
    <mergeCell ref="X138:X144"/>
    <mergeCell ref="Y138:Y144"/>
    <mergeCell ref="Z138:Z144"/>
    <mergeCell ref="AA138:AA144"/>
    <mergeCell ref="AB138:AB144"/>
    <mergeCell ref="AC138:AC144"/>
    <mergeCell ref="AD138:AD144"/>
    <mergeCell ref="AE138:AE144"/>
    <mergeCell ref="AF138:AF144"/>
    <mergeCell ref="AG138:AG144"/>
    <mergeCell ref="AH138:AH144"/>
    <mergeCell ref="AI138:AI144"/>
    <mergeCell ref="AJ138:AJ144"/>
    <mergeCell ref="AK138:AK144"/>
    <mergeCell ref="AL138:AL144"/>
    <mergeCell ref="AM138:AM144"/>
    <mergeCell ref="AN138:AN144"/>
    <mergeCell ref="AO138:AO144"/>
    <mergeCell ref="AP138:AP144"/>
    <mergeCell ref="AQ138:AQ144"/>
    <mergeCell ref="AR138:AR144"/>
    <mergeCell ref="AS138:AS144"/>
    <mergeCell ref="AT138:AT144"/>
    <mergeCell ref="AU138:AU144"/>
    <mergeCell ref="AV138:AV144"/>
    <mergeCell ref="AW138:AW144"/>
    <mergeCell ref="AX138:AX144"/>
    <mergeCell ref="AY138:AY144"/>
    <mergeCell ref="AZ138:AZ144"/>
    <mergeCell ref="BA138:BA144"/>
    <mergeCell ref="BB138:BB144"/>
    <mergeCell ref="BC138:BC144"/>
    <mergeCell ref="BD138:BD144"/>
    <mergeCell ref="BE138:BE144"/>
    <mergeCell ref="BF138:BF144"/>
    <mergeCell ref="BG138:BG144"/>
    <mergeCell ref="A145:A148"/>
    <mergeCell ref="B145:B148"/>
    <mergeCell ref="C145:C148"/>
    <mergeCell ref="D145:D148"/>
    <mergeCell ref="E145:E148"/>
    <mergeCell ref="F145:F148"/>
    <mergeCell ref="G145:G148"/>
    <mergeCell ref="H145:H148"/>
    <mergeCell ref="I145:I148"/>
    <mergeCell ref="J145:J148"/>
    <mergeCell ref="K145:K148"/>
    <mergeCell ref="L145:L148"/>
    <mergeCell ref="M145:M148"/>
    <mergeCell ref="N145:N148"/>
    <mergeCell ref="O145:O148"/>
    <mergeCell ref="P145:P148"/>
    <mergeCell ref="Q145:Q148"/>
    <mergeCell ref="R145:R148"/>
    <mergeCell ref="S145:S148"/>
    <mergeCell ref="T145:T148"/>
    <mergeCell ref="U145:U148"/>
    <mergeCell ref="V145:V148"/>
    <mergeCell ref="W145:W148"/>
    <mergeCell ref="X145:X148"/>
    <mergeCell ref="Y145:Y148"/>
    <mergeCell ref="Z145:Z148"/>
    <mergeCell ref="AA145:AA148"/>
    <mergeCell ref="AB145:AB148"/>
    <mergeCell ref="AC145:AC148"/>
    <mergeCell ref="AD145:AD148"/>
    <mergeCell ref="AE145:AE148"/>
    <mergeCell ref="AF145:AF148"/>
    <mergeCell ref="AG145:AG148"/>
    <mergeCell ref="AH145:AH148"/>
    <mergeCell ref="AI145:AI148"/>
    <mergeCell ref="AJ145:AJ148"/>
    <mergeCell ref="AK145:AK148"/>
    <mergeCell ref="AL145:AL148"/>
    <mergeCell ref="AM145:AM148"/>
    <mergeCell ref="AN145:AN148"/>
    <mergeCell ref="AO145:AO148"/>
    <mergeCell ref="AP145:AP148"/>
    <mergeCell ref="AQ145:AQ148"/>
    <mergeCell ref="AR145:AR148"/>
    <mergeCell ref="AS145:AS148"/>
    <mergeCell ref="AT145:AT148"/>
    <mergeCell ref="AU145:AU148"/>
    <mergeCell ref="AV145:AV148"/>
    <mergeCell ref="AW145:AW148"/>
    <mergeCell ref="AX145:AX148"/>
    <mergeCell ref="AY145:AY148"/>
    <mergeCell ref="AZ145:AZ148"/>
    <mergeCell ref="BA145:BA148"/>
    <mergeCell ref="BB145:BB148"/>
    <mergeCell ref="BC145:BC148"/>
    <mergeCell ref="BD145:BD148"/>
    <mergeCell ref="BE145:BE148"/>
    <mergeCell ref="BF145:BF148"/>
    <mergeCell ref="BG145:BG148"/>
    <mergeCell ref="A150:A153"/>
    <mergeCell ref="B150:B153"/>
    <mergeCell ref="C150:C153"/>
    <mergeCell ref="D150:D153"/>
    <mergeCell ref="E150:E153"/>
    <mergeCell ref="F150:F153"/>
    <mergeCell ref="G150:G153"/>
    <mergeCell ref="H150:H153"/>
    <mergeCell ref="I150:I153"/>
    <mergeCell ref="J150:J153"/>
    <mergeCell ref="K150:K153"/>
    <mergeCell ref="L150:L153"/>
    <mergeCell ref="M150:M153"/>
    <mergeCell ref="N150:N153"/>
    <mergeCell ref="O150:O153"/>
    <mergeCell ref="P150:P153"/>
    <mergeCell ref="Q150:Q153"/>
    <mergeCell ref="R150:R153"/>
    <mergeCell ref="S150:S153"/>
    <mergeCell ref="T150:T153"/>
    <mergeCell ref="U150:U153"/>
    <mergeCell ref="V150:V153"/>
    <mergeCell ref="W150:W153"/>
    <mergeCell ref="X150:X153"/>
    <mergeCell ref="Y150:Y153"/>
    <mergeCell ref="Z150:Z153"/>
    <mergeCell ref="AA150:AA153"/>
    <mergeCell ref="AB150:AB153"/>
    <mergeCell ref="AC150:AC153"/>
    <mergeCell ref="AD150:AD153"/>
    <mergeCell ref="AE150:AE153"/>
    <mergeCell ref="AF150:AF153"/>
    <mergeCell ref="AG150:AG153"/>
    <mergeCell ref="AH150:AH153"/>
    <mergeCell ref="AI150:AI153"/>
    <mergeCell ref="AJ150:AJ153"/>
    <mergeCell ref="AK150:AK153"/>
    <mergeCell ref="AL150:AL153"/>
    <mergeCell ref="AM150:AM153"/>
    <mergeCell ref="AN150:AN153"/>
    <mergeCell ref="AO150:AO153"/>
    <mergeCell ref="AP150:AP153"/>
    <mergeCell ref="AQ150:AQ153"/>
    <mergeCell ref="AR150:AR153"/>
    <mergeCell ref="AS150:AS153"/>
    <mergeCell ref="AT150:AT153"/>
    <mergeCell ref="AU150:AU153"/>
    <mergeCell ref="AV150:AV153"/>
    <mergeCell ref="AW150:AW153"/>
    <mergeCell ref="AX150:AX153"/>
    <mergeCell ref="AY150:AY153"/>
    <mergeCell ref="AZ150:AZ153"/>
    <mergeCell ref="BA150:BA153"/>
    <mergeCell ref="BB150:BB153"/>
    <mergeCell ref="BC150:BC153"/>
    <mergeCell ref="BD150:BD153"/>
    <mergeCell ref="BE150:BE153"/>
    <mergeCell ref="BF150:BF153"/>
    <mergeCell ref="BG150:BG153"/>
    <mergeCell ref="A156:A160"/>
    <mergeCell ref="B156:B160"/>
    <mergeCell ref="C156:C160"/>
    <mergeCell ref="D156:D160"/>
    <mergeCell ref="E156:E160"/>
    <mergeCell ref="F156:F160"/>
    <mergeCell ref="G156:G160"/>
    <mergeCell ref="H156:H160"/>
    <mergeCell ref="I156:I160"/>
    <mergeCell ref="J156:J160"/>
    <mergeCell ref="K156:K160"/>
    <mergeCell ref="L156:L160"/>
    <mergeCell ref="M156:M160"/>
    <mergeCell ref="N156:N160"/>
    <mergeCell ref="O156:O160"/>
    <mergeCell ref="P156:P160"/>
    <mergeCell ref="Q156:Q160"/>
    <mergeCell ref="R156:R160"/>
    <mergeCell ref="S156:S160"/>
    <mergeCell ref="T156:T160"/>
    <mergeCell ref="U156:U160"/>
    <mergeCell ref="V156:V160"/>
    <mergeCell ref="W156:W160"/>
    <mergeCell ref="X156:X160"/>
    <mergeCell ref="Y156:Y160"/>
    <mergeCell ref="Z156:Z160"/>
    <mergeCell ref="AA156:AA160"/>
    <mergeCell ref="AB156:AB160"/>
    <mergeCell ref="AC156:AC160"/>
    <mergeCell ref="AD156:AD160"/>
    <mergeCell ref="AE156:AE160"/>
    <mergeCell ref="AF156:AF160"/>
    <mergeCell ref="AG156:AG160"/>
    <mergeCell ref="AH156:AH160"/>
    <mergeCell ref="AI156:AI160"/>
    <mergeCell ref="AJ156:AJ160"/>
    <mergeCell ref="AK156:AK160"/>
    <mergeCell ref="AL156:AL160"/>
    <mergeCell ref="AM156:AM160"/>
    <mergeCell ref="AN156:AN160"/>
    <mergeCell ref="AO156:AO160"/>
    <mergeCell ref="AP156:AP160"/>
    <mergeCell ref="AQ156:AQ160"/>
    <mergeCell ref="AR156:AR160"/>
    <mergeCell ref="AS156:AS160"/>
    <mergeCell ref="AT156:AT160"/>
    <mergeCell ref="AU156:AU160"/>
    <mergeCell ref="AV156:AV160"/>
    <mergeCell ref="AW156:AW160"/>
    <mergeCell ref="AX156:AX160"/>
    <mergeCell ref="AY156:AY160"/>
    <mergeCell ref="AZ156:AZ160"/>
    <mergeCell ref="BA156:BA160"/>
    <mergeCell ref="BB156:BB160"/>
    <mergeCell ref="BC156:BC160"/>
    <mergeCell ref="BD156:BD160"/>
    <mergeCell ref="BE156:BE160"/>
    <mergeCell ref="BF156:BF160"/>
    <mergeCell ref="BG156:BG160"/>
    <mergeCell ref="A161:A164"/>
    <mergeCell ref="B161:B164"/>
    <mergeCell ref="C161:C164"/>
    <mergeCell ref="D161:D164"/>
    <mergeCell ref="E161:E164"/>
    <mergeCell ref="F161:F164"/>
    <mergeCell ref="G161:G164"/>
    <mergeCell ref="H161:H164"/>
    <mergeCell ref="I161:I164"/>
    <mergeCell ref="J161:J164"/>
    <mergeCell ref="K161:K164"/>
    <mergeCell ref="L161:L164"/>
    <mergeCell ref="M161:M164"/>
    <mergeCell ref="N161:N164"/>
    <mergeCell ref="O161:O164"/>
    <mergeCell ref="P161:P164"/>
    <mergeCell ref="Q161:Q164"/>
    <mergeCell ref="R161:R164"/>
    <mergeCell ref="S161:S164"/>
    <mergeCell ref="T161:T164"/>
    <mergeCell ref="U161:U164"/>
    <mergeCell ref="V161:V164"/>
    <mergeCell ref="W161:W164"/>
    <mergeCell ref="X161:X164"/>
    <mergeCell ref="Y161:Y164"/>
    <mergeCell ref="Z161:Z164"/>
    <mergeCell ref="AA161:AA164"/>
    <mergeCell ref="AB161:AB164"/>
    <mergeCell ref="AC161:AC164"/>
    <mergeCell ref="AD161:AD164"/>
    <mergeCell ref="AE161:AE164"/>
    <mergeCell ref="AF161:AF164"/>
    <mergeCell ref="AG161:AG164"/>
    <mergeCell ref="AH161:AH164"/>
    <mergeCell ref="AI161:AI164"/>
    <mergeCell ref="AJ161:AJ164"/>
    <mergeCell ref="AK161:AK164"/>
    <mergeCell ref="AL161:AL164"/>
    <mergeCell ref="AM161:AM164"/>
    <mergeCell ref="AN161:AN164"/>
    <mergeCell ref="AO161:AO164"/>
    <mergeCell ref="AP161:AP164"/>
    <mergeCell ref="AQ161:AQ164"/>
    <mergeCell ref="AR161:AR164"/>
    <mergeCell ref="AS161:AS164"/>
    <mergeCell ref="AT161:AT164"/>
    <mergeCell ref="AU161:AU164"/>
    <mergeCell ref="AV161:AV164"/>
    <mergeCell ref="AW161:AW164"/>
    <mergeCell ref="AX161:AX164"/>
    <mergeCell ref="AY161:AY164"/>
    <mergeCell ref="AZ161:AZ164"/>
    <mergeCell ref="BA161:BA164"/>
    <mergeCell ref="BB161:BB164"/>
    <mergeCell ref="BC161:BC164"/>
    <mergeCell ref="BD161:BD164"/>
    <mergeCell ref="BE161:BE164"/>
    <mergeCell ref="BF161:BF164"/>
    <mergeCell ref="BG161:BG164"/>
    <mergeCell ref="A165:A172"/>
    <mergeCell ref="B165:B172"/>
    <mergeCell ref="C165:C172"/>
    <mergeCell ref="D165:D172"/>
    <mergeCell ref="E165:E172"/>
    <mergeCell ref="F165:F172"/>
    <mergeCell ref="G165:G172"/>
    <mergeCell ref="H165:H172"/>
    <mergeCell ref="I165:I172"/>
    <mergeCell ref="J165:J172"/>
    <mergeCell ref="K165:K172"/>
    <mergeCell ref="L165:L172"/>
    <mergeCell ref="M165:M172"/>
    <mergeCell ref="N165:N172"/>
    <mergeCell ref="O165:O172"/>
    <mergeCell ref="P165:P172"/>
    <mergeCell ref="Q165:Q172"/>
    <mergeCell ref="R165:R172"/>
    <mergeCell ref="S165:S172"/>
    <mergeCell ref="T165:T172"/>
    <mergeCell ref="U165:U172"/>
    <mergeCell ref="V165:V172"/>
    <mergeCell ref="W165:W172"/>
    <mergeCell ref="X165:X172"/>
    <mergeCell ref="Y165:Y172"/>
    <mergeCell ref="Z165:Z172"/>
    <mergeCell ref="AA165:AA172"/>
    <mergeCell ref="AB165:AB172"/>
    <mergeCell ref="AC165:AC172"/>
    <mergeCell ref="AD165:AD172"/>
    <mergeCell ref="AE165:AE172"/>
    <mergeCell ref="AF165:AF172"/>
    <mergeCell ref="AG165:AG172"/>
    <mergeCell ref="AH165:AH172"/>
    <mergeCell ref="AI165:AI172"/>
    <mergeCell ref="AJ165:AJ172"/>
    <mergeCell ref="AK165:AK172"/>
    <mergeCell ref="AL165:AL172"/>
    <mergeCell ref="AM165:AM172"/>
    <mergeCell ref="AN165:AN172"/>
    <mergeCell ref="AO165:AO172"/>
    <mergeCell ref="AP165:AP172"/>
    <mergeCell ref="AQ165:AQ172"/>
    <mergeCell ref="AR165:AR172"/>
    <mergeCell ref="AS165:AS172"/>
    <mergeCell ref="AT165:AT172"/>
    <mergeCell ref="AU165:AU172"/>
    <mergeCell ref="AV165:AV172"/>
    <mergeCell ref="AW165:AW172"/>
    <mergeCell ref="AX165:AX172"/>
    <mergeCell ref="AY165:AY172"/>
    <mergeCell ref="AZ165:AZ172"/>
    <mergeCell ref="BA165:BA172"/>
    <mergeCell ref="BB165:BB172"/>
    <mergeCell ref="BC165:BC172"/>
    <mergeCell ref="BD165:BD172"/>
    <mergeCell ref="BE165:BE172"/>
    <mergeCell ref="BF165:BF172"/>
    <mergeCell ref="BG165:BG172"/>
    <mergeCell ref="A173:A178"/>
    <mergeCell ref="B173:B178"/>
    <mergeCell ref="C173:C178"/>
    <mergeCell ref="D173:D178"/>
    <mergeCell ref="E173:E178"/>
    <mergeCell ref="F173:F178"/>
    <mergeCell ref="G173:G178"/>
    <mergeCell ref="H173:H178"/>
    <mergeCell ref="I173:I178"/>
    <mergeCell ref="J173:J178"/>
    <mergeCell ref="K173:K178"/>
    <mergeCell ref="L173:L178"/>
    <mergeCell ref="M173:M178"/>
    <mergeCell ref="N173:N178"/>
    <mergeCell ref="O173:O178"/>
    <mergeCell ref="P173:P178"/>
    <mergeCell ref="Q173:Q178"/>
    <mergeCell ref="R173:R178"/>
    <mergeCell ref="S173:S178"/>
    <mergeCell ref="T173:T178"/>
    <mergeCell ref="U173:U178"/>
    <mergeCell ref="V173:V178"/>
    <mergeCell ref="W173:W178"/>
    <mergeCell ref="X173:X178"/>
    <mergeCell ref="Y173:Y178"/>
    <mergeCell ref="Z173:Z178"/>
    <mergeCell ref="AA173:AA178"/>
    <mergeCell ref="AB173:AB178"/>
    <mergeCell ref="AC173:AC178"/>
    <mergeCell ref="AD173:AD178"/>
    <mergeCell ref="AE173:AE178"/>
    <mergeCell ref="AF173:AF178"/>
    <mergeCell ref="AG173:AG178"/>
    <mergeCell ref="AH173:AH178"/>
    <mergeCell ref="AI173:AI178"/>
    <mergeCell ref="AJ173:AJ178"/>
    <mergeCell ref="AK173:AK178"/>
    <mergeCell ref="AL173:AL178"/>
    <mergeCell ref="AM173:AM178"/>
    <mergeCell ref="AN173:AN178"/>
    <mergeCell ref="AO173:AO178"/>
    <mergeCell ref="AP173:AP178"/>
    <mergeCell ref="AQ173:AQ178"/>
    <mergeCell ref="AR173:AR178"/>
    <mergeCell ref="AS173:AS178"/>
    <mergeCell ref="AT173:AT178"/>
    <mergeCell ref="AU173:AU178"/>
    <mergeCell ref="AV173:AV178"/>
    <mergeCell ref="AW173:AW178"/>
    <mergeCell ref="AX173:AX178"/>
    <mergeCell ref="AY173:AY178"/>
    <mergeCell ref="AZ173:AZ178"/>
    <mergeCell ref="BA173:BA178"/>
    <mergeCell ref="BB173:BB178"/>
    <mergeCell ref="BC173:BC178"/>
    <mergeCell ref="BD173:BD178"/>
    <mergeCell ref="BE173:BE178"/>
    <mergeCell ref="BF173:BF178"/>
    <mergeCell ref="BG173:BG178"/>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S181:S182"/>
    <mergeCell ref="T181:T182"/>
    <mergeCell ref="U181:U182"/>
    <mergeCell ref="V181:V182"/>
    <mergeCell ref="W181:W182"/>
    <mergeCell ref="X181:X182"/>
    <mergeCell ref="Y181:Y182"/>
    <mergeCell ref="Z181:Z182"/>
    <mergeCell ref="AA181:AA182"/>
    <mergeCell ref="AB181:AB182"/>
    <mergeCell ref="AC181:AC182"/>
    <mergeCell ref="AD181:AD182"/>
    <mergeCell ref="AE181:AE182"/>
    <mergeCell ref="AF181:AF182"/>
    <mergeCell ref="AG181:AG182"/>
    <mergeCell ref="AH181:AH182"/>
    <mergeCell ref="AI181:AI182"/>
    <mergeCell ref="AJ181:AJ182"/>
    <mergeCell ref="AK181:AK182"/>
    <mergeCell ref="AL181:AL182"/>
    <mergeCell ref="AM181:AM182"/>
    <mergeCell ref="AN181:AN182"/>
    <mergeCell ref="AO181:AO182"/>
    <mergeCell ref="AP181:AP182"/>
    <mergeCell ref="AQ181:AQ182"/>
    <mergeCell ref="AR181:AR182"/>
    <mergeCell ref="AS181:AS182"/>
    <mergeCell ref="AT181:AT182"/>
    <mergeCell ref="AU181:AU182"/>
    <mergeCell ref="AV181:AV182"/>
    <mergeCell ref="AW181:AW182"/>
    <mergeCell ref="AX181:AX182"/>
    <mergeCell ref="AY181:AY182"/>
    <mergeCell ref="AZ181:AZ182"/>
    <mergeCell ref="BA181:BA182"/>
    <mergeCell ref="BB181:BB182"/>
    <mergeCell ref="BC181:BC182"/>
    <mergeCell ref="BD181:BD182"/>
    <mergeCell ref="BE181:BE182"/>
    <mergeCell ref="BF181:BF182"/>
    <mergeCell ref="BG181:BG182"/>
    <mergeCell ref="A183:A188"/>
    <mergeCell ref="B183:B188"/>
    <mergeCell ref="C183:C188"/>
    <mergeCell ref="D183:D188"/>
    <mergeCell ref="E183:E188"/>
    <mergeCell ref="F183:F188"/>
    <mergeCell ref="G183:G188"/>
    <mergeCell ref="H183:H188"/>
    <mergeCell ref="I183:I188"/>
    <mergeCell ref="J183:J188"/>
    <mergeCell ref="K183:K188"/>
    <mergeCell ref="L183:L188"/>
    <mergeCell ref="M183:M188"/>
    <mergeCell ref="N183:N188"/>
    <mergeCell ref="O183:O188"/>
    <mergeCell ref="P183:P188"/>
    <mergeCell ref="Q183:Q188"/>
    <mergeCell ref="R183:R188"/>
    <mergeCell ref="S183:S188"/>
    <mergeCell ref="T183:T188"/>
    <mergeCell ref="U183:U188"/>
    <mergeCell ref="V183:V188"/>
    <mergeCell ref="W183:W188"/>
    <mergeCell ref="X183:X188"/>
    <mergeCell ref="Y183:Y188"/>
    <mergeCell ref="Z183:Z188"/>
    <mergeCell ref="AA183:AA188"/>
    <mergeCell ref="AB183:AB188"/>
    <mergeCell ref="AC183:AC188"/>
    <mergeCell ref="AD183:AD188"/>
    <mergeCell ref="AE183:AE188"/>
    <mergeCell ref="AF183:AF188"/>
    <mergeCell ref="AG183:AG188"/>
    <mergeCell ref="AH183:AH188"/>
    <mergeCell ref="AI183:AI188"/>
    <mergeCell ref="AJ183:AJ188"/>
    <mergeCell ref="AK183:AK188"/>
    <mergeCell ref="AL183:AL188"/>
    <mergeCell ref="AM183:AM188"/>
    <mergeCell ref="AN183:AN188"/>
    <mergeCell ref="AO183:AO188"/>
    <mergeCell ref="AP183:AP188"/>
    <mergeCell ref="AQ183:AQ188"/>
    <mergeCell ref="AR183:AR188"/>
    <mergeCell ref="AS183:AS188"/>
    <mergeCell ref="AT183:AT188"/>
    <mergeCell ref="AU183:AU188"/>
    <mergeCell ref="AV183:AV188"/>
    <mergeCell ref="AW183:AW188"/>
    <mergeCell ref="AX183:AX188"/>
    <mergeCell ref="AY183:AY188"/>
    <mergeCell ref="AZ183:AZ188"/>
    <mergeCell ref="BA183:BA188"/>
    <mergeCell ref="BB183:BB188"/>
    <mergeCell ref="BC183:BC188"/>
    <mergeCell ref="BD183:BD188"/>
    <mergeCell ref="BE183:BE188"/>
    <mergeCell ref="BF183:BF188"/>
    <mergeCell ref="BG183:BG188"/>
    <mergeCell ref="A189:A192"/>
    <mergeCell ref="B189:B192"/>
    <mergeCell ref="C189:C192"/>
    <mergeCell ref="D189:D192"/>
    <mergeCell ref="E189:E192"/>
    <mergeCell ref="F189:F192"/>
    <mergeCell ref="G189:G192"/>
    <mergeCell ref="H189:H192"/>
    <mergeCell ref="I189:I192"/>
    <mergeCell ref="J189:J192"/>
    <mergeCell ref="K189:K192"/>
    <mergeCell ref="L189:L192"/>
    <mergeCell ref="M189:M192"/>
    <mergeCell ref="N189:N192"/>
    <mergeCell ref="O189:O192"/>
    <mergeCell ref="P189:P192"/>
    <mergeCell ref="Q189:Q192"/>
    <mergeCell ref="R189:R192"/>
    <mergeCell ref="S189:S192"/>
    <mergeCell ref="T189:T192"/>
    <mergeCell ref="U189:U192"/>
    <mergeCell ref="V189:V192"/>
    <mergeCell ref="W189:W192"/>
    <mergeCell ref="X189:X192"/>
    <mergeCell ref="Y189:Y192"/>
    <mergeCell ref="Z189:Z192"/>
    <mergeCell ref="AA189:AA192"/>
    <mergeCell ref="AB189:AB192"/>
    <mergeCell ref="AC189:AC192"/>
    <mergeCell ref="AD189:AD192"/>
    <mergeCell ref="AE189:AE192"/>
    <mergeCell ref="AF189:AF192"/>
    <mergeCell ref="AG189:AG192"/>
    <mergeCell ref="AH189:AH192"/>
    <mergeCell ref="AI189:AI192"/>
    <mergeCell ref="AJ189:AJ192"/>
    <mergeCell ref="AK189:AK192"/>
    <mergeCell ref="AL189:AL192"/>
    <mergeCell ref="AM189:AM192"/>
    <mergeCell ref="AN189:AN192"/>
    <mergeCell ref="AO189:AO192"/>
    <mergeCell ref="AP189:AP192"/>
    <mergeCell ref="AQ189:AQ192"/>
    <mergeCell ref="AR189:AR192"/>
    <mergeCell ref="AS189:AS192"/>
    <mergeCell ref="AT189:AT192"/>
    <mergeCell ref="AU189:AU192"/>
    <mergeCell ref="AV189:AV192"/>
    <mergeCell ref="AW189:AW192"/>
    <mergeCell ref="AX189:AX192"/>
    <mergeCell ref="AY189:AY192"/>
    <mergeCell ref="AZ189:AZ192"/>
    <mergeCell ref="BA189:BA192"/>
    <mergeCell ref="BB189:BB192"/>
    <mergeCell ref="BC189:BC192"/>
    <mergeCell ref="BD189:BD192"/>
    <mergeCell ref="BE189:BE192"/>
    <mergeCell ref="BF189:BF192"/>
    <mergeCell ref="BG189:BG192"/>
    <mergeCell ref="A197:A200"/>
    <mergeCell ref="B197:B200"/>
    <mergeCell ref="C197:C200"/>
    <mergeCell ref="D197:D200"/>
    <mergeCell ref="E197:E200"/>
    <mergeCell ref="F197:F200"/>
    <mergeCell ref="G197:G200"/>
    <mergeCell ref="H197:H200"/>
    <mergeCell ref="I197:I200"/>
    <mergeCell ref="J197:J200"/>
    <mergeCell ref="K197:K200"/>
    <mergeCell ref="L197:L200"/>
    <mergeCell ref="M197:M200"/>
    <mergeCell ref="N197:N200"/>
    <mergeCell ref="O197:O200"/>
    <mergeCell ref="P197:P200"/>
    <mergeCell ref="Q197:Q200"/>
    <mergeCell ref="R197:R200"/>
    <mergeCell ref="S197:S200"/>
    <mergeCell ref="T197:T200"/>
    <mergeCell ref="U197:U200"/>
    <mergeCell ref="V197:V200"/>
    <mergeCell ref="W197:W200"/>
    <mergeCell ref="X197:X200"/>
    <mergeCell ref="Y197:Y200"/>
    <mergeCell ref="Z197:Z200"/>
    <mergeCell ref="AA197:AA200"/>
    <mergeCell ref="AB197:AB200"/>
    <mergeCell ref="AC197:AC200"/>
    <mergeCell ref="AD197:AD200"/>
    <mergeCell ref="AE197:AE200"/>
    <mergeCell ref="AF197:AF200"/>
    <mergeCell ref="AG197:AG200"/>
    <mergeCell ref="AH197:AH200"/>
    <mergeCell ref="AI197:AI200"/>
    <mergeCell ref="AJ197:AJ200"/>
    <mergeCell ref="AK197:AK200"/>
    <mergeCell ref="AL197:AL200"/>
    <mergeCell ref="AM197:AM200"/>
    <mergeCell ref="AN197:AN200"/>
    <mergeCell ref="AO197:AO200"/>
    <mergeCell ref="AP197:AP200"/>
    <mergeCell ref="AQ197:AQ200"/>
    <mergeCell ref="AR197:AR200"/>
    <mergeCell ref="AS197:AS200"/>
    <mergeCell ref="AT197:AT200"/>
    <mergeCell ref="AU197:AU200"/>
    <mergeCell ref="AV197:AV200"/>
    <mergeCell ref="AW197:AW200"/>
    <mergeCell ref="AX197:AX200"/>
    <mergeCell ref="AY197:AY200"/>
    <mergeCell ref="AZ197:AZ200"/>
    <mergeCell ref="BA197:BA200"/>
    <mergeCell ref="BB197:BB200"/>
    <mergeCell ref="BC197:BC200"/>
    <mergeCell ref="BD197:BD200"/>
    <mergeCell ref="BE197:BE200"/>
    <mergeCell ref="BF197:BF200"/>
    <mergeCell ref="BG197:BG200"/>
    <mergeCell ref="A201:A202"/>
    <mergeCell ref="B201:B202"/>
    <mergeCell ref="C201:C202"/>
    <mergeCell ref="D201:D202"/>
    <mergeCell ref="E201:E202"/>
    <mergeCell ref="F201:F202"/>
    <mergeCell ref="G201:G202"/>
    <mergeCell ref="H201:H202"/>
    <mergeCell ref="I201:I202"/>
    <mergeCell ref="J201:J202"/>
    <mergeCell ref="K201:K202"/>
    <mergeCell ref="L201:L202"/>
    <mergeCell ref="M201:M202"/>
    <mergeCell ref="N201:N202"/>
    <mergeCell ref="O201:O202"/>
    <mergeCell ref="P201:P202"/>
    <mergeCell ref="Q201:Q202"/>
    <mergeCell ref="R201:R202"/>
    <mergeCell ref="S201:S202"/>
    <mergeCell ref="T201:T202"/>
    <mergeCell ref="U201:U202"/>
    <mergeCell ref="V201:V202"/>
    <mergeCell ref="W201:W202"/>
    <mergeCell ref="X201:X202"/>
    <mergeCell ref="Y201:Y202"/>
    <mergeCell ref="Z201:Z202"/>
    <mergeCell ref="AA201:AA202"/>
    <mergeCell ref="AB201:AB202"/>
    <mergeCell ref="AC201:AC202"/>
    <mergeCell ref="AD201:AD202"/>
    <mergeCell ref="AE201:AE202"/>
    <mergeCell ref="AF201:AF202"/>
    <mergeCell ref="AG201:AG202"/>
    <mergeCell ref="AH201:AH202"/>
    <mergeCell ref="AI201:AI202"/>
    <mergeCell ref="AJ201:AJ202"/>
    <mergeCell ref="AK201:AK202"/>
    <mergeCell ref="AL201:AL202"/>
    <mergeCell ref="AM201:AM202"/>
    <mergeCell ref="AN201:AN202"/>
    <mergeCell ref="AO201:AO202"/>
    <mergeCell ref="AP201:AP202"/>
    <mergeCell ref="AQ201:AQ202"/>
    <mergeCell ref="AR201:AR202"/>
    <mergeCell ref="AS201:AS202"/>
    <mergeCell ref="AT201:AT202"/>
    <mergeCell ref="AU201:AU202"/>
    <mergeCell ref="AV201:AV202"/>
    <mergeCell ref="AW201:AW202"/>
    <mergeCell ref="AX201:AX202"/>
    <mergeCell ref="AY201:AY202"/>
    <mergeCell ref="AZ201:AZ202"/>
    <mergeCell ref="BA201:BA202"/>
    <mergeCell ref="BB201:BB202"/>
    <mergeCell ref="BC201:BC202"/>
    <mergeCell ref="BD201:BD202"/>
    <mergeCell ref="BE201:BE202"/>
    <mergeCell ref="BF201:BF202"/>
    <mergeCell ref="BG201:BG202"/>
    <mergeCell ref="A204:A208"/>
    <mergeCell ref="B204:B208"/>
    <mergeCell ref="C204:C208"/>
    <mergeCell ref="D204:D208"/>
    <mergeCell ref="E204:E208"/>
    <mergeCell ref="F204:F208"/>
    <mergeCell ref="G204:G208"/>
    <mergeCell ref="H204:H208"/>
    <mergeCell ref="I204:I208"/>
    <mergeCell ref="J204:J208"/>
    <mergeCell ref="K204:K208"/>
    <mergeCell ref="L204:L208"/>
    <mergeCell ref="M204:M208"/>
    <mergeCell ref="N204:N208"/>
    <mergeCell ref="O204:O208"/>
    <mergeCell ref="P204:P208"/>
    <mergeCell ref="Q204:Q208"/>
    <mergeCell ref="R204:R208"/>
    <mergeCell ref="S204:S208"/>
    <mergeCell ref="T204:T208"/>
    <mergeCell ref="U204:U208"/>
    <mergeCell ref="V204:V208"/>
    <mergeCell ref="W204:W208"/>
    <mergeCell ref="X204:X208"/>
    <mergeCell ref="Y204:Y208"/>
    <mergeCell ref="Z204:Z208"/>
    <mergeCell ref="AA204:AA208"/>
    <mergeCell ref="AB204:AB208"/>
    <mergeCell ref="AC204:AC208"/>
    <mergeCell ref="AD204:AD208"/>
    <mergeCell ref="AE204:AE208"/>
    <mergeCell ref="AF204:AF208"/>
    <mergeCell ref="AG204:AG208"/>
    <mergeCell ref="AH204:AH208"/>
    <mergeCell ref="AI204:AI208"/>
    <mergeCell ref="AJ204:AJ208"/>
    <mergeCell ref="AK204:AK208"/>
    <mergeCell ref="AL204:AL208"/>
    <mergeCell ref="AM204:AM208"/>
    <mergeCell ref="AN204:AN208"/>
    <mergeCell ref="AO204:AO208"/>
    <mergeCell ref="AP204:AP208"/>
    <mergeCell ref="AQ204:AQ208"/>
    <mergeCell ref="AR204:AR208"/>
    <mergeCell ref="AS204:AS208"/>
    <mergeCell ref="AT204:AT208"/>
    <mergeCell ref="AU204:AU208"/>
    <mergeCell ref="AV204:AV208"/>
    <mergeCell ref="AW204:AW208"/>
    <mergeCell ref="AX204:AX208"/>
    <mergeCell ref="AY204:AY208"/>
    <mergeCell ref="AZ204:AZ208"/>
    <mergeCell ref="BA204:BA208"/>
    <mergeCell ref="BB204:BB208"/>
    <mergeCell ref="BC204:BC208"/>
    <mergeCell ref="BD204:BD208"/>
    <mergeCell ref="BE204:BE208"/>
    <mergeCell ref="BF204:BF208"/>
    <mergeCell ref="BG204:BG208"/>
    <mergeCell ref="A209:A214"/>
    <mergeCell ref="B209:B214"/>
    <mergeCell ref="C209:C214"/>
    <mergeCell ref="D209:D214"/>
    <mergeCell ref="E209:E214"/>
    <mergeCell ref="F209:F214"/>
    <mergeCell ref="G209:G214"/>
    <mergeCell ref="H209:H214"/>
    <mergeCell ref="I209:I214"/>
    <mergeCell ref="J209:J214"/>
    <mergeCell ref="K209:K214"/>
    <mergeCell ref="L209:L214"/>
    <mergeCell ref="M209:M214"/>
    <mergeCell ref="N209:N214"/>
    <mergeCell ref="O209:O214"/>
    <mergeCell ref="P209:P214"/>
    <mergeCell ref="Q209:Q214"/>
    <mergeCell ref="R209:R214"/>
    <mergeCell ref="S209:S214"/>
    <mergeCell ref="T209:T214"/>
    <mergeCell ref="U209:U214"/>
    <mergeCell ref="V209:V214"/>
    <mergeCell ref="W209:W214"/>
    <mergeCell ref="X209:X214"/>
    <mergeCell ref="Y209:Y214"/>
    <mergeCell ref="Z209:Z214"/>
    <mergeCell ref="AA209:AA214"/>
    <mergeCell ref="AB209:AB214"/>
    <mergeCell ref="AC209:AC214"/>
    <mergeCell ref="AD209:AD214"/>
    <mergeCell ref="AE209:AE214"/>
    <mergeCell ref="AF209:AF214"/>
    <mergeCell ref="AG209:AG214"/>
    <mergeCell ref="AH209:AH214"/>
    <mergeCell ref="AI209:AI214"/>
    <mergeCell ref="AJ209:AJ214"/>
    <mergeCell ref="AK209:AK214"/>
    <mergeCell ref="AL209:AL214"/>
    <mergeCell ref="AM209:AM214"/>
    <mergeCell ref="AN209:AN214"/>
    <mergeCell ref="AO209:AO214"/>
    <mergeCell ref="AP209:AP214"/>
    <mergeCell ref="AQ209:AQ214"/>
    <mergeCell ref="AR209:AR214"/>
    <mergeCell ref="AS209:AS214"/>
    <mergeCell ref="AT209:AT214"/>
    <mergeCell ref="AU209:AU214"/>
    <mergeCell ref="AV209:AV214"/>
    <mergeCell ref="AW209:AW214"/>
    <mergeCell ref="AX209:AX214"/>
    <mergeCell ref="AY209:AY214"/>
    <mergeCell ref="AZ209:AZ214"/>
    <mergeCell ref="BA209:BA214"/>
    <mergeCell ref="BB209:BB214"/>
    <mergeCell ref="BC209:BC214"/>
    <mergeCell ref="BD209:BD214"/>
    <mergeCell ref="BE209:BE214"/>
    <mergeCell ref="BF209:BF214"/>
    <mergeCell ref="BG209:BG214"/>
    <mergeCell ref="A215:A216"/>
    <mergeCell ref="B215:B216"/>
    <mergeCell ref="C215:C216"/>
    <mergeCell ref="D215:D216"/>
    <mergeCell ref="E215:E216"/>
    <mergeCell ref="F215:F216"/>
    <mergeCell ref="G215:G216"/>
    <mergeCell ref="H215:H216"/>
    <mergeCell ref="I215:I216"/>
    <mergeCell ref="J215:J216"/>
    <mergeCell ref="K215:K216"/>
    <mergeCell ref="L215:L216"/>
    <mergeCell ref="M215:M216"/>
    <mergeCell ref="N215:N216"/>
    <mergeCell ref="O215:O216"/>
    <mergeCell ref="P215:P216"/>
    <mergeCell ref="Q215:Q216"/>
    <mergeCell ref="R215:R216"/>
    <mergeCell ref="S215:S216"/>
    <mergeCell ref="T215:T216"/>
    <mergeCell ref="U215:U216"/>
    <mergeCell ref="V215:V216"/>
    <mergeCell ref="W215:W216"/>
    <mergeCell ref="X215:X216"/>
    <mergeCell ref="Y215:Y216"/>
    <mergeCell ref="Z215:Z216"/>
    <mergeCell ref="AA215:AA216"/>
    <mergeCell ref="AB215:AB216"/>
    <mergeCell ref="AC215:AC216"/>
    <mergeCell ref="AD215:AD216"/>
    <mergeCell ref="AE215:AE216"/>
    <mergeCell ref="AF215:AF216"/>
    <mergeCell ref="AG215:AG216"/>
    <mergeCell ref="AH215:AH216"/>
    <mergeCell ref="AI215:AI216"/>
    <mergeCell ref="AJ215:AJ216"/>
    <mergeCell ref="AK215:AK216"/>
    <mergeCell ref="AL215:AL216"/>
    <mergeCell ref="AM215:AM216"/>
    <mergeCell ref="AN215:AN216"/>
    <mergeCell ref="AO215:AO216"/>
    <mergeCell ref="AP215:AP216"/>
    <mergeCell ref="AQ215:AQ216"/>
    <mergeCell ref="AR215:AR216"/>
    <mergeCell ref="AS215:AS216"/>
    <mergeCell ref="AT215:AT216"/>
    <mergeCell ref="AU215:AU216"/>
    <mergeCell ref="AV215:AV216"/>
    <mergeCell ref="AW215:AW216"/>
    <mergeCell ref="AX215:AX216"/>
    <mergeCell ref="AY215:AY216"/>
    <mergeCell ref="AZ215:AZ216"/>
    <mergeCell ref="BA215:BA216"/>
    <mergeCell ref="BB215:BB216"/>
    <mergeCell ref="BC215:BC216"/>
    <mergeCell ref="BD215:BD216"/>
    <mergeCell ref="BE215:BE216"/>
    <mergeCell ref="BF215:BF216"/>
    <mergeCell ref="BG215:BG216"/>
    <mergeCell ref="A220:A222"/>
    <mergeCell ref="B220:B222"/>
    <mergeCell ref="C220:C222"/>
    <mergeCell ref="D220:D222"/>
    <mergeCell ref="E220:E222"/>
    <mergeCell ref="F220:F222"/>
    <mergeCell ref="G220:G222"/>
    <mergeCell ref="H220:H222"/>
    <mergeCell ref="I220:I222"/>
    <mergeCell ref="J220:J222"/>
    <mergeCell ref="K220:K222"/>
    <mergeCell ref="L220:L222"/>
    <mergeCell ref="M220:M222"/>
    <mergeCell ref="N220:N222"/>
    <mergeCell ref="O220:O222"/>
    <mergeCell ref="P220:P222"/>
    <mergeCell ref="Q220:Q222"/>
    <mergeCell ref="R220:R222"/>
    <mergeCell ref="S220:S222"/>
    <mergeCell ref="T220:T222"/>
    <mergeCell ref="U220:U222"/>
    <mergeCell ref="V220:V222"/>
    <mergeCell ref="W220:W222"/>
    <mergeCell ref="X220:X222"/>
    <mergeCell ref="Y220:Y222"/>
    <mergeCell ref="Z220:Z222"/>
    <mergeCell ref="AA220:AA222"/>
    <mergeCell ref="AB220:AB222"/>
    <mergeCell ref="AC220:AC222"/>
    <mergeCell ref="AD220:AD222"/>
    <mergeCell ref="AE220:AE222"/>
    <mergeCell ref="AF220:AF222"/>
    <mergeCell ref="AG220:AG222"/>
    <mergeCell ref="AH220:AH222"/>
    <mergeCell ref="AI220:AI222"/>
    <mergeCell ref="AJ220:AJ222"/>
    <mergeCell ref="AK220:AK222"/>
    <mergeCell ref="AL220:AL222"/>
    <mergeCell ref="AM220:AM222"/>
    <mergeCell ref="AN220:AN222"/>
    <mergeCell ref="AO220:AO222"/>
    <mergeCell ref="AP220:AP222"/>
    <mergeCell ref="AQ220:AQ222"/>
    <mergeCell ref="AR220:AR222"/>
    <mergeCell ref="AS220:AS222"/>
    <mergeCell ref="AT220:AT222"/>
    <mergeCell ref="AU220:AU222"/>
    <mergeCell ref="AV220:AV222"/>
    <mergeCell ref="AW220:AW222"/>
    <mergeCell ref="AX220:AX222"/>
    <mergeCell ref="AY220:AY222"/>
    <mergeCell ref="AZ220:AZ222"/>
    <mergeCell ref="BA220:BA222"/>
    <mergeCell ref="BB220:BB222"/>
    <mergeCell ref="BC220:BC222"/>
    <mergeCell ref="BD220:BD222"/>
    <mergeCell ref="BE220:BE222"/>
    <mergeCell ref="BF220:BF222"/>
    <mergeCell ref="BG220:BG222"/>
    <mergeCell ref="A224:A228"/>
    <mergeCell ref="B224:B228"/>
    <mergeCell ref="C224:C228"/>
    <mergeCell ref="D224:D228"/>
    <mergeCell ref="E224:E228"/>
    <mergeCell ref="F224:F228"/>
    <mergeCell ref="G224:G228"/>
    <mergeCell ref="H224:H228"/>
    <mergeCell ref="I224:I228"/>
    <mergeCell ref="J224:J228"/>
    <mergeCell ref="K224:K228"/>
    <mergeCell ref="L224:L228"/>
    <mergeCell ref="M224:M228"/>
    <mergeCell ref="N224:N228"/>
    <mergeCell ref="O224:O228"/>
    <mergeCell ref="P224:P228"/>
    <mergeCell ref="Q224:Q228"/>
    <mergeCell ref="R224:R228"/>
    <mergeCell ref="S224:S228"/>
    <mergeCell ref="T224:T228"/>
    <mergeCell ref="U224:U228"/>
    <mergeCell ref="V224:V228"/>
    <mergeCell ref="W224:W228"/>
    <mergeCell ref="X224:X228"/>
    <mergeCell ref="Y224:Y228"/>
    <mergeCell ref="Z224:Z228"/>
    <mergeCell ref="AA224:AA228"/>
    <mergeCell ref="AB224:AB228"/>
    <mergeCell ref="AC224:AC228"/>
    <mergeCell ref="AD224:AD228"/>
    <mergeCell ref="AE224:AE228"/>
    <mergeCell ref="AF224:AF228"/>
    <mergeCell ref="AG224:AG228"/>
    <mergeCell ref="AH224:AH228"/>
    <mergeCell ref="AI224:AI228"/>
    <mergeCell ref="AJ224:AJ228"/>
    <mergeCell ref="AK224:AK228"/>
    <mergeCell ref="AL224:AL228"/>
    <mergeCell ref="AM224:AM228"/>
    <mergeCell ref="AN224:AN228"/>
    <mergeCell ref="AO224:AO228"/>
    <mergeCell ref="AP224:AP228"/>
    <mergeCell ref="AQ224:AQ228"/>
    <mergeCell ref="AR224:AR228"/>
    <mergeCell ref="AS224:AS228"/>
    <mergeCell ref="AT224:AT228"/>
    <mergeCell ref="AU224:AU228"/>
    <mergeCell ref="AV224:AV228"/>
    <mergeCell ref="AW224:AW228"/>
    <mergeCell ref="AX224:AX228"/>
    <mergeCell ref="AY224:AY228"/>
    <mergeCell ref="AZ224:AZ228"/>
    <mergeCell ref="BA224:BA228"/>
    <mergeCell ref="BB224:BB228"/>
    <mergeCell ref="BC224:BC228"/>
    <mergeCell ref="BD224:BD228"/>
    <mergeCell ref="BE224:BE228"/>
    <mergeCell ref="BF224:BF228"/>
    <mergeCell ref="BG224:BG228"/>
    <mergeCell ref="A230:A233"/>
    <mergeCell ref="B230:B233"/>
    <mergeCell ref="C230:C233"/>
    <mergeCell ref="D230:D233"/>
    <mergeCell ref="E230:E233"/>
    <mergeCell ref="F230:F233"/>
    <mergeCell ref="G230:G233"/>
    <mergeCell ref="H230:H233"/>
    <mergeCell ref="I230:I233"/>
    <mergeCell ref="J230:J233"/>
    <mergeCell ref="K230:K233"/>
    <mergeCell ref="L230:L233"/>
    <mergeCell ref="M230:M233"/>
    <mergeCell ref="N230:N233"/>
    <mergeCell ref="O230:O233"/>
    <mergeCell ref="P230:P233"/>
    <mergeCell ref="Q230:Q233"/>
    <mergeCell ref="R230:R233"/>
    <mergeCell ref="S230:S233"/>
    <mergeCell ref="T230:T233"/>
    <mergeCell ref="U230:U233"/>
    <mergeCell ref="V230:V233"/>
    <mergeCell ref="W230:W233"/>
    <mergeCell ref="X230:X233"/>
    <mergeCell ref="Y230:Y233"/>
    <mergeCell ref="Z230:Z233"/>
    <mergeCell ref="AA230:AA233"/>
    <mergeCell ref="AB230:AB233"/>
    <mergeCell ref="AC230:AC233"/>
    <mergeCell ref="AD230:AD233"/>
    <mergeCell ref="AE230:AE233"/>
    <mergeCell ref="AF230:AF233"/>
    <mergeCell ref="AG230:AG233"/>
    <mergeCell ref="AH230:AH233"/>
    <mergeCell ref="AI230:AI233"/>
    <mergeCell ref="AJ230:AJ233"/>
    <mergeCell ref="AK230:AK233"/>
    <mergeCell ref="AL230:AL233"/>
    <mergeCell ref="AM230:AM233"/>
    <mergeCell ref="AN230:AN233"/>
    <mergeCell ref="AO230:AO233"/>
    <mergeCell ref="AP230:AP233"/>
    <mergeCell ref="AQ230:AQ233"/>
    <mergeCell ref="AR230:AR233"/>
    <mergeCell ref="AS230:AS233"/>
    <mergeCell ref="AT230:AT233"/>
    <mergeCell ref="AU230:AU233"/>
    <mergeCell ref="AV230:AV233"/>
    <mergeCell ref="AW230:AW233"/>
    <mergeCell ref="AX230:AX233"/>
    <mergeCell ref="AY230:AY233"/>
    <mergeCell ref="AZ230:AZ233"/>
    <mergeCell ref="BA230:BA233"/>
    <mergeCell ref="BB230:BB233"/>
    <mergeCell ref="BC230:BC233"/>
    <mergeCell ref="BD230:BD233"/>
    <mergeCell ref="BE230:BE233"/>
    <mergeCell ref="BF230:BF233"/>
    <mergeCell ref="BG230:BG233"/>
    <mergeCell ref="A234:A236"/>
    <mergeCell ref="B234:B236"/>
    <mergeCell ref="C234:C236"/>
    <mergeCell ref="D234:D236"/>
    <mergeCell ref="E234:E236"/>
    <mergeCell ref="F234:F236"/>
    <mergeCell ref="G234:G236"/>
    <mergeCell ref="H234:H236"/>
    <mergeCell ref="I234:I236"/>
    <mergeCell ref="J234:J236"/>
    <mergeCell ref="K234:K236"/>
    <mergeCell ref="L234:L236"/>
    <mergeCell ref="M234:M236"/>
    <mergeCell ref="N234:N236"/>
    <mergeCell ref="O234:O236"/>
    <mergeCell ref="P234:P236"/>
    <mergeCell ref="Q234:Q236"/>
    <mergeCell ref="R234:R236"/>
    <mergeCell ref="S234:S236"/>
    <mergeCell ref="T234:T236"/>
    <mergeCell ref="U234:U236"/>
    <mergeCell ref="V234:V236"/>
    <mergeCell ref="W234:W236"/>
    <mergeCell ref="X234:X236"/>
    <mergeCell ref="Y234:Y236"/>
    <mergeCell ref="Z234:Z236"/>
    <mergeCell ref="AA234:AA236"/>
    <mergeCell ref="AB234:AB236"/>
    <mergeCell ref="AC234:AC236"/>
    <mergeCell ref="AD234:AD236"/>
    <mergeCell ref="AE234:AE236"/>
    <mergeCell ref="AF234:AF236"/>
    <mergeCell ref="AG234:AG236"/>
    <mergeCell ref="AH234:AH236"/>
    <mergeCell ref="AI234:AI236"/>
    <mergeCell ref="AJ234:AJ236"/>
    <mergeCell ref="AK234:AK236"/>
    <mergeCell ref="AL234:AL236"/>
    <mergeCell ref="AM234:AM236"/>
    <mergeCell ref="AN234:AN236"/>
    <mergeCell ref="AO234:AO236"/>
    <mergeCell ref="AP234:AP236"/>
    <mergeCell ref="AQ234:AQ236"/>
    <mergeCell ref="AR234:AR236"/>
    <mergeCell ref="AS234:AS236"/>
    <mergeCell ref="AT234:AT236"/>
    <mergeCell ref="AU234:AU236"/>
    <mergeCell ref="AV234:AV236"/>
    <mergeCell ref="AW234:AW236"/>
    <mergeCell ref="AX234:AX236"/>
    <mergeCell ref="AY234:AY236"/>
    <mergeCell ref="AZ234:AZ236"/>
    <mergeCell ref="BA234:BA236"/>
    <mergeCell ref="BB234:BB236"/>
    <mergeCell ref="BC234:BC236"/>
    <mergeCell ref="BD234:BD236"/>
    <mergeCell ref="BE234:BE236"/>
    <mergeCell ref="BF234:BF236"/>
    <mergeCell ref="BG234:BG236"/>
    <mergeCell ref="A238:A255"/>
    <mergeCell ref="B238:B255"/>
    <mergeCell ref="C238:C255"/>
    <mergeCell ref="D238:D255"/>
    <mergeCell ref="E238:E255"/>
    <mergeCell ref="F238:F255"/>
    <mergeCell ref="G238:G255"/>
    <mergeCell ref="H238:H255"/>
    <mergeCell ref="I238:I255"/>
    <mergeCell ref="J238:J255"/>
    <mergeCell ref="K238:K255"/>
    <mergeCell ref="L238:L255"/>
    <mergeCell ref="M238:M255"/>
    <mergeCell ref="N238:N255"/>
    <mergeCell ref="O238:O255"/>
    <mergeCell ref="P238:P255"/>
    <mergeCell ref="Q238:Q255"/>
    <mergeCell ref="R238:R255"/>
    <mergeCell ref="S238:S255"/>
    <mergeCell ref="T238:T255"/>
    <mergeCell ref="U238:U255"/>
    <mergeCell ref="V238:V255"/>
    <mergeCell ref="W238:W255"/>
    <mergeCell ref="X238:X255"/>
    <mergeCell ref="Y238:Y255"/>
    <mergeCell ref="Z238:Z255"/>
    <mergeCell ref="AA238:AA255"/>
    <mergeCell ref="AB238:AB255"/>
    <mergeCell ref="AC238:AC255"/>
    <mergeCell ref="AD238:AD255"/>
    <mergeCell ref="AE238:AE255"/>
    <mergeCell ref="AF238:AF255"/>
    <mergeCell ref="AG238:AG255"/>
    <mergeCell ref="AH238:AH255"/>
    <mergeCell ref="AI238:AI255"/>
    <mergeCell ref="AJ238:AJ255"/>
    <mergeCell ref="AK238:AK255"/>
    <mergeCell ref="AL238:AL255"/>
    <mergeCell ref="AM238:AM255"/>
    <mergeCell ref="AN238:AN255"/>
    <mergeCell ref="AO238:AO255"/>
    <mergeCell ref="AP238:AP255"/>
    <mergeCell ref="AQ238:AQ255"/>
    <mergeCell ref="AR238:AR255"/>
    <mergeCell ref="AS238:AS255"/>
    <mergeCell ref="AT238:AT255"/>
    <mergeCell ref="AU238:AU255"/>
    <mergeCell ref="AV238:AV255"/>
    <mergeCell ref="AW238:AW255"/>
    <mergeCell ref="AX238:AX255"/>
    <mergeCell ref="AY238:AY255"/>
    <mergeCell ref="AZ238:AZ255"/>
    <mergeCell ref="BA238:BA255"/>
    <mergeCell ref="BB238:BB255"/>
    <mergeCell ref="BC238:BC255"/>
    <mergeCell ref="BD238:BD255"/>
    <mergeCell ref="BE238:BE255"/>
    <mergeCell ref="BF238:BF255"/>
    <mergeCell ref="BG238:BG255"/>
    <mergeCell ref="A256:A257"/>
    <mergeCell ref="B256:B257"/>
    <mergeCell ref="C256:C257"/>
    <mergeCell ref="D256:D257"/>
    <mergeCell ref="E256:E257"/>
    <mergeCell ref="F256:F257"/>
    <mergeCell ref="G256:G257"/>
    <mergeCell ref="H256:H257"/>
    <mergeCell ref="I256:I257"/>
    <mergeCell ref="J256:J257"/>
    <mergeCell ref="K256:K257"/>
    <mergeCell ref="L256:L257"/>
    <mergeCell ref="M256:M257"/>
    <mergeCell ref="N256:N257"/>
    <mergeCell ref="O256:O257"/>
    <mergeCell ref="P256:P257"/>
    <mergeCell ref="Q256:Q257"/>
    <mergeCell ref="R256:R257"/>
    <mergeCell ref="S256:S257"/>
    <mergeCell ref="T256:T257"/>
    <mergeCell ref="U256:U257"/>
    <mergeCell ref="V256:V257"/>
    <mergeCell ref="W256:W257"/>
    <mergeCell ref="X256:X257"/>
    <mergeCell ref="Y256:Y257"/>
    <mergeCell ref="Z256:Z257"/>
    <mergeCell ref="AA256:AA257"/>
    <mergeCell ref="AB256:AB257"/>
    <mergeCell ref="AC256:AC257"/>
    <mergeCell ref="AD256:AD257"/>
    <mergeCell ref="AE256:AE257"/>
    <mergeCell ref="AF256:AF257"/>
    <mergeCell ref="AG256:AG257"/>
    <mergeCell ref="AH256:AH257"/>
    <mergeCell ref="AI256:AI257"/>
    <mergeCell ref="AJ256:AJ257"/>
    <mergeCell ref="AK256:AK257"/>
    <mergeCell ref="AL256:AL257"/>
    <mergeCell ref="AM256:AM257"/>
    <mergeCell ref="AN256:AN257"/>
    <mergeCell ref="AO256:AO257"/>
    <mergeCell ref="AP256:AP257"/>
    <mergeCell ref="AQ256:AQ257"/>
    <mergeCell ref="AR256:AR257"/>
    <mergeCell ref="AS256:AS257"/>
    <mergeCell ref="AT256:AT257"/>
    <mergeCell ref="AU256:AU257"/>
    <mergeCell ref="AV256:AV257"/>
    <mergeCell ref="AW256:AW257"/>
    <mergeCell ref="AX256:AX257"/>
    <mergeCell ref="AY256:AY257"/>
    <mergeCell ref="AZ256:AZ257"/>
    <mergeCell ref="BA256:BA257"/>
    <mergeCell ref="BB256:BB257"/>
    <mergeCell ref="BC256:BC257"/>
    <mergeCell ref="BD256:BD257"/>
    <mergeCell ref="BE256:BE257"/>
    <mergeCell ref="BF256:BF257"/>
    <mergeCell ref="BG256:BG257"/>
    <mergeCell ref="A258:A265"/>
    <mergeCell ref="B258:B265"/>
    <mergeCell ref="C258:C265"/>
    <mergeCell ref="D258:D265"/>
    <mergeCell ref="E258:E265"/>
    <mergeCell ref="F258:F265"/>
    <mergeCell ref="G258:G265"/>
    <mergeCell ref="H258:H265"/>
    <mergeCell ref="I258:I265"/>
    <mergeCell ref="J258:J265"/>
    <mergeCell ref="K258:K265"/>
    <mergeCell ref="L258:L265"/>
    <mergeCell ref="M258:M265"/>
    <mergeCell ref="N258:N265"/>
    <mergeCell ref="O258:O265"/>
    <mergeCell ref="P258:P265"/>
    <mergeCell ref="Q258:Q265"/>
    <mergeCell ref="R258:R265"/>
    <mergeCell ref="S258:S265"/>
    <mergeCell ref="T258:T265"/>
    <mergeCell ref="U258:U265"/>
    <mergeCell ref="V258:V265"/>
    <mergeCell ref="W258:W265"/>
    <mergeCell ref="X258:X265"/>
    <mergeCell ref="Y258:Y265"/>
    <mergeCell ref="Z258:Z265"/>
    <mergeCell ref="AA258:AA265"/>
    <mergeCell ref="AB258:AB265"/>
    <mergeCell ref="AC258:AC265"/>
    <mergeCell ref="AD258:AD265"/>
    <mergeCell ref="AE258:AE265"/>
    <mergeCell ref="AF258:AF265"/>
    <mergeCell ref="AG258:AG265"/>
    <mergeCell ref="AH258:AH265"/>
    <mergeCell ref="AI258:AI265"/>
    <mergeCell ref="AJ258:AJ265"/>
    <mergeCell ref="AK258:AK265"/>
    <mergeCell ref="AL258:AL265"/>
    <mergeCell ref="AM258:AM265"/>
    <mergeCell ref="AN258:AN265"/>
    <mergeCell ref="AO258:AO265"/>
    <mergeCell ref="AP258:AP265"/>
    <mergeCell ref="AQ258:AQ265"/>
    <mergeCell ref="AR258:AR265"/>
    <mergeCell ref="AS258:AS265"/>
    <mergeCell ref="AT258:AT265"/>
    <mergeCell ref="AU258:AU265"/>
    <mergeCell ref="AV258:AV265"/>
    <mergeCell ref="AW258:AW265"/>
    <mergeCell ref="AX258:AX265"/>
    <mergeCell ref="AY258:AY265"/>
    <mergeCell ref="AZ258:AZ265"/>
    <mergeCell ref="BA258:BA265"/>
    <mergeCell ref="BB258:BB265"/>
    <mergeCell ref="BC258:BC265"/>
    <mergeCell ref="BD258:BD265"/>
    <mergeCell ref="BE258:BE265"/>
    <mergeCell ref="BF258:BF265"/>
    <mergeCell ref="BG258:BG265"/>
    <mergeCell ref="A266:A267"/>
    <mergeCell ref="B266:B267"/>
    <mergeCell ref="C266:C267"/>
    <mergeCell ref="D266:D267"/>
    <mergeCell ref="E266:E267"/>
    <mergeCell ref="F266:F267"/>
    <mergeCell ref="G266:G267"/>
    <mergeCell ref="H266:H267"/>
    <mergeCell ref="I266:I267"/>
    <mergeCell ref="J266:J267"/>
    <mergeCell ref="K266:K267"/>
    <mergeCell ref="L266:L267"/>
    <mergeCell ref="M266:M267"/>
    <mergeCell ref="N266:N267"/>
    <mergeCell ref="O266:O267"/>
    <mergeCell ref="P266:P267"/>
    <mergeCell ref="Q266:Q267"/>
    <mergeCell ref="R266:R267"/>
    <mergeCell ref="S266:S267"/>
    <mergeCell ref="T266:T267"/>
    <mergeCell ref="U266:U267"/>
    <mergeCell ref="V266:V267"/>
    <mergeCell ref="W266:W267"/>
    <mergeCell ref="X266:X267"/>
    <mergeCell ref="Y266:Y267"/>
    <mergeCell ref="Z266:Z267"/>
    <mergeCell ref="AA266:AA267"/>
    <mergeCell ref="AB266:AB267"/>
    <mergeCell ref="AC266:AC267"/>
    <mergeCell ref="AD266:AD267"/>
    <mergeCell ref="AE266:AE267"/>
    <mergeCell ref="AF266:AF267"/>
    <mergeCell ref="AG266:AG267"/>
    <mergeCell ref="AH266:AH267"/>
    <mergeCell ref="AI266:AI267"/>
    <mergeCell ref="AJ266:AJ267"/>
    <mergeCell ref="AK266:AK267"/>
    <mergeCell ref="AL266:AL267"/>
    <mergeCell ref="AM266:AM267"/>
    <mergeCell ref="AN266:AN267"/>
    <mergeCell ref="AO266:AO267"/>
    <mergeCell ref="AP266:AP267"/>
    <mergeCell ref="AQ266:AQ267"/>
    <mergeCell ref="AR266:AR267"/>
    <mergeCell ref="AS266:AS267"/>
    <mergeCell ref="AT266:AT267"/>
    <mergeCell ref="AU266:AU267"/>
    <mergeCell ref="AV266:AV267"/>
    <mergeCell ref="AW266:AW267"/>
    <mergeCell ref="AX266:AX267"/>
    <mergeCell ref="AY266:AY267"/>
    <mergeCell ref="AZ266:AZ267"/>
    <mergeCell ref="BA266:BA267"/>
    <mergeCell ref="BB266:BB267"/>
    <mergeCell ref="BC266:BC267"/>
    <mergeCell ref="BD266:BD267"/>
    <mergeCell ref="BE266:BE267"/>
    <mergeCell ref="BF266:BF267"/>
    <mergeCell ref="BG266:BG267"/>
    <mergeCell ref="A270:A272"/>
    <mergeCell ref="B270:B272"/>
    <mergeCell ref="C270:C272"/>
    <mergeCell ref="D270:D272"/>
    <mergeCell ref="E270:E272"/>
    <mergeCell ref="F270:F272"/>
    <mergeCell ref="G270:G272"/>
    <mergeCell ref="H270:H272"/>
    <mergeCell ref="I270:I272"/>
    <mergeCell ref="J270:J272"/>
    <mergeCell ref="K270:K272"/>
    <mergeCell ref="L270:L272"/>
    <mergeCell ref="M270:M272"/>
    <mergeCell ref="N270:N272"/>
    <mergeCell ref="O270:O272"/>
    <mergeCell ref="P270:P272"/>
    <mergeCell ref="Q270:Q272"/>
    <mergeCell ref="R270:R272"/>
    <mergeCell ref="S270:S272"/>
    <mergeCell ref="T270:T272"/>
    <mergeCell ref="U270:U272"/>
    <mergeCell ref="V270:V272"/>
    <mergeCell ref="W270:W272"/>
    <mergeCell ref="X270:X272"/>
    <mergeCell ref="Y270:Y272"/>
    <mergeCell ref="Z270:Z272"/>
    <mergeCell ref="AA270:AA272"/>
    <mergeCell ref="AB270:AB272"/>
    <mergeCell ref="AC270:AC272"/>
    <mergeCell ref="AD270:AD272"/>
    <mergeCell ref="AE270:AE272"/>
    <mergeCell ref="AF270:AF272"/>
    <mergeCell ref="AG270:AG272"/>
    <mergeCell ref="AH270:AH272"/>
    <mergeCell ref="AI270:AI272"/>
    <mergeCell ref="AJ270:AJ272"/>
    <mergeCell ref="AK270:AK272"/>
    <mergeCell ref="AL270:AL272"/>
    <mergeCell ref="AM270:AM272"/>
    <mergeCell ref="AN270:AN272"/>
    <mergeCell ref="AO270:AO272"/>
    <mergeCell ref="AP270:AP272"/>
    <mergeCell ref="AQ270:AQ272"/>
    <mergeCell ref="AR270:AR272"/>
    <mergeCell ref="AS270:AS272"/>
    <mergeCell ref="AT270:AT272"/>
    <mergeCell ref="AU270:AU272"/>
    <mergeCell ref="AV270:AV272"/>
    <mergeCell ref="AW270:AW272"/>
    <mergeCell ref="AX270:AX272"/>
    <mergeCell ref="AY270:AY272"/>
    <mergeCell ref="AZ270:AZ272"/>
    <mergeCell ref="BA270:BA272"/>
    <mergeCell ref="BB270:BB272"/>
    <mergeCell ref="BC270:BC272"/>
    <mergeCell ref="BD270:BD272"/>
    <mergeCell ref="BE270:BE272"/>
    <mergeCell ref="BF270:BF272"/>
    <mergeCell ref="BG270:BG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N273:N276"/>
    <mergeCell ref="O273:O276"/>
    <mergeCell ref="P273:P276"/>
    <mergeCell ref="Q273:Q276"/>
    <mergeCell ref="R273:R276"/>
    <mergeCell ref="S273:S276"/>
    <mergeCell ref="T273:T276"/>
    <mergeCell ref="U273:U276"/>
    <mergeCell ref="V273:V276"/>
    <mergeCell ref="W273:W276"/>
    <mergeCell ref="X273:X276"/>
    <mergeCell ref="Y273:Y276"/>
    <mergeCell ref="Z273:Z276"/>
    <mergeCell ref="AA273:AA276"/>
    <mergeCell ref="AB273:AB276"/>
    <mergeCell ref="AC273:AC276"/>
    <mergeCell ref="AD273:AD276"/>
    <mergeCell ref="AE273:AE276"/>
    <mergeCell ref="AF273:AF276"/>
    <mergeCell ref="AG273:AG276"/>
    <mergeCell ref="AH273:AH276"/>
    <mergeCell ref="AI273:AI276"/>
    <mergeCell ref="AJ273:AJ276"/>
    <mergeCell ref="AK273:AK276"/>
    <mergeCell ref="AL273:AL276"/>
    <mergeCell ref="AM273:AM276"/>
    <mergeCell ref="AN273:AN276"/>
    <mergeCell ref="AO273:AO276"/>
    <mergeCell ref="AP273:AP276"/>
    <mergeCell ref="AQ273:AQ276"/>
    <mergeCell ref="AR273:AR276"/>
    <mergeCell ref="AS273:AS276"/>
    <mergeCell ref="AT273:AT276"/>
    <mergeCell ref="AU273:AU276"/>
    <mergeCell ref="AV273:AV276"/>
    <mergeCell ref="AW273:AW276"/>
    <mergeCell ref="AX273:AX276"/>
    <mergeCell ref="AY273:AY276"/>
    <mergeCell ref="AZ273:AZ276"/>
    <mergeCell ref="BA273:BA276"/>
    <mergeCell ref="BB273:BB276"/>
    <mergeCell ref="BC273:BC276"/>
    <mergeCell ref="BD273:BD276"/>
    <mergeCell ref="BE273:BE276"/>
    <mergeCell ref="BF273:BF276"/>
    <mergeCell ref="BG273:BG276"/>
    <mergeCell ref="A279:A280"/>
    <mergeCell ref="B279:B280"/>
    <mergeCell ref="C279:C280"/>
    <mergeCell ref="D279:D280"/>
    <mergeCell ref="E279:E280"/>
    <mergeCell ref="F279:F280"/>
    <mergeCell ref="G279:G280"/>
    <mergeCell ref="H279:H280"/>
    <mergeCell ref="I279:I280"/>
    <mergeCell ref="J279:J280"/>
    <mergeCell ref="K279:K280"/>
    <mergeCell ref="L279:L280"/>
    <mergeCell ref="M279:M280"/>
    <mergeCell ref="N279:N280"/>
    <mergeCell ref="O279:O280"/>
    <mergeCell ref="P279:P280"/>
    <mergeCell ref="Q279:Q280"/>
    <mergeCell ref="R279:R280"/>
    <mergeCell ref="S279:S280"/>
    <mergeCell ref="T279:T280"/>
    <mergeCell ref="U279:U280"/>
    <mergeCell ref="V279:V280"/>
    <mergeCell ref="W279:W280"/>
    <mergeCell ref="X279:X280"/>
    <mergeCell ref="Y279:Y280"/>
    <mergeCell ref="Z279:Z280"/>
    <mergeCell ref="AA279:AA280"/>
    <mergeCell ref="AB279:AB280"/>
    <mergeCell ref="AC279:AC280"/>
    <mergeCell ref="AD279:AD280"/>
    <mergeCell ref="AE279:AE280"/>
    <mergeCell ref="AF279:AF280"/>
    <mergeCell ref="AG279:AG280"/>
    <mergeCell ref="AH279:AH280"/>
    <mergeCell ref="AI279:AI280"/>
    <mergeCell ref="AJ279:AJ280"/>
    <mergeCell ref="AK279:AK280"/>
    <mergeCell ref="AL279:AL280"/>
    <mergeCell ref="AM279:AM280"/>
    <mergeCell ref="AN279:AN280"/>
    <mergeCell ref="AO279:AO280"/>
    <mergeCell ref="AP279:AP280"/>
    <mergeCell ref="AQ279:AQ280"/>
    <mergeCell ref="AR279:AR280"/>
    <mergeCell ref="AS279:AS280"/>
    <mergeCell ref="AT279:AT280"/>
    <mergeCell ref="AU279:AU280"/>
    <mergeCell ref="AV279:AV280"/>
    <mergeCell ref="AW279:AW280"/>
    <mergeCell ref="AX279:AX280"/>
    <mergeCell ref="AY279:AY280"/>
    <mergeCell ref="AZ279:AZ280"/>
    <mergeCell ref="BA279:BA280"/>
    <mergeCell ref="BB279:BB280"/>
    <mergeCell ref="BC279:BC280"/>
    <mergeCell ref="BD279:BD280"/>
    <mergeCell ref="BE279:BE280"/>
    <mergeCell ref="BF279:BF280"/>
    <mergeCell ref="BG279:BG280"/>
    <mergeCell ref="A281:A285"/>
    <mergeCell ref="B281:B285"/>
    <mergeCell ref="C281:C285"/>
    <mergeCell ref="D281:D285"/>
    <mergeCell ref="E281:E285"/>
    <mergeCell ref="F281:F285"/>
    <mergeCell ref="G281:G285"/>
    <mergeCell ref="H281:H285"/>
    <mergeCell ref="I281:I285"/>
    <mergeCell ref="J281:J285"/>
    <mergeCell ref="K281:K285"/>
    <mergeCell ref="L281:L285"/>
    <mergeCell ref="M281:M285"/>
    <mergeCell ref="N281:N285"/>
    <mergeCell ref="O281:O285"/>
    <mergeCell ref="P281:P285"/>
    <mergeCell ref="Q281:Q285"/>
    <mergeCell ref="R281:R285"/>
    <mergeCell ref="S281:S285"/>
    <mergeCell ref="T281:T285"/>
    <mergeCell ref="U281:U285"/>
    <mergeCell ref="V281:V285"/>
    <mergeCell ref="W281:W285"/>
    <mergeCell ref="X281:X285"/>
    <mergeCell ref="Y281:Y285"/>
    <mergeCell ref="Z281:Z285"/>
    <mergeCell ref="AA281:AA285"/>
    <mergeCell ref="AB281:AB285"/>
    <mergeCell ref="AC281:AC285"/>
    <mergeCell ref="AD281:AD285"/>
    <mergeCell ref="AE281:AE285"/>
    <mergeCell ref="AF281:AF285"/>
    <mergeCell ref="AG281:AG285"/>
    <mergeCell ref="AH281:AH285"/>
    <mergeCell ref="AI281:AI285"/>
    <mergeCell ref="AJ281:AJ285"/>
    <mergeCell ref="AK281:AK285"/>
    <mergeCell ref="AL281:AL285"/>
    <mergeCell ref="AM281:AM285"/>
    <mergeCell ref="AN281:AN285"/>
    <mergeCell ref="AO281:AO285"/>
    <mergeCell ref="AP281:AP285"/>
    <mergeCell ref="AQ281:AQ285"/>
    <mergeCell ref="AR281:AR285"/>
    <mergeCell ref="AS281:AS285"/>
    <mergeCell ref="AT281:AT285"/>
    <mergeCell ref="AU281:AU285"/>
    <mergeCell ref="AV281:AV285"/>
    <mergeCell ref="AW281:AW285"/>
    <mergeCell ref="AX281:AX285"/>
    <mergeCell ref="AY281:AY285"/>
    <mergeCell ref="AZ281:AZ285"/>
    <mergeCell ref="BA281:BA285"/>
    <mergeCell ref="BB281:BB285"/>
    <mergeCell ref="BC281:BC285"/>
    <mergeCell ref="BD281:BD285"/>
    <mergeCell ref="BE281:BE285"/>
    <mergeCell ref="BF281:BF285"/>
    <mergeCell ref="BG281:BG285"/>
    <mergeCell ref="A286:A288"/>
    <mergeCell ref="B286:B288"/>
    <mergeCell ref="C286:C288"/>
    <mergeCell ref="D286:D288"/>
    <mergeCell ref="E286:E288"/>
    <mergeCell ref="F286:F288"/>
    <mergeCell ref="G286:G288"/>
    <mergeCell ref="H286:H288"/>
    <mergeCell ref="I286:I288"/>
    <mergeCell ref="J286:J288"/>
    <mergeCell ref="K286:K288"/>
    <mergeCell ref="L286:L288"/>
    <mergeCell ref="M286:M288"/>
    <mergeCell ref="N286:N288"/>
    <mergeCell ref="O286:O288"/>
    <mergeCell ref="P286:P288"/>
    <mergeCell ref="Q286:Q288"/>
    <mergeCell ref="R286:R288"/>
    <mergeCell ref="S286:S288"/>
    <mergeCell ref="T286:T288"/>
    <mergeCell ref="U286:U288"/>
    <mergeCell ref="V286:V288"/>
    <mergeCell ref="W286:W288"/>
    <mergeCell ref="X286:X288"/>
    <mergeCell ref="Y286:Y288"/>
    <mergeCell ref="Z286:Z288"/>
    <mergeCell ref="AA286:AA288"/>
    <mergeCell ref="AB286:AB288"/>
    <mergeCell ref="AC286:AC288"/>
    <mergeCell ref="AD286:AD288"/>
    <mergeCell ref="AE286:AE288"/>
    <mergeCell ref="AF286:AF288"/>
    <mergeCell ref="AG286:AG288"/>
    <mergeCell ref="AH286:AH288"/>
    <mergeCell ref="AI286:AI288"/>
    <mergeCell ref="AJ286:AJ288"/>
    <mergeCell ref="AK286:AK288"/>
    <mergeCell ref="AL286:AL288"/>
    <mergeCell ref="AM286:AM288"/>
    <mergeCell ref="AN286:AN288"/>
    <mergeCell ref="AO286:AO288"/>
    <mergeCell ref="AP286:AP288"/>
    <mergeCell ref="AQ286:AQ288"/>
    <mergeCell ref="AR286:AR288"/>
    <mergeCell ref="AS286:AS288"/>
    <mergeCell ref="AT286:AT288"/>
    <mergeCell ref="AU286:AU288"/>
    <mergeCell ref="AV286:AV288"/>
    <mergeCell ref="AW286:AW288"/>
    <mergeCell ref="AX286:AX288"/>
    <mergeCell ref="AY286:AY288"/>
    <mergeCell ref="AZ286:AZ288"/>
    <mergeCell ref="BA286:BA288"/>
    <mergeCell ref="BB286:BB288"/>
    <mergeCell ref="BC286:BC288"/>
    <mergeCell ref="BD286:BD288"/>
    <mergeCell ref="BE286:BE288"/>
    <mergeCell ref="BF286:BF288"/>
    <mergeCell ref="BG286:BG288"/>
    <mergeCell ref="A292:A293"/>
    <mergeCell ref="B292:B293"/>
    <mergeCell ref="C292:C293"/>
    <mergeCell ref="D292:D293"/>
    <mergeCell ref="E292:E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X292:AX293"/>
    <mergeCell ref="AY292:AY293"/>
    <mergeCell ref="AZ292:AZ293"/>
    <mergeCell ref="BA292:BA293"/>
    <mergeCell ref="BB292:BB293"/>
    <mergeCell ref="BC292:BC293"/>
    <mergeCell ref="BD292:BD293"/>
    <mergeCell ref="BE292:BE293"/>
    <mergeCell ref="BF292:BF293"/>
    <mergeCell ref="BG292:BG293"/>
    <mergeCell ref="A294:A295"/>
    <mergeCell ref="B294:B295"/>
    <mergeCell ref="C294:C295"/>
    <mergeCell ref="D294:D295"/>
    <mergeCell ref="E294:E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X294:AX295"/>
    <mergeCell ref="AY294:AY295"/>
    <mergeCell ref="AZ294:AZ295"/>
    <mergeCell ref="BA294:BA295"/>
    <mergeCell ref="BB294:BB295"/>
    <mergeCell ref="BC294:BC295"/>
    <mergeCell ref="BD294:BD295"/>
    <mergeCell ref="BE294:BE295"/>
    <mergeCell ref="BF294:BF295"/>
    <mergeCell ref="BG294:BG295"/>
    <mergeCell ref="A301:A305"/>
    <mergeCell ref="B301:B305"/>
    <mergeCell ref="C301:C305"/>
    <mergeCell ref="D301:D305"/>
    <mergeCell ref="E301:E305"/>
    <mergeCell ref="F301:F305"/>
    <mergeCell ref="G301:G305"/>
    <mergeCell ref="H301:H305"/>
    <mergeCell ref="I301:I305"/>
    <mergeCell ref="J301:J305"/>
    <mergeCell ref="K301:K305"/>
    <mergeCell ref="L301:L305"/>
    <mergeCell ref="M301:M305"/>
    <mergeCell ref="N301:N305"/>
    <mergeCell ref="O301:O305"/>
    <mergeCell ref="P301:P305"/>
    <mergeCell ref="Q301:Q305"/>
    <mergeCell ref="R301:R305"/>
    <mergeCell ref="S301:S305"/>
    <mergeCell ref="T301:T305"/>
    <mergeCell ref="U301:U305"/>
    <mergeCell ref="V301:V305"/>
    <mergeCell ref="W301:W305"/>
    <mergeCell ref="X301:X305"/>
    <mergeCell ref="Y301:Y305"/>
    <mergeCell ref="Z301:Z305"/>
    <mergeCell ref="AA301:AA305"/>
    <mergeCell ref="AB301:AB305"/>
    <mergeCell ref="AC301:AC305"/>
    <mergeCell ref="AD301:AD305"/>
    <mergeCell ref="AE301:AE305"/>
    <mergeCell ref="AF301:AF305"/>
    <mergeCell ref="AG301:AG305"/>
    <mergeCell ref="AH301:AH305"/>
    <mergeCell ref="AI301:AI305"/>
    <mergeCell ref="AJ301:AJ305"/>
    <mergeCell ref="AK301:AK305"/>
    <mergeCell ref="AL301:AL305"/>
    <mergeCell ref="AM301:AM305"/>
    <mergeCell ref="AN301:AN305"/>
    <mergeCell ref="AO301:AO305"/>
    <mergeCell ref="AP301:AP305"/>
    <mergeCell ref="AQ301:AQ305"/>
    <mergeCell ref="AR301:AR305"/>
    <mergeCell ref="AS301:AS305"/>
    <mergeCell ref="AT301:AT305"/>
    <mergeCell ref="AU301:AU305"/>
    <mergeCell ref="AV301:AV305"/>
    <mergeCell ref="AW301:AW305"/>
    <mergeCell ref="AX301:AX305"/>
    <mergeCell ref="AY301:AY305"/>
    <mergeCell ref="AZ301:AZ305"/>
    <mergeCell ref="BA301:BA305"/>
    <mergeCell ref="BB301:BB305"/>
    <mergeCell ref="BC301:BC305"/>
    <mergeCell ref="BD301:BD305"/>
    <mergeCell ref="BE301:BE305"/>
    <mergeCell ref="BF301:BF305"/>
    <mergeCell ref="BG301:BG305"/>
    <mergeCell ref="A308:A309"/>
    <mergeCell ref="B308:B309"/>
    <mergeCell ref="C308:C309"/>
    <mergeCell ref="D308:D309"/>
    <mergeCell ref="E308:E309"/>
    <mergeCell ref="F308:F309"/>
    <mergeCell ref="G308:G309"/>
    <mergeCell ref="H308:H309"/>
    <mergeCell ref="I308:I309"/>
    <mergeCell ref="J308:J309"/>
    <mergeCell ref="K308:K309"/>
    <mergeCell ref="L308:L309"/>
    <mergeCell ref="M308:M309"/>
    <mergeCell ref="N308:N309"/>
    <mergeCell ref="O308:O309"/>
    <mergeCell ref="P308:P309"/>
    <mergeCell ref="Q308:Q309"/>
    <mergeCell ref="R308:R309"/>
    <mergeCell ref="S308:S309"/>
    <mergeCell ref="T308:T309"/>
    <mergeCell ref="U308:U309"/>
    <mergeCell ref="V308:V309"/>
    <mergeCell ref="W308:W309"/>
    <mergeCell ref="X308:X309"/>
    <mergeCell ref="Y308:Y309"/>
    <mergeCell ref="Z308:Z309"/>
    <mergeCell ref="AA308:AA309"/>
    <mergeCell ref="AB308:AB309"/>
    <mergeCell ref="AC308:AC309"/>
    <mergeCell ref="AD308:AD309"/>
    <mergeCell ref="AE308:AE309"/>
    <mergeCell ref="AF308:AF309"/>
    <mergeCell ref="AG308:AG309"/>
    <mergeCell ref="AH308:AH309"/>
    <mergeCell ref="AI308:AI309"/>
    <mergeCell ref="AJ308:AJ309"/>
    <mergeCell ref="AK308:AK309"/>
    <mergeCell ref="AL308:AL309"/>
    <mergeCell ref="AM308:AM309"/>
    <mergeCell ref="AN308:AN309"/>
    <mergeCell ref="AO308:AO309"/>
    <mergeCell ref="AP308:AP309"/>
    <mergeCell ref="AQ308:AQ309"/>
    <mergeCell ref="AR308:AR309"/>
    <mergeCell ref="AS308:AS309"/>
    <mergeCell ref="AT308:AT309"/>
    <mergeCell ref="AU308:AU309"/>
    <mergeCell ref="AV308:AV309"/>
    <mergeCell ref="AW308:AW309"/>
    <mergeCell ref="AX308:AX309"/>
    <mergeCell ref="AY308:AY309"/>
    <mergeCell ref="AZ308:AZ309"/>
    <mergeCell ref="BA308:BA309"/>
    <mergeCell ref="BB308:BB309"/>
    <mergeCell ref="BC308:BC309"/>
    <mergeCell ref="BD308:BD309"/>
    <mergeCell ref="BE308:BE309"/>
    <mergeCell ref="BF308:BF309"/>
    <mergeCell ref="BG308:BG309"/>
    <mergeCell ref="A311:A316"/>
    <mergeCell ref="B311:B316"/>
    <mergeCell ref="C311:C316"/>
    <mergeCell ref="D311:D316"/>
    <mergeCell ref="E311:E316"/>
    <mergeCell ref="F311:F316"/>
    <mergeCell ref="G311:G316"/>
    <mergeCell ref="H311:H316"/>
    <mergeCell ref="I311:I316"/>
    <mergeCell ref="J311:J316"/>
    <mergeCell ref="K311:K316"/>
    <mergeCell ref="L311:L316"/>
    <mergeCell ref="M311:M316"/>
    <mergeCell ref="N311:N316"/>
    <mergeCell ref="O311:O316"/>
    <mergeCell ref="P311:P316"/>
    <mergeCell ref="Q311:Q316"/>
    <mergeCell ref="R311:R316"/>
    <mergeCell ref="S311:S316"/>
    <mergeCell ref="T311:T316"/>
    <mergeCell ref="U311:U316"/>
    <mergeCell ref="V311:V316"/>
    <mergeCell ref="W311:W316"/>
    <mergeCell ref="X311:X316"/>
    <mergeCell ref="Y311:Y316"/>
    <mergeCell ref="Z311:Z316"/>
    <mergeCell ref="AA311:AA316"/>
    <mergeCell ref="AB311:AB316"/>
    <mergeCell ref="AC311:AC316"/>
    <mergeCell ref="AD311:AD316"/>
    <mergeCell ref="AE311:AE316"/>
    <mergeCell ref="AF311:AF316"/>
    <mergeCell ref="AG311:AG316"/>
    <mergeCell ref="AH311:AH316"/>
    <mergeCell ref="AI311:AI316"/>
    <mergeCell ref="AJ311:AJ316"/>
    <mergeCell ref="AK311:AK316"/>
    <mergeCell ref="AL311:AL316"/>
    <mergeCell ref="AM311:AM316"/>
    <mergeCell ref="AN311:AN316"/>
    <mergeCell ref="AO311:AO316"/>
    <mergeCell ref="AP311:AP316"/>
    <mergeCell ref="AQ311:AQ316"/>
    <mergeCell ref="AR311:AR316"/>
    <mergeCell ref="AS311:AS316"/>
    <mergeCell ref="AT311:AT316"/>
    <mergeCell ref="AU311:AU316"/>
    <mergeCell ref="AV311:AV316"/>
    <mergeCell ref="AW311:AW316"/>
    <mergeCell ref="AX311:AX316"/>
    <mergeCell ref="AY311:AY316"/>
    <mergeCell ref="AZ311:AZ316"/>
    <mergeCell ref="BA311:BA316"/>
    <mergeCell ref="BB311:BB316"/>
    <mergeCell ref="BC311:BC316"/>
    <mergeCell ref="BD311:BD316"/>
    <mergeCell ref="BE311:BE316"/>
    <mergeCell ref="BF311:BF316"/>
    <mergeCell ref="BG311:BG316"/>
    <mergeCell ref="A317:A318"/>
    <mergeCell ref="B317:B318"/>
    <mergeCell ref="C317:C318"/>
    <mergeCell ref="D317:D318"/>
    <mergeCell ref="E317:E318"/>
    <mergeCell ref="F317:F318"/>
    <mergeCell ref="G317:G318"/>
    <mergeCell ref="H317:H318"/>
    <mergeCell ref="I317:I318"/>
    <mergeCell ref="J317:J318"/>
    <mergeCell ref="K317:K318"/>
    <mergeCell ref="L317:L318"/>
    <mergeCell ref="M317:M318"/>
    <mergeCell ref="N317:N318"/>
    <mergeCell ref="O317:O318"/>
    <mergeCell ref="P317:P318"/>
    <mergeCell ref="Q317:Q318"/>
    <mergeCell ref="R317:R318"/>
    <mergeCell ref="S317:S318"/>
    <mergeCell ref="T317:T318"/>
    <mergeCell ref="U317:U318"/>
    <mergeCell ref="V317:V318"/>
    <mergeCell ref="W317:W318"/>
    <mergeCell ref="X317:X318"/>
    <mergeCell ref="Y317:Y318"/>
    <mergeCell ref="Z317:Z318"/>
    <mergeCell ref="AA317:AA318"/>
    <mergeCell ref="AB317:AB318"/>
    <mergeCell ref="AC317:AC318"/>
    <mergeCell ref="AD317:AD318"/>
    <mergeCell ref="AE317:AE318"/>
    <mergeCell ref="AF317:AF318"/>
    <mergeCell ref="AG317:AG318"/>
    <mergeCell ref="AH317:AH318"/>
    <mergeCell ref="AI317:AI318"/>
    <mergeCell ref="AJ317:AJ318"/>
    <mergeCell ref="AK317:AK318"/>
    <mergeCell ref="AL317:AL318"/>
    <mergeCell ref="AM317:AM318"/>
    <mergeCell ref="AN317:AN318"/>
    <mergeCell ref="AO317:AO318"/>
    <mergeCell ref="AP317:AP318"/>
    <mergeCell ref="AQ317:AQ318"/>
    <mergeCell ref="AR317:AR318"/>
    <mergeCell ref="AS317:AS318"/>
    <mergeCell ref="AT317:AT318"/>
    <mergeCell ref="AU317:AU318"/>
    <mergeCell ref="AV317:AV318"/>
    <mergeCell ref="AW317:AW318"/>
    <mergeCell ref="AX317:AX318"/>
    <mergeCell ref="AY317:AY318"/>
    <mergeCell ref="AZ317:AZ318"/>
    <mergeCell ref="BA317:BA318"/>
    <mergeCell ref="BB317:BB318"/>
    <mergeCell ref="BC317:BC318"/>
    <mergeCell ref="BD317:BD318"/>
    <mergeCell ref="BE317:BE318"/>
    <mergeCell ref="BF317:BF318"/>
    <mergeCell ref="BG317:BG318"/>
    <mergeCell ref="A320:A323"/>
    <mergeCell ref="B320:B323"/>
    <mergeCell ref="C320:C323"/>
    <mergeCell ref="D320:D323"/>
    <mergeCell ref="E320:E323"/>
    <mergeCell ref="F320:F323"/>
    <mergeCell ref="G320:G323"/>
    <mergeCell ref="H320:H323"/>
    <mergeCell ref="I320:I323"/>
    <mergeCell ref="J320:J323"/>
    <mergeCell ref="K320:K323"/>
    <mergeCell ref="L320:L323"/>
    <mergeCell ref="M320:M323"/>
    <mergeCell ref="N320:N323"/>
    <mergeCell ref="O320:O323"/>
    <mergeCell ref="P320:P323"/>
    <mergeCell ref="Q320:Q323"/>
    <mergeCell ref="R320:R323"/>
    <mergeCell ref="S320:S323"/>
    <mergeCell ref="T320:T323"/>
    <mergeCell ref="U320:U323"/>
    <mergeCell ref="V320:V323"/>
    <mergeCell ref="W320:W323"/>
    <mergeCell ref="X320:X323"/>
    <mergeCell ref="Y320:Y323"/>
    <mergeCell ref="Z320:Z323"/>
    <mergeCell ref="AA320:AA323"/>
    <mergeCell ref="AB320:AB323"/>
    <mergeCell ref="AC320:AC323"/>
    <mergeCell ref="AD320:AD323"/>
    <mergeCell ref="AE320:AE323"/>
    <mergeCell ref="AF320:AF323"/>
    <mergeCell ref="AG320:AG323"/>
    <mergeCell ref="AH320:AH323"/>
    <mergeCell ref="AI320:AI323"/>
    <mergeCell ref="AJ320:AJ323"/>
    <mergeCell ref="AK320:AK323"/>
    <mergeCell ref="AL320:AL323"/>
    <mergeCell ref="AM320:AM323"/>
    <mergeCell ref="AN320:AN323"/>
    <mergeCell ref="AO320:AO323"/>
    <mergeCell ref="AP320:AP323"/>
    <mergeCell ref="AQ320:AQ323"/>
    <mergeCell ref="AR320:AR323"/>
    <mergeCell ref="AS320:AS323"/>
    <mergeCell ref="AT320:AT323"/>
    <mergeCell ref="AU320:AU323"/>
    <mergeCell ref="AV320:AV323"/>
    <mergeCell ref="AW320:AW323"/>
    <mergeCell ref="AX320:AX323"/>
    <mergeCell ref="AY320:AY323"/>
    <mergeCell ref="AZ320:AZ323"/>
    <mergeCell ref="BA320:BA323"/>
    <mergeCell ref="BB320:BB323"/>
    <mergeCell ref="BC320:BC323"/>
    <mergeCell ref="BD320:BD323"/>
    <mergeCell ref="BE320:BE323"/>
    <mergeCell ref="BF320:BF323"/>
    <mergeCell ref="BG320:BG323"/>
    <mergeCell ref="A324:A325"/>
    <mergeCell ref="B324:B325"/>
    <mergeCell ref="C324:C325"/>
    <mergeCell ref="D324:D325"/>
    <mergeCell ref="E324:E325"/>
    <mergeCell ref="F324:F325"/>
    <mergeCell ref="G324:G325"/>
    <mergeCell ref="H324:H325"/>
    <mergeCell ref="I324:I325"/>
    <mergeCell ref="J324:J325"/>
    <mergeCell ref="K324:K325"/>
    <mergeCell ref="L324:L325"/>
    <mergeCell ref="M324:M325"/>
    <mergeCell ref="N324:N325"/>
    <mergeCell ref="O324:O325"/>
    <mergeCell ref="P324:P325"/>
    <mergeCell ref="Q324:Q325"/>
    <mergeCell ref="R324:R325"/>
    <mergeCell ref="S324:S325"/>
    <mergeCell ref="T324:T325"/>
    <mergeCell ref="U324:U325"/>
    <mergeCell ref="V324:V325"/>
    <mergeCell ref="W324:W325"/>
    <mergeCell ref="X324:X325"/>
    <mergeCell ref="Y324:Y325"/>
    <mergeCell ref="Z324:Z325"/>
    <mergeCell ref="AA324:AA325"/>
    <mergeCell ref="AB324:AB325"/>
    <mergeCell ref="AC324:AC325"/>
    <mergeCell ref="AD324:AD325"/>
    <mergeCell ref="AE324:AE325"/>
    <mergeCell ref="AF324:AF325"/>
    <mergeCell ref="AG324:AG325"/>
    <mergeCell ref="AH324:AH325"/>
    <mergeCell ref="AI324:AI325"/>
    <mergeCell ref="AJ324:AJ325"/>
    <mergeCell ref="AK324:AK325"/>
    <mergeCell ref="AL324:AL325"/>
    <mergeCell ref="AM324:AM325"/>
    <mergeCell ref="AN324:AN325"/>
    <mergeCell ref="AO324:AO325"/>
    <mergeCell ref="AP324:AP325"/>
    <mergeCell ref="AQ324:AQ325"/>
    <mergeCell ref="AR324:AR325"/>
    <mergeCell ref="AS324:AS325"/>
    <mergeCell ref="AT324:AT325"/>
    <mergeCell ref="AU324:AU325"/>
    <mergeCell ref="AV324:AV325"/>
    <mergeCell ref="AW324:AW325"/>
    <mergeCell ref="AX324:AX325"/>
    <mergeCell ref="AY324:AY325"/>
    <mergeCell ref="AZ324:AZ325"/>
    <mergeCell ref="BA324:BA325"/>
    <mergeCell ref="BB324:BB325"/>
    <mergeCell ref="BC324:BC325"/>
    <mergeCell ref="BD324:BD325"/>
    <mergeCell ref="BE324:BE325"/>
    <mergeCell ref="BF324:BF325"/>
    <mergeCell ref="BG324:BG325"/>
    <mergeCell ref="A328:A332"/>
    <mergeCell ref="B328:B332"/>
    <mergeCell ref="C328:C332"/>
    <mergeCell ref="D328:D332"/>
    <mergeCell ref="E328:E332"/>
    <mergeCell ref="F328:F332"/>
    <mergeCell ref="G328:G332"/>
    <mergeCell ref="H328:H332"/>
    <mergeCell ref="I328:I332"/>
    <mergeCell ref="J328:J332"/>
    <mergeCell ref="K328:K332"/>
    <mergeCell ref="L328:L332"/>
    <mergeCell ref="M328:M332"/>
    <mergeCell ref="N328:N332"/>
    <mergeCell ref="O328:O332"/>
    <mergeCell ref="P328:P332"/>
    <mergeCell ref="Q328:Q332"/>
    <mergeCell ref="R328:R332"/>
    <mergeCell ref="S328:S332"/>
    <mergeCell ref="T328:T332"/>
    <mergeCell ref="U328:U332"/>
    <mergeCell ref="V328:V332"/>
    <mergeCell ref="W328:W332"/>
    <mergeCell ref="X328:X332"/>
    <mergeCell ref="Y328:Y332"/>
    <mergeCell ref="Z328:Z332"/>
    <mergeCell ref="AA328:AA332"/>
    <mergeCell ref="AB328:AB332"/>
    <mergeCell ref="AC328:AC332"/>
    <mergeCell ref="AD328:AD332"/>
    <mergeCell ref="AE328:AE332"/>
    <mergeCell ref="AF328:AF332"/>
    <mergeCell ref="AG328:AG332"/>
    <mergeCell ref="AH328:AH332"/>
    <mergeCell ref="AI328:AI332"/>
    <mergeCell ref="AJ328:AJ332"/>
    <mergeCell ref="AK328:AK332"/>
    <mergeCell ref="AL328:AL332"/>
    <mergeCell ref="AM328:AM332"/>
    <mergeCell ref="AN328:AN332"/>
    <mergeCell ref="AO328:AO332"/>
    <mergeCell ref="AP328:AP332"/>
    <mergeCell ref="AQ328:AQ332"/>
    <mergeCell ref="AR328:AR332"/>
    <mergeCell ref="AS328:AS332"/>
    <mergeCell ref="AT328:AT332"/>
    <mergeCell ref="AU328:AU332"/>
    <mergeCell ref="AV328:AV332"/>
    <mergeCell ref="AW328:AW332"/>
    <mergeCell ref="AX328:AX332"/>
    <mergeCell ref="AY328:AY332"/>
    <mergeCell ref="AZ328:AZ332"/>
    <mergeCell ref="BA328:BA332"/>
    <mergeCell ref="BB328:BB332"/>
    <mergeCell ref="BC328:BC332"/>
    <mergeCell ref="BD328:BD332"/>
    <mergeCell ref="BE328:BE332"/>
    <mergeCell ref="BF328:BF332"/>
    <mergeCell ref="BG328:BG332"/>
    <mergeCell ref="A334:A335"/>
    <mergeCell ref="B334:B335"/>
    <mergeCell ref="C334:C335"/>
    <mergeCell ref="D334:D335"/>
    <mergeCell ref="E334:E335"/>
    <mergeCell ref="F334:F335"/>
    <mergeCell ref="G334:G335"/>
    <mergeCell ref="H334:H335"/>
    <mergeCell ref="I334:I335"/>
    <mergeCell ref="J334:J335"/>
    <mergeCell ref="K334:K335"/>
    <mergeCell ref="L334:L335"/>
    <mergeCell ref="M334:M335"/>
    <mergeCell ref="N334:N335"/>
    <mergeCell ref="O334:O335"/>
    <mergeCell ref="P334:P335"/>
    <mergeCell ref="Q334:Q335"/>
    <mergeCell ref="R334:R335"/>
    <mergeCell ref="S334:S335"/>
    <mergeCell ref="T334:T335"/>
    <mergeCell ref="U334:U335"/>
    <mergeCell ref="V334:V335"/>
    <mergeCell ref="W334:W335"/>
    <mergeCell ref="X334:X335"/>
    <mergeCell ref="Y334:Y335"/>
    <mergeCell ref="Z334:Z335"/>
    <mergeCell ref="AA334:AA335"/>
    <mergeCell ref="AB334:AB335"/>
    <mergeCell ref="AC334:AC335"/>
    <mergeCell ref="AD334:AD335"/>
    <mergeCell ref="AE334:AE335"/>
    <mergeCell ref="AF334:AF335"/>
    <mergeCell ref="AG334:AG335"/>
    <mergeCell ref="AH334:AH335"/>
    <mergeCell ref="AI334:AI335"/>
    <mergeCell ref="AJ334:AJ335"/>
    <mergeCell ref="AK334:AK335"/>
    <mergeCell ref="AL334:AL335"/>
    <mergeCell ref="AM334:AM335"/>
    <mergeCell ref="AN334:AN335"/>
    <mergeCell ref="AO334:AO335"/>
    <mergeCell ref="AP334:AP335"/>
    <mergeCell ref="AQ334:AQ335"/>
    <mergeCell ref="AR334:AR335"/>
    <mergeCell ref="AS334:AS335"/>
    <mergeCell ref="AT334:AT335"/>
    <mergeCell ref="AU334:AU335"/>
    <mergeCell ref="AV334:AV335"/>
    <mergeCell ref="AW334:AW335"/>
    <mergeCell ref="AX334:AX335"/>
    <mergeCell ref="AY334:AY335"/>
    <mergeCell ref="AZ334:AZ335"/>
    <mergeCell ref="BA334:BA335"/>
    <mergeCell ref="BB334:BB335"/>
    <mergeCell ref="BC334:BC335"/>
    <mergeCell ref="BD334:BD335"/>
    <mergeCell ref="BE334:BE335"/>
    <mergeCell ref="BF334:BF335"/>
    <mergeCell ref="BG334:BG335"/>
    <mergeCell ref="A338:A339"/>
    <mergeCell ref="B338:B339"/>
    <mergeCell ref="C338:C339"/>
    <mergeCell ref="D338:D339"/>
    <mergeCell ref="E338:E339"/>
    <mergeCell ref="F338:F339"/>
    <mergeCell ref="G338:G339"/>
    <mergeCell ref="H338:H339"/>
    <mergeCell ref="I338:I339"/>
    <mergeCell ref="J338:J339"/>
    <mergeCell ref="K338:K339"/>
    <mergeCell ref="L338:L339"/>
    <mergeCell ref="M338:M339"/>
    <mergeCell ref="N338:N339"/>
    <mergeCell ref="O338:O339"/>
    <mergeCell ref="P338:P339"/>
    <mergeCell ref="Q338:Q339"/>
    <mergeCell ref="R338:R339"/>
    <mergeCell ref="S338:S339"/>
    <mergeCell ref="T338:T339"/>
    <mergeCell ref="U338:U339"/>
    <mergeCell ref="V338:V339"/>
    <mergeCell ref="W338:W339"/>
    <mergeCell ref="X338:X339"/>
    <mergeCell ref="Y338:Y339"/>
    <mergeCell ref="Z338:Z339"/>
    <mergeCell ref="AA338:AA339"/>
    <mergeCell ref="AB338:AB339"/>
    <mergeCell ref="AC338:AC339"/>
    <mergeCell ref="AD338:AD339"/>
    <mergeCell ref="AE338:AE339"/>
    <mergeCell ref="AF338:AF339"/>
    <mergeCell ref="AG338:AG339"/>
    <mergeCell ref="AH338:AH339"/>
    <mergeCell ref="AI338:AI339"/>
    <mergeCell ref="AJ338:AJ339"/>
    <mergeCell ref="AK338:AK339"/>
    <mergeCell ref="AL338:AL339"/>
    <mergeCell ref="AM338:AM339"/>
    <mergeCell ref="AN338:AN339"/>
    <mergeCell ref="AO338:AO339"/>
    <mergeCell ref="AP338:AP339"/>
    <mergeCell ref="AQ338:AQ339"/>
    <mergeCell ref="AR338:AR339"/>
    <mergeCell ref="AS338:AS339"/>
    <mergeCell ref="AT338:AT339"/>
    <mergeCell ref="AU338:AU339"/>
    <mergeCell ref="AV338:AV339"/>
    <mergeCell ref="AW338:AW339"/>
    <mergeCell ref="AX338:AX339"/>
    <mergeCell ref="AY338:AY339"/>
    <mergeCell ref="AZ338:AZ339"/>
    <mergeCell ref="BA338:BA339"/>
    <mergeCell ref="BB338:BB339"/>
    <mergeCell ref="BC338:BC339"/>
    <mergeCell ref="BD338:BD339"/>
    <mergeCell ref="BE338:BE339"/>
    <mergeCell ref="BF338:BF339"/>
    <mergeCell ref="BG338:BG339"/>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N340:N341"/>
    <mergeCell ref="O340:O341"/>
    <mergeCell ref="P340:P341"/>
    <mergeCell ref="Q340:Q341"/>
    <mergeCell ref="R340:R341"/>
    <mergeCell ref="S340:S341"/>
    <mergeCell ref="T340:T341"/>
    <mergeCell ref="U340:U341"/>
    <mergeCell ref="V340:V341"/>
    <mergeCell ref="W340:W341"/>
    <mergeCell ref="X340:X341"/>
    <mergeCell ref="Y340:Y341"/>
    <mergeCell ref="Z340:Z341"/>
    <mergeCell ref="AA340:AA341"/>
    <mergeCell ref="AB340:AB341"/>
    <mergeCell ref="AC340:AC341"/>
    <mergeCell ref="AD340:AD341"/>
    <mergeCell ref="AE340:AE341"/>
    <mergeCell ref="AF340:AF341"/>
    <mergeCell ref="AG340:AG341"/>
    <mergeCell ref="AH340:AH341"/>
    <mergeCell ref="AI340:AI341"/>
    <mergeCell ref="AJ340:AJ341"/>
    <mergeCell ref="AK340:AK341"/>
    <mergeCell ref="AL340:AL341"/>
    <mergeCell ref="AM340:AM341"/>
    <mergeCell ref="AN340:AN341"/>
    <mergeCell ref="AO340:AO341"/>
    <mergeCell ref="AP340:AP341"/>
    <mergeCell ref="AQ340:AQ341"/>
    <mergeCell ref="AR340:AR341"/>
    <mergeCell ref="AS340:AS341"/>
    <mergeCell ref="AT340:AT341"/>
    <mergeCell ref="AU340:AU341"/>
    <mergeCell ref="AV340:AV341"/>
    <mergeCell ref="AW340:AW341"/>
    <mergeCell ref="AX340:AX341"/>
    <mergeCell ref="AY340:AY341"/>
    <mergeCell ref="AZ340:AZ341"/>
    <mergeCell ref="BA340:BA341"/>
    <mergeCell ref="BB340:BB341"/>
    <mergeCell ref="BC340:BC341"/>
    <mergeCell ref="BD340:BD341"/>
    <mergeCell ref="BE340:BE341"/>
    <mergeCell ref="BF340:BF341"/>
    <mergeCell ref="BG340:BG341"/>
    <mergeCell ref="A343:A346"/>
    <mergeCell ref="B343:B346"/>
    <mergeCell ref="C343:C346"/>
    <mergeCell ref="D343:D346"/>
    <mergeCell ref="E343:E346"/>
    <mergeCell ref="F343:F346"/>
    <mergeCell ref="G343:G346"/>
    <mergeCell ref="H343:H346"/>
    <mergeCell ref="I343:I346"/>
    <mergeCell ref="J343:J346"/>
    <mergeCell ref="K343:K346"/>
    <mergeCell ref="L343:L346"/>
    <mergeCell ref="M343:M346"/>
    <mergeCell ref="N343:N346"/>
    <mergeCell ref="O343:O346"/>
    <mergeCell ref="P343:P346"/>
    <mergeCell ref="Q343:Q346"/>
    <mergeCell ref="R343:R346"/>
    <mergeCell ref="S343:S346"/>
    <mergeCell ref="T343:T346"/>
    <mergeCell ref="U343:U346"/>
    <mergeCell ref="V343:V346"/>
    <mergeCell ref="W343:W346"/>
    <mergeCell ref="X343:X346"/>
    <mergeCell ref="Y343:Y346"/>
    <mergeCell ref="Z343:Z346"/>
    <mergeCell ref="AA343:AA346"/>
    <mergeCell ref="AB343:AB346"/>
    <mergeCell ref="AC343:AC346"/>
    <mergeCell ref="AD343:AD346"/>
    <mergeCell ref="AE343:AE346"/>
    <mergeCell ref="AF343:AF346"/>
    <mergeCell ref="AG343:AG346"/>
    <mergeCell ref="AH343:AH346"/>
    <mergeCell ref="AI343:AI346"/>
    <mergeCell ref="AJ343:AJ346"/>
    <mergeCell ref="AK343:AK346"/>
    <mergeCell ref="AL343:AL346"/>
    <mergeCell ref="AM343:AM346"/>
    <mergeCell ref="AN343:AN346"/>
    <mergeCell ref="AO343:AO346"/>
    <mergeCell ref="AP343:AP346"/>
    <mergeCell ref="AQ343:AQ346"/>
    <mergeCell ref="AR343:AR346"/>
    <mergeCell ref="AS343:AS346"/>
    <mergeCell ref="AT343:AT346"/>
    <mergeCell ref="AU343:AU346"/>
    <mergeCell ref="AV343:AV346"/>
    <mergeCell ref="AW343:AW346"/>
    <mergeCell ref="AX343:AX346"/>
    <mergeCell ref="AY343:AY346"/>
    <mergeCell ref="AZ343:AZ346"/>
    <mergeCell ref="BA343:BA346"/>
    <mergeCell ref="BB343:BB346"/>
    <mergeCell ref="BC343:BC346"/>
    <mergeCell ref="BD343:BD346"/>
    <mergeCell ref="BE343:BE346"/>
    <mergeCell ref="BF343:BF346"/>
    <mergeCell ref="BG343:BG346"/>
    <mergeCell ref="A347:A348"/>
    <mergeCell ref="B347:B348"/>
    <mergeCell ref="C347:C348"/>
    <mergeCell ref="D347:D348"/>
    <mergeCell ref="E347:E348"/>
    <mergeCell ref="F347:F348"/>
    <mergeCell ref="G347:G348"/>
    <mergeCell ref="H347:H348"/>
    <mergeCell ref="I347:I348"/>
    <mergeCell ref="J347:J348"/>
    <mergeCell ref="K347:K348"/>
    <mergeCell ref="L347:L348"/>
    <mergeCell ref="M347:M348"/>
    <mergeCell ref="N347:N348"/>
    <mergeCell ref="O347:O348"/>
    <mergeCell ref="P347:P348"/>
    <mergeCell ref="Q347:Q348"/>
    <mergeCell ref="R347:R348"/>
    <mergeCell ref="S347:S348"/>
    <mergeCell ref="T347:T348"/>
    <mergeCell ref="U347:U348"/>
    <mergeCell ref="V347:V348"/>
    <mergeCell ref="W347:W348"/>
    <mergeCell ref="X347:X348"/>
    <mergeCell ref="Y347:Y348"/>
    <mergeCell ref="Z347:Z348"/>
    <mergeCell ref="AA347:AA348"/>
    <mergeCell ref="AB347:AB348"/>
    <mergeCell ref="AC347:AC348"/>
    <mergeCell ref="AD347:AD348"/>
    <mergeCell ref="AE347:AE348"/>
    <mergeCell ref="AF347:AF348"/>
    <mergeCell ref="AG347:AG348"/>
    <mergeCell ref="AH347:AH348"/>
    <mergeCell ref="AI347:AI348"/>
    <mergeCell ref="AJ347:AJ348"/>
    <mergeCell ref="AK347:AK348"/>
    <mergeCell ref="AL347:AL348"/>
    <mergeCell ref="AM347:AM348"/>
    <mergeCell ref="AN347:AN348"/>
    <mergeCell ref="AO347:AO348"/>
    <mergeCell ref="AP347:AP348"/>
    <mergeCell ref="AQ347:AQ348"/>
    <mergeCell ref="AR347:AR348"/>
    <mergeCell ref="AS347:AS348"/>
    <mergeCell ref="AT347:AT348"/>
    <mergeCell ref="AU347:AU348"/>
    <mergeCell ref="AV347:AV348"/>
    <mergeCell ref="AW347:AW348"/>
    <mergeCell ref="AX347:AX348"/>
    <mergeCell ref="AY347:AY348"/>
    <mergeCell ref="AZ347:AZ348"/>
    <mergeCell ref="BA347:BA348"/>
    <mergeCell ref="BB347:BB348"/>
    <mergeCell ref="BC347:BC348"/>
    <mergeCell ref="BD347:BD348"/>
    <mergeCell ref="BE347:BE348"/>
    <mergeCell ref="BF347:BF348"/>
    <mergeCell ref="BG347:BG348"/>
    <mergeCell ref="A350:A352"/>
    <mergeCell ref="B350:B352"/>
    <mergeCell ref="C350:C352"/>
    <mergeCell ref="D350:D352"/>
    <mergeCell ref="E350:E352"/>
    <mergeCell ref="F350:F352"/>
    <mergeCell ref="G350:G352"/>
    <mergeCell ref="H350:H352"/>
    <mergeCell ref="I350:I352"/>
    <mergeCell ref="J350:J352"/>
    <mergeCell ref="K350:K352"/>
    <mergeCell ref="L350:L352"/>
    <mergeCell ref="M350:M352"/>
    <mergeCell ref="N350:N352"/>
    <mergeCell ref="O350:O352"/>
    <mergeCell ref="P350:P352"/>
    <mergeCell ref="Q350:Q352"/>
    <mergeCell ref="R350:R352"/>
    <mergeCell ref="S350:S352"/>
    <mergeCell ref="T350:T352"/>
    <mergeCell ref="U350:U352"/>
    <mergeCell ref="V350:V352"/>
    <mergeCell ref="W350:W352"/>
    <mergeCell ref="X350:X352"/>
    <mergeCell ref="Y350:Y352"/>
    <mergeCell ref="Z350:Z352"/>
    <mergeCell ref="AA350:AA352"/>
    <mergeCell ref="AB350:AB352"/>
    <mergeCell ref="AC350:AC352"/>
    <mergeCell ref="AD350:AD352"/>
    <mergeCell ref="AE350:AE352"/>
    <mergeCell ref="AF350:AF352"/>
    <mergeCell ref="AG350:AG352"/>
    <mergeCell ref="AH350:AH352"/>
    <mergeCell ref="AI350:AI352"/>
    <mergeCell ref="AJ350:AJ352"/>
    <mergeCell ref="AK350:AK352"/>
    <mergeCell ref="AL350:AL352"/>
    <mergeCell ref="AM350:AM352"/>
    <mergeCell ref="AN350:AN352"/>
    <mergeCell ref="AO350:AO352"/>
    <mergeCell ref="AP350:AP352"/>
    <mergeCell ref="AQ350:AQ352"/>
    <mergeCell ref="AR350:AR352"/>
    <mergeCell ref="AS350:AS352"/>
    <mergeCell ref="AT350:AT352"/>
    <mergeCell ref="AU350:AU352"/>
    <mergeCell ref="AV350:AV352"/>
    <mergeCell ref="AW350:AW352"/>
    <mergeCell ref="AX350:AX352"/>
    <mergeCell ref="AY350:AY352"/>
    <mergeCell ref="AZ350:AZ352"/>
    <mergeCell ref="BA350:BA352"/>
    <mergeCell ref="BB350:BB352"/>
    <mergeCell ref="BC350:BC352"/>
    <mergeCell ref="BD350:BD352"/>
    <mergeCell ref="BE350:BE352"/>
    <mergeCell ref="BF350:BF352"/>
    <mergeCell ref="BG350:BG352"/>
    <mergeCell ref="A353:A354"/>
    <mergeCell ref="B353:B354"/>
    <mergeCell ref="C353:C354"/>
    <mergeCell ref="D353:D354"/>
    <mergeCell ref="E353:E354"/>
    <mergeCell ref="F353:F354"/>
    <mergeCell ref="G353:G354"/>
    <mergeCell ref="H353:H354"/>
    <mergeCell ref="I353:I354"/>
    <mergeCell ref="J353:J354"/>
    <mergeCell ref="K353:K354"/>
    <mergeCell ref="L353:L354"/>
    <mergeCell ref="M353:M354"/>
    <mergeCell ref="N353:N354"/>
    <mergeCell ref="O353:O354"/>
    <mergeCell ref="P353:P354"/>
    <mergeCell ref="Q353:Q354"/>
    <mergeCell ref="R353:R354"/>
    <mergeCell ref="S353:S354"/>
    <mergeCell ref="T353:T354"/>
    <mergeCell ref="U353:U354"/>
    <mergeCell ref="V353:V354"/>
    <mergeCell ref="W353:W354"/>
    <mergeCell ref="X353:X354"/>
    <mergeCell ref="Y353:Y354"/>
    <mergeCell ref="Z353:Z354"/>
    <mergeCell ref="AA353:AA354"/>
    <mergeCell ref="AB353:AB354"/>
    <mergeCell ref="AC353:AC354"/>
    <mergeCell ref="AD353:AD354"/>
    <mergeCell ref="AE353:AE354"/>
    <mergeCell ref="AF353:AF354"/>
    <mergeCell ref="AG353:AG354"/>
    <mergeCell ref="AH353:AH354"/>
    <mergeCell ref="AI353:AI354"/>
    <mergeCell ref="AJ353:AJ354"/>
    <mergeCell ref="AK353:AK354"/>
    <mergeCell ref="AL353:AL354"/>
    <mergeCell ref="AM353:AM354"/>
    <mergeCell ref="AN353:AN354"/>
    <mergeCell ref="AO353:AO354"/>
    <mergeCell ref="AP353:AP354"/>
    <mergeCell ref="AQ353:AQ354"/>
    <mergeCell ref="AR353:AR354"/>
    <mergeCell ref="AS353:AS354"/>
    <mergeCell ref="AT353:AT354"/>
    <mergeCell ref="AU353:AU354"/>
    <mergeCell ref="AV353:AV354"/>
    <mergeCell ref="AW353:AW354"/>
    <mergeCell ref="AX353:AX354"/>
    <mergeCell ref="AY353:AY354"/>
    <mergeCell ref="AZ353:AZ354"/>
    <mergeCell ref="BA353:BA354"/>
    <mergeCell ref="BB353:BB354"/>
    <mergeCell ref="BC353:BC354"/>
    <mergeCell ref="BD353:BD354"/>
    <mergeCell ref="BE353:BE354"/>
    <mergeCell ref="BF353:BF354"/>
    <mergeCell ref="BG353:BG354"/>
    <mergeCell ref="A357:A365"/>
    <mergeCell ref="B357:B365"/>
    <mergeCell ref="C357:C365"/>
    <mergeCell ref="D357:D365"/>
    <mergeCell ref="E357:E365"/>
    <mergeCell ref="F357:F365"/>
    <mergeCell ref="G357:G365"/>
    <mergeCell ref="H357:H365"/>
    <mergeCell ref="I357:I365"/>
    <mergeCell ref="J357:J365"/>
    <mergeCell ref="K357:K365"/>
    <mergeCell ref="L357:L365"/>
    <mergeCell ref="M357:M365"/>
    <mergeCell ref="N357:N365"/>
    <mergeCell ref="O357:O365"/>
    <mergeCell ref="P357:P365"/>
    <mergeCell ref="Q357:Q365"/>
    <mergeCell ref="R357:R365"/>
    <mergeCell ref="S357:S365"/>
    <mergeCell ref="T357:T365"/>
    <mergeCell ref="U357:U365"/>
    <mergeCell ref="V357:V365"/>
    <mergeCell ref="W357:W365"/>
    <mergeCell ref="X357:X365"/>
    <mergeCell ref="Y357:Y365"/>
    <mergeCell ref="Z357:Z365"/>
    <mergeCell ref="AA357:AA365"/>
    <mergeCell ref="AB357:AB365"/>
    <mergeCell ref="AC357:AC365"/>
    <mergeCell ref="AD357:AD365"/>
    <mergeCell ref="AE357:AE365"/>
    <mergeCell ref="AF357:AF365"/>
    <mergeCell ref="AG357:AG365"/>
    <mergeCell ref="AH357:AH365"/>
    <mergeCell ref="AI357:AI365"/>
    <mergeCell ref="AJ357:AJ365"/>
    <mergeCell ref="AK357:AK365"/>
    <mergeCell ref="AL357:AL365"/>
    <mergeCell ref="AM357:AM365"/>
    <mergeCell ref="AN357:AN365"/>
    <mergeCell ref="AO357:AO365"/>
    <mergeCell ref="AP357:AP365"/>
    <mergeCell ref="AQ357:AQ365"/>
    <mergeCell ref="AR357:AR365"/>
    <mergeCell ref="AS357:AS365"/>
    <mergeCell ref="AT357:AT365"/>
    <mergeCell ref="AU357:AU365"/>
    <mergeCell ref="AV357:AV365"/>
    <mergeCell ref="AW357:AW365"/>
    <mergeCell ref="AX357:AX365"/>
    <mergeCell ref="AY357:AY365"/>
    <mergeCell ref="AZ357:AZ365"/>
    <mergeCell ref="BA357:BA365"/>
    <mergeCell ref="BB357:BB365"/>
    <mergeCell ref="BC357:BC365"/>
    <mergeCell ref="BD357:BD365"/>
    <mergeCell ref="BE357:BE365"/>
    <mergeCell ref="BF357:BF365"/>
    <mergeCell ref="BG357:BG365"/>
    <mergeCell ref="A366:A367"/>
    <mergeCell ref="B366:B367"/>
    <mergeCell ref="C366:C367"/>
    <mergeCell ref="D366:D367"/>
    <mergeCell ref="E366:E367"/>
    <mergeCell ref="F366:F367"/>
    <mergeCell ref="G366:G367"/>
    <mergeCell ref="H366:H367"/>
    <mergeCell ref="I366:I367"/>
    <mergeCell ref="J366:J367"/>
    <mergeCell ref="K366:K367"/>
    <mergeCell ref="L366:L367"/>
    <mergeCell ref="M366:M367"/>
    <mergeCell ref="N366:N367"/>
    <mergeCell ref="O366:O367"/>
    <mergeCell ref="P366:P367"/>
    <mergeCell ref="Q366:Q367"/>
    <mergeCell ref="R366:R367"/>
    <mergeCell ref="S366:S367"/>
    <mergeCell ref="T366:T367"/>
    <mergeCell ref="U366:U367"/>
    <mergeCell ref="V366:V367"/>
    <mergeCell ref="W366:W367"/>
    <mergeCell ref="X366:X367"/>
    <mergeCell ref="Y366:Y367"/>
    <mergeCell ref="Z366:Z367"/>
    <mergeCell ref="AA366:AA367"/>
    <mergeCell ref="AB366:AB367"/>
    <mergeCell ref="AC366:AC367"/>
    <mergeCell ref="AD366:AD367"/>
    <mergeCell ref="AE366:AE367"/>
    <mergeCell ref="AF366:AF367"/>
    <mergeCell ref="AG366:AG367"/>
    <mergeCell ref="AH366:AH367"/>
    <mergeCell ref="AI366:AI367"/>
    <mergeCell ref="AJ366:AJ367"/>
    <mergeCell ref="AK366:AK367"/>
    <mergeCell ref="AL366:AL367"/>
    <mergeCell ref="AM366:AM367"/>
    <mergeCell ref="AN366:AN367"/>
    <mergeCell ref="AO366:AO367"/>
    <mergeCell ref="AP366:AP367"/>
    <mergeCell ref="AQ366:AQ367"/>
    <mergeCell ref="AR366:AR367"/>
    <mergeCell ref="AS366:AS367"/>
    <mergeCell ref="AT366:AT367"/>
    <mergeCell ref="AU366:AU367"/>
    <mergeCell ref="AV366:AV367"/>
    <mergeCell ref="AW366:AW367"/>
    <mergeCell ref="AX366:AX367"/>
    <mergeCell ref="AY366:AY367"/>
    <mergeCell ref="AZ366:AZ367"/>
    <mergeCell ref="BA366:BA367"/>
    <mergeCell ref="BB366:BB367"/>
    <mergeCell ref="BC366:BC367"/>
    <mergeCell ref="BD366:BD367"/>
    <mergeCell ref="BE366:BE367"/>
    <mergeCell ref="BF366:BF367"/>
    <mergeCell ref="BG366:BG367"/>
    <mergeCell ref="A370:A373"/>
    <mergeCell ref="B370:B373"/>
    <mergeCell ref="C370:C373"/>
    <mergeCell ref="D370:D373"/>
    <mergeCell ref="E370:E373"/>
    <mergeCell ref="F370:F373"/>
    <mergeCell ref="G370:G373"/>
    <mergeCell ref="H370:H373"/>
    <mergeCell ref="I370:I373"/>
    <mergeCell ref="J370:J373"/>
    <mergeCell ref="K370:K373"/>
    <mergeCell ref="L370:L373"/>
    <mergeCell ref="M370:M373"/>
    <mergeCell ref="N370:N373"/>
    <mergeCell ref="O370:O373"/>
    <mergeCell ref="P370:P373"/>
    <mergeCell ref="Q370:Q373"/>
    <mergeCell ref="R370:R373"/>
    <mergeCell ref="S370:S373"/>
    <mergeCell ref="T370:T373"/>
    <mergeCell ref="U370:U373"/>
    <mergeCell ref="V370:V373"/>
    <mergeCell ref="W370:W373"/>
    <mergeCell ref="X370:X373"/>
    <mergeCell ref="Y370:Y373"/>
    <mergeCell ref="Z370:Z373"/>
    <mergeCell ref="AA370:AA373"/>
    <mergeCell ref="AB370:AB373"/>
    <mergeCell ref="AC370:AC373"/>
    <mergeCell ref="AD370:AD373"/>
    <mergeCell ref="AE370:AE373"/>
    <mergeCell ref="AF370:AF373"/>
    <mergeCell ref="AG370:AG373"/>
    <mergeCell ref="AH370:AH373"/>
    <mergeCell ref="AI370:AI373"/>
    <mergeCell ref="AJ370:AJ373"/>
    <mergeCell ref="AK370:AK373"/>
    <mergeCell ref="AL370:AL373"/>
    <mergeCell ref="AM370:AM373"/>
    <mergeCell ref="AN370:AN373"/>
    <mergeCell ref="AO370:AO373"/>
    <mergeCell ref="AP370:AP373"/>
    <mergeCell ref="AQ370:AQ373"/>
    <mergeCell ref="AR370:AR373"/>
    <mergeCell ref="AS370:AS373"/>
    <mergeCell ref="AT370:AT373"/>
    <mergeCell ref="AU370:AU373"/>
    <mergeCell ref="AV370:AV373"/>
    <mergeCell ref="AW370:AW373"/>
    <mergeCell ref="AX370:AX373"/>
    <mergeCell ref="AY370:AY373"/>
    <mergeCell ref="AZ370:AZ373"/>
    <mergeCell ref="BA370:BA373"/>
    <mergeCell ref="BB370:BB373"/>
    <mergeCell ref="BC370:BC373"/>
    <mergeCell ref="BD370:BD373"/>
    <mergeCell ref="BE370:BE373"/>
    <mergeCell ref="BF370:BF373"/>
    <mergeCell ref="BG370:BG373"/>
    <mergeCell ref="A374:A375"/>
    <mergeCell ref="B374:B375"/>
    <mergeCell ref="C374:C375"/>
    <mergeCell ref="D374:D375"/>
    <mergeCell ref="E374:E375"/>
    <mergeCell ref="F374:F375"/>
    <mergeCell ref="G374:G375"/>
    <mergeCell ref="H374:H375"/>
    <mergeCell ref="I374:I375"/>
    <mergeCell ref="J374:J375"/>
    <mergeCell ref="K374:K375"/>
    <mergeCell ref="L374:L375"/>
    <mergeCell ref="M374:M375"/>
    <mergeCell ref="N374:N375"/>
    <mergeCell ref="O374:O375"/>
    <mergeCell ref="P374:P375"/>
    <mergeCell ref="Q374:Q375"/>
    <mergeCell ref="R374:R375"/>
    <mergeCell ref="S374:S375"/>
    <mergeCell ref="T374:T375"/>
    <mergeCell ref="U374:U375"/>
    <mergeCell ref="V374:V375"/>
    <mergeCell ref="W374:W375"/>
    <mergeCell ref="X374:X375"/>
    <mergeCell ref="Y374:Y375"/>
    <mergeCell ref="Z374:Z375"/>
    <mergeCell ref="AA374:AA375"/>
    <mergeCell ref="AB374:AB375"/>
    <mergeCell ref="AC374:AC375"/>
    <mergeCell ref="AD374:AD375"/>
    <mergeCell ref="AE374:AE375"/>
    <mergeCell ref="AF374:AF375"/>
    <mergeCell ref="AG374:AG375"/>
    <mergeCell ref="AH374:AH375"/>
    <mergeCell ref="AI374:AI375"/>
    <mergeCell ref="AJ374:AJ375"/>
    <mergeCell ref="AK374:AK375"/>
    <mergeCell ref="AL374:AL375"/>
    <mergeCell ref="AM374:AM375"/>
    <mergeCell ref="AN374:AN375"/>
    <mergeCell ref="AO374:AO375"/>
    <mergeCell ref="AP374:AP375"/>
    <mergeCell ref="AQ374:AQ375"/>
    <mergeCell ref="AR374:AR375"/>
    <mergeCell ref="AS374:AS375"/>
    <mergeCell ref="AT374:AT375"/>
    <mergeCell ref="AU374:AU375"/>
    <mergeCell ref="AV374:AV375"/>
    <mergeCell ref="AW374:AW375"/>
    <mergeCell ref="AX374:AX375"/>
    <mergeCell ref="AY374:AY375"/>
    <mergeCell ref="AZ374:AZ375"/>
    <mergeCell ref="BA374:BA375"/>
    <mergeCell ref="BB374:BB375"/>
    <mergeCell ref="BC374:BC375"/>
    <mergeCell ref="BD374:BD375"/>
    <mergeCell ref="BE374:BE375"/>
    <mergeCell ref="BF374:BF375"/>
    <mergeCell ref="BG374:BG375"/>
    <mergeCell ref="A376:A388"/>
    <mergeCell ref="B376:B388"/>
    <mergeCell ref="C376:C388"/>
    <mergeCell ref="D376:D388"/>
    <mergeCell ref="E376:E388"/>
    <mergeCell ref="F376:F388"/>
    <mergeCell ref="G376:G388"/>
    <mergeCell ref="H376:H388"/>
    <mergeCell ref="I376:I388"/>
    <mergeCell ref="J376:J388"/>
    <mergeCell ref="K376:K388"/>
    <mergeCell ref="L376:L388"/>
    <mergeCell ref="M376:M388"/>
    <mergeCell ref="N376:N388"/>
    <mergeCell ref="O376:O388"/>
    <mergeCell ref="P376:P388"/>
    <mergeCell ref="Q376:Q388"/>
    <mergeCell ref="R376:R388"/>
    <mergeCell ref="S376:S388"/>
    <mergeCell ref="T376:T388"/>
    <mergeCell ref="U376:U388"/>
    <mergeCell ref="V376:V388"/>
    <mergeCell ref="W376:W388"/>
    <mergeCell ref="X376:X388"/>
    <mergeCell ref="Y376:Y388"/>
    <mergeCell ref="Z376:Z388"/>
    <mergeCell ref="AA376:AA388"/>
    <mergeCell ref="AB376:AB388"/>
    <mergeCell ref="AC376:AC388"/>
    <mergeCell ref="AD376:AD388"/>
    <mergeCell ref="AE376:AE388"/>
    <mergeCell ref="AF376:AF388"/>
    <mergeCell ref="AG376:AG388"/>
    <mergeCell ref="AH376:AH388"/>
    <mergeCell ref="AI376:AI388"/>
    <mergeCell ref="AJ376:AJ388"/>
    <mergeCell ref="AK376:AK388"/>
    <mergeCell ref="AL376:AL388"/>
    <mergeCell ref="AM376:AM388"/>
    <mergeCell ref="AN376:AN388"/>
    <mergeCell ref="AO376:AO388"/>
    <mergeCell ref="AP376:AP388"/>
    <mergeCell ref="AQ376:AQ388"/>
    <mergeCell ref="AR376:AR388"/>
    <mergeCell ref="AS376:AS388"/>
    <mergeCell ref="AT376:AT388"/>
    <mergeCell ref="AU376:AU388"/>
    <mergeCell ref="AV376:AV388"/>
    <mergeCell ref="AW376:AW388"/>
    <mergeCell ref="AX376:AX388"/>
    <mergeCell ref="AY376:AY388"/>
    <mergeCell ref="AZ376:AZ388"/>
    <mergeCell ref="BA376:BA388"/>
    <mergeCell ref="BB376:BB388"/>
    <mergeCell ref="BC376:BC388"/>
    <mergeCell ref="BD376:BD388"/>
    <mergeCell ref="BE376:BE388"/>
    <mergeCell ref="BF376:BF388"/>
    <mergeCell ref="BG376:BG388"/>
    <mergeCell ref="A389:A404"/>
    <mergeCell ref="B389:B404"/>
    <mergeCell ref="C389:C404"/>
    <mergeCell ref="D389:D404"/>
    <mergeCell ref="E389:E404"/>
    <mergeCell ref="F389:F404"/>
    <mergeCell ref="G389:G404"/>
    <mergeCell ref="H389:H404"/>
    <mergeCell ref="I389:I404"/>
    <mergeCell ref="J389:J404"/>
    <mergeCell ref="K389:K404"/>
    <mergeCell ref="L389:L404"/>
    <mergeCell ref="M389:M404"/>
    <mergeCell ref="N389:N404"/>
    <mergeCell ref="O389:O404"/>
    <mergeCell ref="P389:P404"/>
    <mergeCell ref="Q389:Q404"/>
    <mergeCell ref="R389:R404"/>
    <mergeCell ref="S389:S404"/>
    <mergeCell ref="T389:T404"/>
    <mergeCell ref="U389:U404"/>
    <mergeCell ref="V389:V404"/>
    <mergeCell ref="W389:W404"/>
    <mergeCell ref="X389:X404"/>
    <mergeCell ref="Y389:Y404"/>
    <mergeCell ref="Z389:Z404"/>
    <mergeCell ref="AA389:AA404"/>
    <mergeCell ref="AB389:AB404"/>
    <mergeCell ref="AC389:AC404"/>
    <mergeCell ref="AD389:AD404"/>
    <mergeCell ref="AE389:AE404"/>
    <mergeCell ref="AF389:AF404"/>
    <mergeCell ref="AG389:AG404"/>
    <mergeCell ref="AH389:AH404"/>
    <mergeCell ref="AI389:AI404"/>
    <mergeCell ref="AJ389:AJ404"/>
    <mergeCell ref="AK389:AK404"/>
    <mergeCell ref="AL389:AL404"/>
    <mergeCell ref="AM389:AM404"/>
    <mergeCell ref="AN389:AN404"/>
    <mergeCell ref="AO389:AO404"/>
    <mergeCell ref="AP389:AP404"/>
    <mergeCell ref="AQ389:AQ404"/>
    <mergeCell ref="AR389:AR404"/>
    <mergeCell ref="AS389:AS404"/>
    <mergeCell ref="AT389:AT404"/>
    <mergeCell ref="AU389:AU404"/>
    <mergeCell ref="AV389:AV404"/>
    <mergeCell ref="AW389:AW404"/>
    <mergeCell ref="AX389:AX404"/>
    <mergeCell ref="AY389:AY404"/>
    <mergeCell ref="AZ389:AZ404"/>
    <mergeCell ref="BA389:BA404"/>
    <mergeCell ref="BB389:BB404"/>
    <mergeCell ref="BC389:BC404"/>
    <mergeCell ref="BD389:BD404"/>
    <mergeCell ref="BE389:BE404"/>
    <mergeCell ref="BF389:BF404"/>
    <mergeCell ref="BG389:BG404"/>
    <mergeCell ref="A405:A419"/>
    <mergeCell ref="B405:B419"/>
    <mergeCell ref="C405:C419"/>
    <mergeCell ref="D405:D419"/>
    <mergeCell ref="E405:E419"/>
    <mergeCell ref="F405:F419"/>
    <mergeCell ref="G405:G419"/>
    <mergeCell ref="H405:H419"/>
    <mergeCell ref="I405:I419"/>
    <mergeCell ref="J405:J419"/>
    <mergeCell ref="K405:K419"/>
    <mergeCell ref="L405:L419"/>
    <mergeCell ref="M405:M419"/>
    <mergeCell ref="N405:N419"/>
    <mergeCell ref="O405:O419"/>
    <mergeCell ref="P405:P419"/>
    <mergeCell ref="Q405:Q419"/>
    <mergeCell ref="R405:R419"/>
    <mergeCell ref="S405:S419"/>
    <mergeCell ref="T405:T419"/>
    <mergeCell ref="U405:U419"/>
    <mergeCell ref="V405:V419"/>
    <mergeCell ref="W405:W419"/>
    <mergeCell ref="X405:X419"/>
    <mergeCell ref="Y405:Y419"/>
    <mergeCell ref="Z405:Z419"/>
    <mergeCell ref="AA405:AA419"/>
    <mergeCell ref="AB405:AB419"/>
    <mergeCell ref="AC405:AC419"/>
    <mergeCell ref="AD405:AD419"/>
    <mergeCell ref="AE405:AE419"/>
    <mergeCell ref="AF405:AF419"/>
    <mergeCell ref="AG405:AG419"/>
    <mergeCell ref="AH405:AH419"/>
    <mergeCell ref="AI405:AI419"/>
    <mergeCell ref="AJ405:AJ419"/>
    <mergeCell ref="AK405:AK419"/>
    <mergeCell ref="AL405:AL419"/>
    <mergeCell ref="AM405:AM419"/>
    <mergeCell ref="AN405:AN419"/>
    <mergeCell ref="AO405:AO419"/>
    <mergeCell ref="AP405:AP419"/>
    <mergeCell ref="AQ405:AQ419"/>
    <mergeCell ref="AR405:AR419"/>
    <mergeCell ref="AS405:AS419"/>
    <mergeCell ref="AT405:AT419"/>
    <mergeCell ref="AU405:AU419"/>
    <mergeCell ref="AV405:AV419"/>
    <mergeCell ref="AW405:AW419"/>
    <mergeCell ref="AX405:AX419"/>
    <mergeCell ref="AY405:AY419"/>
    <mergeCell ref="AZ405:AZ419"/>
    <mergeCell ref="BA405:BA419"/>
    <mergeCell ref="BB405:BB419"/>
    <mergeCell ref="BC405:BC419"/>
    <mergeCell ref="BD405:BD419"/>
    <mergeCell ref="BE405:BE419"/>
    <mergeCell ref="BF405:BF419"/>
    <mergeCell ref="BG405:BG419"/>
    <mergeCell ref="A420:A440"/>
    <mergeCell ref="B420:B440"/>
    <mergeCell ref="C420:C440"/>
    <mergeCell ref="D420:D440"/>
    <mergeCell ref="E420:E440"/>
    <mergeCell ref="F420:F440"/>
    <mergeCell ref="G420:G440"/>
    <mergeCell ref="H420:H440"/>
    <mergeCell ref="I420:I440"/>
    <mergeCell ref="J420:J440"/>
    <mergeCell ref="K420:K440"/>
    <mergeCell ref="L420:L440"/>
    <mergeCell ref="M420:M440"/>
    <mergeCell ref="N420:N440"/>
    <mergeCell ref="O420:O440"/>
    <mergeCell ref="P420:P440"/>
    <mergeCell ref="Q420:Q440"/>
    <mergeCell ref="R420:R440"/>
    <mergeCell ref="S420:S440"/>
    <mergeCell ref="T420:T440"/>
    <mergeCell ref="U420:U440"/>
    <mergeCell ref="V420:V440"/>
    <mergeCell ref="W420:W440"/>
    <mergeCell ref="X420:X440"/>
    <mergeCell ref="Y420:Y440"/>
    <mergeCell ref="Z420:Z440"/>
    <mergeCell ref="AA420:AA440"/>
    <mergeCell ref="AB420:AB440"/>
    <mergeCell ref="AC420:AC440"/>
    <mergeCell ref="AD420:AD440"/>
    <mergeCell ref="AE420:AE440"/>
    <mergeCell ref="AF420:AF440"/>
    <mergeCell ref="AG420:AG440"/>
    <mergeCell ref="AH420:AH440"/>
    <mergeCell ref="AI420:AI440"/>
    <mergeCell ref="AJ420:AJ440"/>
    <mergeCell ref="AK420:AK440"/>
    <mergeCell ref="AL420:AL440"/>
    <mergeCell ref="AM420:AM440"/>
    <mergeCell ref="AN420:AN440"/>
    <mergeCell ref="AO420:AO440"/>
    <mergeCell ref="AP420:AP440"/>
    <mergeCell ref="AQ420:AQ440"/>
    <mergeCell ref="AR420:AR440"/>
    <mergeCell ref="AS420:AS440"/>
    <mergeCell ref="AT420:AT440"/>
    <mergeCell ref="AU420:AU440"/>
    <mergeCell ref="AV420:AV440"/>
    <mergeCell ref="AW420:AW440"/>
    <mergeCell ref="AX420:AX440"/>
    <mergeCell ref="AY420:AY440"/>
    <mergeCell ref="AZ420:AZ440"/>
    <mergeCell ref="BA420:BA440"/>
    <mergeCell ref="BB420:BB440"/>
    <mergeCell ref="BC420:BC440"/>
    <mergeCell ref="BD420:BD440"/>
    <mergeCell ref="BE420:BE440"/>
    <mergeCell ref="BF420:BF440"/>
    <mergeCell ref="BG420:BG440"/>
  </mergeCells>
  <dataValidations disablePrompts="0" count="102">
    <dataValidation type="decimal" errorStyle="stop" imeMode="noControl" operator="between" allowBlank="1" showDropDown="0" showInputMessage="0" showErrorMessage="1" sqref="AI3:AI440">
      <formula1><![CDATA[-999999999999.99]]></formula1>
      <formula2><![CDATA[999999999999.99]]></formula2>
    </dataValidation>
    <dataValidation type="decimal" errorStyle="stop" imeMode="noControl" operator="between" allowBlank="1" showDropDown="0" showInputMessage="0" showErrorMessage="1" sqref="AJ3:AJ440">
      <formula1><![CDATA[-999999999999.99]]></formula1>
      <formula2><![CDATA[999999999999.99]]></formula2>
    </dataValidation>
    <dataValidation type="decimal" errorStyle="stop" imeMode="noControl" operator="between" allowBlank="1" showDropDown="0" showInputMessage="0" showErrorMessage="1" sqref="AK3:AK440">
      <formula1><![CDATA[-999999999999.99]]></formula1>
      <formula2><![CDATA[999999999999.99]]></formula2>
    </dataValidation>
    <dataValidation type="decimal" errorStyle="stop" imeMode="noControl" operator="between" allowBlank="1" showDropDown="0" showInputMessage="0" showErrorMessage="1" sqref="AL3:AL440">
      <formula1><![CDATA[-999999999999.99]]></formula1>
      <formula2><![CDATA[999999999999.99]]></formula2>
    </dataValidation>
    <dataValidation type="decimal" errorStyle="stop" imeMode="noControl" operator="between" allowBlank="1" showDropDown="0" showInputMessage="0" showErrorMessage="1" sqref="AM3:AM440">
      <formula1><![CDATA[-999999999999.99]]></formula1>
      <formula2><![CDATA[999999999999.99]]></formula2>
    </dataValidation>
    <dataValidation type="decimal" errorStyle="stop" imeMode="noControl" operator="between" allowBlank="1" showDropDown="0" showInputMessage="0" showErrorMessage="1" sqref="AN3:AN440">
      <formula1><![CDATA[-999999999999.99]]></formula1>
      <formula2><![CDATA[999999999999.99]]></formula2>
    </dataValidation>
    <dataValidation type="decimal" errorStyle="stop" imeMode="noControl" operator="between" allowBlank="1" showDropDown="0" showInputMessage="0" showErrorMessage="1" sqref="AO3:AO440">
      <formula1><![CDATA[-999999999999.99]]></formula1>
      <formula2><![CDATA[999999999999.99]]></formula2>
    </dataValidation>
    <dataValidation type="decimal" errorStyle="stop" imeMode="noControl" operator="between" allowBlank="1" showDropDown="0" showInputMessage="0" showErrorMessage="1" sqref="AP3:AP440">
      <formula1><![CDATA[-999999999999.99]]></formula1>
      <formula2><![CDATA[999999999999.99]]></formula2>
    </dataValidation>
    <dataValidation type="decimal" errorStyle="stop" imeMode="noControl" operator="between" allowBlank="1" showDropDown="0" showInputMessage="0" showErrorMessage="1" sqref="AQ3:AQ440">
      <formula1><![CDATA[-999999999999.99]]></formula1>
      <formula2><![CDATA[999999999999.99]]></formula2>
    </dataValidation>
    <dataValidation type="decimal" errorStyle="stop" imeMode="noControl" operator="between" allowBlank="1" showDropDown="0" showInputMessage="0" showErrorMessage="1" sqref="AR3:AR440">
      <formula1><![CDATA[-999999999999.99]]></formula1>
      <formula2><![CDATA[999999999999.99]]></formula2>
    </dataValidation>
    <dataValidation type="decimal" errorStyle="stop" imeMode="noControl" operator="between" allowBlank="1" showDropDown="0" showInputMessage="0" showErrorMessage="1" sqref="AS3:AS440">
      <formula1><![CDATA[-999999999999.99]]></formula1>
      <formula2><![CDATA[999999999999.99]]></formula2>
    </dataValidation>
    <dataValidation type="decimal" errorStyle="stop" imeMode="noControl" operator="between" allowBlank="1" showDropDown="0" showInputMessage="0" showErrorMessage="1" sqref="AT3:AT440">
      <formula1><![CDATA[-999999999999.99]]></formula1>
      <formula2><![CDATA[999999999999.99]]></formula2>
    </dataValidation>
    <dataValidation type="decimal" errorStyle="stop" imeMode="noControl" operator="between" allowBlank="1" showDropDown="0" showInputMessage="0" showErrorMessage="1" sqref="AU3:AU440">
      <formula1><![CDATA[-999999999999.99]]></formula1>
      <formula2><![CDATA[999999999999.99]]></formula2>
    </dataValidation>
    <dataValidation type="decimal" errorStyle="stop" imeMode="noControl" operator="between" allowBlank="1" showDropDown="0" showInputMessage="0" showErrorMessage="1" sqref="BD3:BD440">
      <formula1><![CDATA[-999999999999.99]]></formula1>
      <formula2><![CDATA[999999999999.99]]></formula2>
    </dataValidation>
    <dataValidation type="decimal" errorStyle="stop" imeMode="noControl" operator="between" allowBlank="1" showDropDown="0" showInputMessage="0" showErrorMessage="1" sqref="BE3:BE440">
      <formula1><![CDATA[-999999999999.99]]></formula1>
      <formula2><![CDATA[999999999999.99]]></formula2>
    </dataValidation>
    <dataValidation type="decimal" errorStyle="stop" imeMode="noControl" operator="between" allowBlank="1" showDropDown="0" showInputMessage="0" showErrorMessage="1" sqref="BI3:BI440">
      <formula1><![CDATA[-999999999999.99]]></formula1>
      <formula2><![CDATA[999999999999.99]]></formula2>
    </dataValidation>
    <dataValidation type="decimal" errorStyle="stop" imeMode="noControl" operator="between" allowBlank="1" showDropDown="0" showInputMessage="0" showErrorMessage="1" sqref="BT3:BT440">
      <formula1><![CDATA[-999999999999.99]]></formula1>
      <formula2><![CDATA[999999999999.99]]></formula2>
    </dataValidation>
    <dataValidation type="decimal" errorStyle="stop" imeMode="noControl" operator="between" allowBlank="1" showDropDown="0" showInputMessage="0" showErrorMessage="1" sqref="BX3:BX440">
      <formula1><![CDATA[-999999999999.99]]></formula1>
      <formula2><![CDATA[999999999999.99]]></formula2>
    </dataValidation>
    <dataValidation type="decimal" errorStyle="stop" imeMode="noControl" operator="between" allowBlank="1" showDropDown="0" showInputMessage="0" showErrorMessage="1" sqref="BY3:BY440">
      <formula1><![CDATA[-999999999999.99]]></formula1>
      <formula2><![CDATA[999999999999.99]]></formula2>
    </dataValidation>
    <dataValidation type="decimal" errorStyle="stop" imeMode="noControl" operator="between" allowBlank="1" showDropDown="0" showInputMessage="0" showErrorMessage="1" sqref="CA3:CA440">
      <formula1><![CDATA[-999999999999.99]]></formula1>
      <formula2><![CDATA[999999999999.99]]></formula2>
    </dataValidation>
    <dataValidation type="decimal" errorStyle="stop" imeMode="noControl" operator="between" allowBlank="1" showDropDown="0" showInputMessage="0" showErrorMessage="1" sqref="CB3:CB440">
      <formula1><![CDATA[-999999999999.99]]></formula1>
      <formula2><![CDATA[999999999999.99]]></formula2>
    </dataValidation>
    <dataValidation type="decimal" errorStyle="stop" imeMode="noControl" operator="between" allowBlank="1" showDropDown="0" showInputMessage="0" showErrorMessage="1" sqref="CC3:CC440">
      <formula1><![CDATA[-999999999999.99]]></formula1>
      <formula2><![CDATA[999999999999.99]]></formula2>
    </dataValidation>
    <dataValidation type="decimal" errorStyle="stop" imeMode="noControl" operator="between" allowBlank="1" showDropDown="0" showInputMessage="0" showErrorMessage="1" sqref="CD3:CD440">
      <formula1><![CDATA[-999999999999.99]]></formula1>
      <formula2><![CDATA[999999999999.99]]></formula2>
    </dataValidation>
    <dataValidation type="decimal" errorStyle="stop" imeMode="noControl" operator="between" allowBlank="1" showDropDown="0" showInputMessage="0" showErrorMessage="1" sqref="CO3:CO440">
      <formula1><![CDATA[-999999999999.99]]></formula1>
      <formula2><![CDATA[999999999999.99]]></formula2>
    </dataValidation>
    <dataValidation type="decimal" errorStyle="stop" imeMode="noControl" operator="between" allowBlank="1" showDropDown="0" showInputMessage="0" showErrorMessage="1" sqref="CS3:CS440">
      <formula1><![CDATA[-999999999999.99]]></formula1>
      <formula2><![CDATA[999999999999.99]]></formula2>
    </dataValidation>
    <dataValidation type="decimal" errorStyle="stop" imeMode="noControl" operator="between" allowBlank="1" showDropDown="0" showInputMessage="0" showErrorMessage="1" sqref="CT3:CT440">
      <formula1><![CDATA[-999999999999.99]]></formula1>
      <formula2><![CDATA[999999999999.99]]></formula2>
    </dataValidation>
    <dataValidation type="decimal" errorStyle="stop" imeMode="noControl" operator="between" allowBlank="1" showDropDown="0" showInputMessage="0" showErrorMessage="1" sqref="CV3:CV440">
      <formula1><![CDATA[-999999999999.99]]></formula1>
      <formula2><![CDATA[999999999999.99]]></formula2>
    </dataValidation>
    <dataValidation type="decimal" errorStyle="stop" imeMode="noControl" operator="between" allowBlank="1" showDropDown="0" showInputMessage="0" showErrorMessage="1" sqref="CW3:CW440">
      <formula1><![CDATA[-999999999999.99]]></formula1>
      <formula2><![CDATA[999999999999.99]]></formula2>
    </dataValidation>
    <dataValidation type="decimal" errorStyle="stop" imeMode="noControl" operator="between" allowBlank="1" showDropDown="0" showInputMessage="0" showErrorMessage="1" sqref="CX3:CX440">
      <formula1><![CDATA[-999999999999.99]]></formula1>
      <formula2><![CDATA[999999999999.99]]></formula2>
    </dataValidation>
    <dataValidation type="decimal" errorStyle="stop" imeMode="noControl" operator="between" allowBlank="1" showDropDown="0" showInputMessage="0" showErrorMessage="1" sqref="CY3:CY440">
      <formula1><![CDATA[-999999999999.99]]></formula1>
      <formula2><![CDATA[999999999999.99]]></formula2>
    </dataValidation>
    <dataValidation type="decimal" errorStyle="stop" imeMode="noControl" operator="between" allowBlank="1" showDropDown="0" showInputMessage="0" showErrorMessage="1" sqref="DJ3:DJ440">
      <formula1><![CDATA[-999999999999.99]]></formula1>
      <formula2><![CDATA[999999999999.99]]></formula2>
    </dataValidation>
    <dataValidation type="decimal" errorStyle="stop" imeMode="noControl" operator="between" allowBlank="1" showDropDown="0" showInputMessage="0" showErrorMessage="1" sqref="DN3:DN440">
      <formula1><![CDATA[-999999999999.99]]></formula1>
      <formula2><![CDATA[999999999999.99]]></formula2>
    </dataValidation>
    <dataValidation type="decimal" errorStyle="stop" imeMode="noControl" operator="between" allowBlank="1" showDropDown="0" showInputMessage="0" showErrorMessage="1" sqref="DO3:DO440">
      <formula1><![CDATA[-999999999999.99]]></formula1>
      <formula2><![CDATA[999999999999.99]]></formula2>
    </dataValidation>
    <dataValidation type="decimal" errorStyle="stop" imeMode="noControl" operator="between" allowBlank="1" showDropDown="0" showInputMessage="0" showErrorMessage="1" sqref="DQ3:DQ440">
      <formula1><![CDATA[-999999999999.99]]></formula1>
      <formula2><![CDATA[999999999999.99]]></formula2>
    </dataValidation>
    <dataValidation type="decimal" errorStyle="stop" imeMode="noControl" operator="between" allowBlank="1" showDropDown="0" showInputMessage="0" showErrorMessage="1" sqref="DR3:DR440">
      <formula1><![CDATA[-999999999999.99]]></formula1>
      <formula2><![CDATA[999999999999.99]]></formula2>
    </dataValidation>
    <dataValidation type="decimal" errorStyle="stop" imeMode="noControl" operator="between" allowBlank="1" showDropDown="0" showInputMessage="0" showErrorMessage="1" sqref="DS3:DS440">
      <formula1><![CDATA[-999999999999.99]]></formula1>
      <formula2><![CDATA[999999999999.99]]></formula2>
    </dataValidation>
    <dataValidation type="decimal" errorStyle="stop" imeMode="noControl" operator="between" allowBlank="1" showDropDown="0" showInputMessage="0" showErrorMessage="1" sqref="DT3:DT440">
      <formula1><![CDATA[-999999999999.99]]></formula1>
      <formula2><![CDATA[999999999999.99]]></formula2>
    </dataValidation>
    <dataValidation type="decimal" errorStyle="stop" imeMode="noControl" operator="between" allowBlank="1" showDropDown="0" showInputMessage="0" showErrorMessage="1" sqref="EE3:EE440">
      <formula1><![CDATA[-999999999999.99]]></formula1>
      <formula2><![CDATA[999999999999.99]]></formula2>
    </dataValidation>
    <dataValidation type="decimal" errorStyle="stop" imeMode="noControl" operator="between" allowBlank="1" showDropDown="0" showInputMessage="0" showErrorMessage="1" sqref="EI3:EI440">
      <formula1><![CDATA[-999999999999.99]]></formula1>
      <formula2><![CDATA[999999999999.99]]></formula2>
    </dataValidation>
    <dataValidation type="decimal" errorStyle="stop" imeMode="noControl" operator="between" allowBlank="1" showDropDown="0" showInputMessage="0" showErrorMessage="1" sqref="EK3:EK440">
      <formula1><![CDATA[-999999999999.99]]></formula1>
      <formula2><![CDATA[999999999999.99]]></formula2>
    </dataValidation>
    <dataValidation type="decimal" errorStyle="stop" imeMode="noControl" operator="between" allowBlank="1" showDropDown="0" showInputMessage="0" showErrorMessage="1" sqref="EL3:EL440">
      <formula1><![CDATA[-999999999999.99]]></formula1>
      <formula2><![CDATA[999999999999.99]]></formula2>
    </dataValidation>
    <dataValidation type="decimal" errorStyle="stop" imeMode="noControl" operator="between" allowBlank="1" showDropDown="0" showInputMessage="0" showErrorMessage="1" sqref="EM3:EM440">
      <formula1><![CDATA[-999999999999.99]]></formula1>
      <formula2><![CDATA[999999999999.99]]></formula2>
    </dataValidation>
    <dataValidation type="decimal" errorStyle="stop" imeMode="noControl" operator="between" allowBlank="1" showDropDown="0" showInputMessage="0" showErrorMessage="1" sqref="EN3:EN440">
      <formula1><![CDATA[-999999999999.99]]></formula1>
      <formula2><![CDATA[999999999999.99]]></formula2>
    </dataValidation>
    <dataValidation type="decimal" errorStyle="stop" imeMode="noControl" operator="between" allowBlank="1" showDropDown="0" showInputMessage="0" showErrorMessage="1" sqref="EY3:EY440">
      <formula1><![CDATA[-999999999999.99]]></formula1>
      <formula2><![CDATA[999999999999.99]]></formula2>
    </dataValidation>
    <dataValidation type="decimal" errorStyle="stop" imeMode="noControl" operator="between" allowBlank="1" showDropDown="0" showInputMessage="0" showErrorMessage="1" sqref="FD3:FD440">
      <formula1><![CDATA[-999999999999.99]]></formula1>
      <formula2><![CDATA[999999999999.99]]></formula2>
    </dataValidation>
    <dataValidation type="decimal" errorStyle="stop" imeMode="noControl" operator="between" allowBlank="1" showDropDown="0" showInputMessage="0" showErrorMessage="1" sqref="FE3:FE440">
      <formula1><![CDATA[-999999999999.99]]></formula1>
      <formula2><![CDATA[999999999999.99]]></formula2>
    </dataValidation>
    <dataValidation type="decimal" errorStyle="stop" imeMode="noControl" operator="between" allowBlank="1" showDropDown="0" showInputMessage="0" showErrorMessage="1" sqref="FG3:FG440">
      <formula1><![CDATA[-999999999999.99]]></formula1>
      <formula2><![CDATA[999999999999.99]]></formula2>
    </dataValidation>
    <dataValidation type="decimal" errorStyle="stop" imeMode="noControl" operator="between" allowBlank="1" showDropDown="0" showInputMessage="0" showErrorMessage="1" sqref="FH3:FH440">
      <formula1><![CDATA[-999999999999.99]]></formula1>
      <formula2><![CDATA[999999999999.99]]></formula2>
    </dataValidation>
    <dataValidation type="decimal" errorStyle="stop" imeMode="noControl" operator="between" allowBlank="1" showDropDown="0" showInputMessage="0" showErrorMessage="1" sqref="FI3:FI440">
      <formula1><![CDATA[-999999999999.99]]></formula1>
      <formula2><![CDATA[999999999999.99]]></formula2>
    </dataValidation>
    <dataValidation type="decimal" errorStyle="stop" imeMode="noControl" operator="between" allowBlank="1" showDropDown="0" showInputMessage="0" showErrorMessage="1" sqref="FJ3:FJ440">
      <formula1><![CDATA[-999999999999.99]]></formula1>
      <formula2><![CDATA[999999999999.99]]></formula2>
    </dataValidation>
    <dataValidation type="decimal" errorStyle="stop" imeMode="noControl" operator="between" allowBlank="1" showDropDown="0" showInputMessage="0" showErrorMessage="1" sqref="FK3:FK440">
      <formula1><![CDATA[-999999999999.99]]></formula1>
      <formula2><![CDATA[999999999999.99]]></formula2>
    </dataValidation>
    <dataValidation type="decimal" errorStyle="stop" imeMode="noControl" operator="between" allowBlank="1" showDropDown="0" showInputMessage="0" showErrorMessage="1" sqref="FL3:FL440">
      <formula1><![CDATA[-999999999999.99]]></formula1>
      <formula2><![CDATA[999999999999.99]]></formula2>
    </dataValidation>
    <dataValidation type="decimal" errorStyle="stop" imeMode="noControl" operator="between" allowBlank="1" showDropDown="0" showInputMessage="0" showErrorMessage="1" sqref="FM3:FM440">
      <formula1><![CDATA[-999999999999.99]]></formula1>
      <formula2><![CDATA[999999999999.99]]></formula2>
    </dataValidation>
    <dataValidation type="decimal" errorStyle="stop" imeMode="noControl" operator="between" allowBlank="1" showDropDown="0" showInputMessage="0" showErrorMessage="1" sqref="FN3:FN440">
      <formula1><![CDATA[-999999999999.99]]></formula1>
      <formula2><![CDATA[999999999999.99]]></formula2>
    </dataValidation>
    <dataValidation type="list" errorStyle="stop" imeMode="noControl" operator="between" allowBlank="1" showDropDown="0" showInputMessage="0" showErrorMessage="1" errorTitle="输入错误" error="请从下拉项中选择" sqref="P3:P440">
      <formula1><![CDATA[StatusOptions_15]]></formula1>
    </dataValidation>
    <dataValidation type="list" errorStyle="stop" imeMode="noControl" operator="between" allowBlank="1" showDropDown="0" showInputMessage="0" showErrorMessage="1" errorTitle="输入错误" error="请从下拉项中选择" sqref="Q3:Q440">
      <formula1><![CDATA[StatusOptions_16]]></formula1>
    </dataValidation>
    <dataValidation type="list" errorStyle="stop" imeMode="noControl" operator="between" allowBlank="1" showDropDown="0" showInputMessage="0" showErrorMessage="1" errorTitle="输入错误" error="请从下拉项中选择" sqref="R3:R440">
      <formula1><![CDATA[StatusOptions_17]]></formula1>
    </dataValidation>
    <dataValidation type="list" errorStyle="stop" imeMode="noControl" operator="between" allowBlank="1" showDropDown="0" showInputMessage="0" showErrorMessage="1" errorTitle="输入错误" error="请从下拉项中选择" sqref="S3:S440">
      <formula1><![CDATA[StatusOptions_18]]></formula1>
    </dataValidation>
    <dataValidation type="list" errorStyle="stop" imeMode="noControl" operator="between" allowBlank="1" showDropDown="0" showInputMessage="0" showErrorMessage="1" errorTitle="输入错误" error="请从下拉项中选择" sqref="T3:T440">
      <formula1><![CDATA[StatusOptions_19]]></formula1>
    </dataValidation>
    <dataValidation type="list" errorStyle="stop" imeMode="noControl" operator="between" allowBlank="1" showDropDown="0" showInputMessage="0" showErrorMessage="1" errorTitle="输入错误" error="请从下拉项中选择" sqref="U3:U440">
      <formula1><![CDATA[StatusOptions_20]]></formula1>
    </dataValidation>
    <dataValidation type="list" errorStyle="stop" imeMode="noControl" operator="between" allowBlank="1" showDropDown="0" showInputMessage="0" showErrorMessage="1" errorTitle="输入错误" error="请从下拉项中选择" sqref="V3:V440">
      <formula1><![CDATA[StatusOptions_21]]></formula1>
    </dataValidation>
    <dataValidation type="list" errorStyle="stop" imeMode="noControl" operator="between" allowBlank="1" showDropDown="0" showInputMessage="0" showErrorMessage="1" errorTitle="输入错误" error="请从下拉项中选择" sqref="W3:W440">
      <formula1><![CDATA[StatusOptions_22]]></formula1>
    </dataValidation>
    <dataValidation type="list" errorStyle="stop" imeMode="noControl" operator="between" allowBlank="1" showDropDown="0" showInputMessage="0" showErrorMessage="1" errorTitle="输入错误" error="请从下拉项中选择" sqref="X3:X440">
      <formula1><![CDATA[StatusOptions_23]]></formula1>
    </dataValidation>
    <dataValidation type="list" errorStyle="stop" imeMode="noControl" operator="between" allowBlank="1" showDropDown="0" showInputMessage="0" showErrorMessage="1" errorTitle="输入错误" error="请从下拉项中选择" sqref="AC3:AC440">
      <formula1><![CDATA[StatusOptions_28]]></formula1>
    </dataValidation>
    <dataValidation type="list" errorStyle="stop" imeMode="noControl" operator="between" allowBlank="1" showDropDown="0" showInputMessage="0" showErrorMessage="1" errorTitle="输入错误" error="请从下拉项中选择" sqref="AG3:AG440">
      <formula1><![CDATA[StatusOptions_32]]></formula1>
    </dataValidation>
    <dataValidation type="list" errorStyle="stop" imeMode="noControl" operator="between" allowBlank="1" showDropDown="0" showInputMessage="0" showErrorMessage="1" errorTitle="输入错误" error="请从下拉项中选择" sqref="AH3:AH440">
      <formula1><![CDATA[StatusOptions_33]]></formula1>
    </dataValidation>
    <dataValidation type="list" errorStyle="stop" imeMode="noControl" operator="between" allowBlank="1" showDropDown="0" showInputMessage="0" showErrorMessage="1" errorTitle="输入错误" error="请从下拉项中选择" sqref="BF3:BF440">
      <formula1><![CDATA[StatusOptions_57]]></formula1>
    </dataValidation>
    <dataValidation type="list" errorStyle="stop" imeMode="noControl" operator="between" allowBlank="1" showDropDown="0" showInputMessage="0" showErrorMessage="1" errorTitle="输入错误" error="请从下拉项中选择" sqref="BW3:BW440">
      <formula1><![CDATA[StatusOptions_74]]></formula1>
    </dataValidation>
    <dataValidation type="list" errorStyle="stop" imeMode="noControl" operator="between" allowBlank="1" showDropDown="0" showInputMessage="0" showErrorMessage="1" errorTitle="输入错误" error="请从下拉项中选择" sqref="BZ3:BZ440">
      <formula1><![CDATA[StatusOptions_77]]></formula1>
    </dataValidation>
    <dataValidation type="list" errorStyle="stop" imeMode="noControl" operator="between" allowBlank="1" showDropDown="0" showInputMessage="0" showErrorMessage="1" errorTitle="输入错误" error="请从下拉项中选择" sqref="CH3:CH440">
      <formula1><![CDATA[StatusOptions_85]]></formula1>
    </dataValidation>
    <dataValidation type="list" errorStyle="stop" imeMode="noControl" operator="between" allowBlank="1" showDropDown="0" showInputMessage="0" showErrorMessage="1" errorTitle="输入错误" error="请从下拉项中选择" sqref="CI3:CI440">
      <formula1><![CDATA[StatusOptions_86]]></formula1>
    </dataValidation>
    <dataValidation type="list" errorStyle="stop" imeMode="noControl" operator="between" allowBlank="1" showDropDown="0" showInputMessage="0" showErrorMessage="1" errorTitle="输入错误" error="请从下拉项中选择" sqref="CJ3:CJ440">
      <formula1><![CDATA[StatusOptions_87]]></formula1>
    </dataValidation>
    <dataValidation type="list" errorStyle="stop" imeMode="noControl" operator="between" allowBlank="1" showDropDown="0" showInputMessage="0" showErrorMessage="1" errorTitle="输入错误" error="请从下拉项中选择" sqref="CK3:CK440">
      <formula1><![CDATA[StatusOptions_88]]></formula1>
    </dataValidation>
    <dataValidation type="list" errorStyle="stop" imeMode="noControl" operator="between" allowBlank="1" showDropDown="0" showInputMessage="0" showErrorMessage="1" errorTitle="输入错误" error="请从下拉项中选择" sqref="CL3:CL440">
      <formula1><![CDATA[StatusOptions_89]]></formula1>
    </dataValidation>
    <dataValidation type="list" errorStyle="stop" imeMode="noControl" operator="between" allowBlank="1" showDropDown="0" showInputMessage="0" showErrorMessage="1" errorTitle="输入错误" error="请从下拉项中选择" sqref="CR3:CR440">
      <formula1><![CDATA[StatusOptions_95]]></formula1>
    </dataValidation>
    <dataValidation type="list" errorStyle="stop" imeMode="noControl" operator="between" allowBlank="1" showDropDown="0" showInputMessage="0" showErrorMessage="1" errorTitle="输入错误" error="请从下拉项中选择" sqref="CU3:CU440">
      <formula1><![CDATA[StatusOptions_98]]></formula1>
    </dataValidation>
    <dataValidation type="list" errorStyle="stop" imeMode="noControl" operator="between" allowBlank="1" showDropDown="0" showInputMessage="0" showErrorMessage="1" errorTitle="输入错误" error="请从下拉项中选择" sqref="DC3:DC440">
      <formula1><![CDATA[StatusOptions_106]]></formula1>
    </dataValidation>
    <dataValidation type="list" errorStyle="stop" imeMode="noControl" operator="between" allowBlank="1" showDropDown="0" showInputMessage="0" showErrorMessage="1" errorTitle="输入错误" error="请从下拉项中选择" sqref="DD3:DD440">
      <formula1><![CDATA[StatusOptions_107]]></formula1>
    </dataValidation>
    <dataValidation type="list" errorStyle="stop" imeMode="noControl" operator="between" allowBlank="1" showDropDown="0" showInputMessage="0" showErrorMessage="1" errorTitle="输入错误" error="请从下拉项中选择" sqref="DE3:DE440">
      <formula1><![CDATA[StatusOptions_108]]></formula1>
    </dataValidation>
    <dataValidation type="list" errorStyle="stop" imeMode="noControl" operator="between" allowBlank="1" showDropDown="0" showInputMessage="0" showErrorMessage="1" errorTitle="输入错误" error="请从下拉项中选择" sqref="DF3:DF440">
      <formula1><![CDATA[StatusOptions_109]]></formula1>
    </dataValidation>
    <dataValidation type="list" errorStyle="stop" imeMode="noControl" operator="between" allowBlank="1" showDropDown="0" showInputMessage="0" showErrorMessage="1" errorTitle="输入错误" error="请从下拉项中选择" sqref="DG3:DG440">
      <formula1><![CDATA[StatusOptions_110]]></formula1>
    </dataValidation>
    <dataValidation type="list" errorStyle="stop" imeMode="noControl" operator="between" allowBlank="1" showDropDown="0" showInputMessage="0" showErrorMessage="1" errorTitle="输入错误" error="请从下拉项中选择" sqref="DM3:DM440">
      <formula1><![CDATA[StatusOptions_116]]></formula1>
    </dataValidation>
    <dataValidation type="list" errorStyle="stop" imeMode="noControl" operator="between" allowBlank="1" showDropDown="0" showInputMessage="0" showErrorMessage="1" errorTitle="输入错误" error="请从下拉项中选择" sqref="DP3:DP440">
      <formula1><![CDATA[StatusOptions_119]]></formula1>
    </dataValidation>
    <dataValidation type="list" errorStyle="stop" imeMode="noControl" operator="between" allowBlank="1" showDropDown="0" showInputMessage="0" showErrorMessage="1" errorTitle="输入错误" error="请从下拉项中选择" sqref="DX3:DX440">
      <formula1><![CDATA[StatusOptions_127]]></formula1>
    </dataValidation>
    <dataValidation type="list" errorStyle="stop" imeMode="noControl" operator="between" allowBlank="1" showDropDown="0" showInputMessage="0" showErrorMessage="1" errorTitle="输入错误" error="请从下拉项中选择" sqref="DY3:DY440">
      <formula1><![CDATA[StatusOptions_128]]></formula1>
    </dataValidation>
    <dataValidation type="list" errorStyle="stop" imeMode="noControl" operator="between" allowBlank="1" showDropDown="0" showInputMessage="0" showErrorMessage="1" errorTitle="输入错误" error="请从下拉项中选择" sqref="DZ3:DZ440">
      <formula1><![CDATA[StatusOptions_129]]></formula1>
    </dataValidation>
    <dataValidation type="list" errorStyle="stop" imeMode="noControl" operator="between" allowBlank="1" showDropDown="0" showInputMessage="0" showErrorMessage="1" errorTitle="输入错误" error="请从下拉项中选择" sqref="EA3:EA440">
      <formula1><![CDATA[StatusOptions_130]]></formula1>
    </dataValidation>
    <dataValidation type="list" errorStyle="stop" imeMode="noControl" operator="between" allowBlank="1" showDropDown="0" showInputMessage="0" showErrorMessage="1" errorTitle="输入错误" error="请从下拉项中选择" sqref="EB3:EB440">
      <formula1><![CDATA[StatusOptions_131]]></formula1>
    </dataValidation>
    <dataValidation type="list" errorStyle="stop" imeMode="noControl" operator="between" allowBlank="1" showDropDown="0" showInputMessage="0" showErrorMessage="1" errorTitle="输入错误" error="请从下拉项中选择" sqref="EH3:EH440">
      <formula1><![CDATA[StatusOptions_137]]></formula1>
    </dataValidation>
    <dataValidation type="list" errorStyle="stop" imeMode="noControl" operator="between" allowBlank="1" showDropDown="0" showInputMessage="0" showErrorMessage="1" errorTitle="输入错误" error="请从下拉项中选择" sqref="EJ3:EJ440">
      <formula1><![CDATA[StatusOptions_139]]></formula1>
    </dataValidation>
    <dataValidation type="list" errorStyle="stop" imeMode="noControl" operator="between" allowBlank="1" showDropDown="0" showInputMessage="0" showErrorMessage="1" errorTitle="输入错误" error="请从下拉项中选择" sqref="ER3:ER440">
      <formula1><![CDATA[StatusOptions_147]]></formula1>
    </dataValidation>
    <dataValidation type="list" errorStyle="stop" imeMode="noControl" operator="between" allowBlank="1" showDropDown="0" showInputMessage="0" showErrorMessage="1" errorTitle="输入错误" error="请从下拉项中选择" sqref="ES3:ES440">
      <formula1><![CDATA[StatusOptions_148]]></formula1>
    </dataValidation>
    <dataValidation type="list" errorStyle="stop" imeMode="noControl" operator="between" allowBlank="1" showDropDown="0" showInputMessage="0" showErrorMessage="1" errorTitle="输入错误" error="请从下拉项中选择" sqref="ET3:ET440">
      <formula1><![CDATA[StatusOptions_149]]></formula1>
    </dataValidation>
    <dataValidation type="list" errorStyle="stop" imeMode="noControl" operator="between" allowBlank="1" showDropDown="0" showInputMessage="0" showErrorMessage="1" errorTitle="输入错误" error="请从下拉项中选择" sqref="EU3:EU440">
      <formula1><![CDATA[StatusOptions_150]]></formula1>
    </dataValidation>
    <dataValidation type="list" errorStyle="stop" imeMode="noControl" operator="between" allowBlank="1" showDropDown="0" showInputMessage="0" showErrorMessage="1" errorTitle="输入错误" error="请从下拉项中选择" sqref="EV3:EV440">
      <formula1><![CDATA[StatusOptions_151]]></formula1>
    </dataValidation>
    <dataValidation type="list" errorStyle="stop" imeMode="noControl" operator="between" allowBlank="1" showDropDown="0" showInputMessage="0" showErrorMessage="1" errorTitle="输入错误" error="请从下拉项中选择" sqref="FB3:FB440">
      <formula1><![CDATA[StatusOptions_157]]></formula1>
    </dataValidation>
    <dataValidation type="list" errorStyle="stop" imeMode="noControl" operator="between" allowBlank="1" showDropDown="0" showInputMessage="0" showErrorMessage="1" errorTitle="输入错误" error="请从下拉项中选择" sqref="FF3:FF440">
      <formula1><![CDATA[StatusOptions_161]]></formula1>
    </dataValidation>
    <dataValidation type="list" errorStyle="stop" imeMode="noControl" operator="between" allowBlank="1" showDropDown="0" showInputMessage="0" showErrorMessage="1" errorTitle="输入错误" error="请从下拉项中选择" sqref="FR3:FR440">
      <formula1><![CDATA[StatusOptions_173]]></formula1>
    </dataValidation>
    <dataValidation type="list" errorStyle="stop" imeMode="noControl" operator="between" allowBlank="1" showDropDown="0" showInputMessage="0" showErrorMessage="1" errorTitle="输入错误" error="请从下拉项中选择" sqref="FS3:FS440">
      <formula1><![CDATA[StatusOptions_174]]></formula1>
    </dataValidation>
    <dataValidation type="list" errorStyle="stop" imeMode="noControl" operator="between" allowBlank="1" showDropDown="0" showInputMessage="0" showErrorMessage="1" errorTitle="输入错误" error="请从下拉项中选择" sqref="FT3:FT440">
      <formula1><![CDATA[StatusOptions_175]]></formula1>
    </dataValidation>
    <dataValidation type="list" errorStyle="stop" imeMode="noControl" operator="between" allowBlank="1" showDropDown="0" showInputMessage="0" showErrorMessage="1" errorTitle="输入错误" error="请从下拉项中选择" sqref="FU3:FU440">
      <formula1><![CDATA[StatusOptions_176]]></formula1>
    </dataValidation>
    <dataValidation type="list" errorStyle="stop" imeMode="noControl" operator="between" allowBlank="1" showDropDown="0" showInputMessage="0" showErrorMessage="1" errorTitle="输入错误" error="请从下拉项中选择" sqref="FV3:FV440">
      <formula1><![CDATA[StatusOptions_17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A.未婚</t>
        </is>
      </c>
    </row>
    <row r="2">
      <c r="A2" t="inlineStr">
        <is>
          <t>B.已婚未育</t>
        </is>
      </c>
    </row>
    <row r="3">
      <c r="A3" t="inlineStr">
        <is>
          <t>C.已婚已育</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A.否</t>
        </is>
      </c>
    </row>
    <row r="2">
      <c r="A2" t="inlineStr">
        <is>
          <t>B.是，主要照护子女</t>
        </is>
      </c>
    </row>
    <row r="3">
      <c r="A3" t="inlineStr">
        <is>
          <t>C.是，主要照护老人</t>
        </is>
      </c>
    </row>
    <row r="4">
      <c r="A4" t="inlineStr">
        <is>
          <t>D.是，同时照护子女和老人</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A.否</t>
        </is>
      </c>
    </row>
    <row r="2">
      <c r="A2" t="inlineStr">
        <is>
          <t>B.有1名</t>
        </is>
      </c>
    </row>
    <row r="3">
      <c r="A3" t="inlineStr">
        <is>
          <t>C.有2名及以上</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A.保持当前工作内容和节奏，收入相对稳定即可</t>
        </is>
      </c>
    </row>
    <row r="2">
      <c r="A2" t="inlineStr">
        <is>
          <t>B.希望工作更稳定、更规律，便于兼顾家庭</t>
        </is>
      </c>
    </row>
    <row r="3">
      <c r="A3" t="inlineStr">
        <is>
          <t>C.希望工作压力适中，但职责边界更清晰</t>
        </is>
      </c>
    </row>
    <row r="4">
      <c r="A4" t="inlineStr">
        <is>
          <t>D.希望承担更有挑战性的工作，并争取更大发展空间</t>
        </is>
      </c>
    </row>
    <row r="5">
      <c r="A5" t="inlineStr">
        <is>
          <t>E.愿意承担更高挑战和更大压力，以换取更高回报或晋升机会</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A.基本满意，希望保持</t>
        </is>
      </c>
    </row>
    <row r="2">
      <c r="A2" t="inlineStr">
        <is>
          <t>B.工作内容可接受，但负荷偏重</t>
        </is>
      </c>
    </row>
    <row r="3">
      <c r="A3" t="inlineStr">
        <is>
          <t>C.工作较稳定，但发展空间不足</t>
        </is>
      </c>
    </row>
    <row r="4">
      <c r="A4" t="inlineStr">
        <is>
          <t>D.工作压力较大，希望调整</t>
        </is>
      </c>
    </row>
    <row r="5">
      <c r="A5" t="inlineStr">
        <is>
          <t>E.希望承担更重要、更有挑战的职责</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A.减少重复性事务</t>
        </is>
      </c>
    </row>
    <row r="2">
      <c r="A2" t="inlineStr">
        <is>
          <t>B.减少无效流转和返工</t>
        </is>
      </c>
    </row>
    <row r="3">
      <c r="A3" t="inlineStr">
        <is>
          <t>C.增加弹性和稳定性</t>
        </is>
      </c>
    </row>
    <row r="4">
      <c r="A4" t="inlineStr">
        <is>
          <t>D.明确职责边界</t>
        </is>
      </c>
    </row>
    <row r="5">
      <c r="A5" t="inlineStr">
        <is>
          <t>E.增加成长性和挑战性</t>
        </is>
      </c>
    </row>
    <row r="6">
      <c r="A6" t="inlineStr">
        <is>
          <t>F.提高支持资源或人员配置</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A.没有</t>
        </is>
      </c>
    </row>
    <row r="2">
      <c r="A2" t="inlineStr">
        <is>
          <t>B.提出过建议，但未推动</t>
        </is>
      </c>
    </row>
    <row r="3">
      <c r="A3" t="inlineStr">
        <is>
          <t>C.推动过局部优化</t>
        </is>
      </c>
    </row>
    <row r="4">
      <c r="A4" t="inlineStr">
        <is>
          <t>D.已形成较稳定优化做法</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A.缺少上级支持</t>
        </is>
      </c>
    </row>
    <row r="2">
      <c r="A2" t="inlineStr">
        <is>
          <t>B.涉及多部门，协调难度大</t>
        </is>
      </c>
    </row>
    <row r="3">
      <c r="A3" t="inlineStr">
        <is>
          <t>C.现有制度流程限制</t>
        </is>
      </c>
    </row>
    <row r="4">
      <c r="A4" t="inlineStr">
        <is>
          <t>D.系统/技术条件不具备</t>
        </is>
      </c>
    </row>
    <row r="5">
      <c r="A5" t="inlineStr">
        <is>
          <t>E.缺少人手或时间推进</t>
        </is>
      </c>
    </row>
    <row r="6">
      <c r="A6" t="inlineStr">
        <is>
          <t>F.责任边界不清</t>
        </is>
      </c>
    </row>
    <row r="7">
      <c r="A7" t="inlineStr">
        <is>
          <t>G.短期看不到收益，难以推动</t>
        </is>
      </c>
    </row>
    <row r="8">
      <c r="A8" t="inlineStr">
        <is>
          <t>H.其他</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A.超负荷 (&gt;120%)</t>
        </is>
      </c>
    </row>
    <row r="2">
      <c r="A2" t="inlineStr">
        <is>
          <t>B.满负荷 (100%-120%)</t>
        </is>
      </c>
    </row>
    <row r="3">
      <c r="A3" t="inlineStr">
        <is>
          <t>C.均衡 (80%-100%)</t>
        </is>
      </c>
    </row>
    <row r="4">
      <c r="A4" t="inlineStr">
        <is>
          <t>D.欠饱和 (60%-80%)</t>
        </is>
      </c>
    </row>
    <row r="5">
      <c r="A5" t="inlineStr">
        <is>
          <t>E.非饱和 (&lt;60%)</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A.高度匹配（得心应手）</t>
        </is>
      </c>
    </row>
    <row r="2">
      <c r="A2" t="inlineStr">
        <is>
          <t>B.基本匹配（正常履行）</t>
        </is>
      </c>
    </row>
    <row r="3">
      <c r="A3" t="inlineStr">
        <is>
          <t>C.存在偏差（需辅导）</t>
        </is>
      </c>
    </row>
    <row r="4">
      <c r="A4" t="inlineStr">
        <is>
          <t>D.完全不匹配（需调岗）</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A.配偶为公司家属，常驻南京，不影响</t>
        </is>
      </c>
    </row>
    <row r="2">
      <c r="A2" t="inlineStr">
        <is>
          <t>B.配偶为公司家属，常驻项目，个人承担更多</t>
        </is>
      </c>
    </row>
    <row r="3">
      <c r="A3" t="inlineStr">
        <is>
          <t>C.配偶为公司家属，常驻项目，但暂无照顾家庭的任务</t>
        </is>
      </c>
    </row>
    <row r="4">
      <c r="A4" t="inlineStr">
        <is>
          <t>D.配偶不是公司家属</t>
        </is>
      </c>
    </row>
    <row r="5">
      <c r="A5" t="inlineStr">
        <is>
          <t>E.未婚，无配偶</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A.有强烈意向</t>
        </is>
      </c>
    </row>
    <row r="2">
      <c r="A2" t="inlineStr">
        <is>
          <t>B.有意向，但是不迫切，需考虑</t>
        </is>
      </c>
    </row>
    <row r="3">
      <c r="A3" t="inlineStr">
        <is>
          <t>C.无意向</t>
        </is>
      </c>
    </row>
    <row r="4">
      <c r="A4" t="inlineStr">
        <is>
          <t>D.无意向，但是可能会动态变化</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A.无此需求</t>
        </is>
      </c>
    </row>
    <row r="2">
      <c r="A2" t="inlineStr">
        <is>
          <t>B.有一定需求</t>
        </is>
      </c>
    </row>
    <row r="3">
      <c r="A3" t="inlineStr">
        <is>
          <t>C.需求较强</t>
        </is>
      </c>
    </row>
    <row r="4">
      <c r="A4" t="inlineStr">
        <is>
          <t>D.非常迫切</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1次</t>
        </is>
      </c>
    </row>
    <row r="2">
      <c r="A2" t="inlineStr">
        <is>
          <t>2-5次</t>
        </is>
      </c>
    </row>
    <row r="3">
      <c r="A3" t="inlineStr">
        <is>
          <t>6-10次</t>
        </is>
      </c>
    </row>
    <row r="4">
      <c r="A4" t="inlineStr">
        <is>
          <t>10次以上</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A.20分钟以内</t>
        </is>
      </c>
    </row>
    <row r="2">
      <c r="A2" t="inlineStr">
        <is>
          <t>B.2小时以内</t>
        </is>
      </c>
    </row>
    <row r="3">
      <c r="A3" t="inlineStr">
        <is>
          <t>C.2-4小时</t>
        </is>
      </c>
    </row>
    <row r="4">
      <c r="A4" t="inlineStr">
        <is>
          <t>D.4-8小时</t>
        </is>
      </c>
    </row>
    <row r="5">
      <c r="A5" t="inlineStr">
        <is>
          <t>E.8小时以上</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上级指令</t>
        </is>
      </c>
    </row>
    <row r="2">
      <c r="A2" t="inlineStr">
        <is>
          <t>部门计划</t>
        </is>
      </c>
    </row>
    <row r="3">
      <c r="A3" t="inlineStr">
        <is>
          <t>跨部门协同</t>
        </is>
      </c>
    </row>
    <row r="4">
      <c r="A4" t="inlineStr">
        <is>
          <t>岗位职责</t>
        </is>
      </c>
    </row>
    <row r="5">
      <c r="A5" t="inlineStr">
        <is>
          <t>自主发起</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重要且紧急</t>
        </is>
      </c>
    </row>
    <row r="2">
      <c r="A2" t="inlineStr">
        <is>
          <t>重要不紧急</t>
        </is>
      </c>
    </row>
    <row r="3">
      <c r="A3" t="inlineStr">
        <is>
          <t>紧急不重要</t>
        </is>
      </c>
    </row>
    <row r="4">
      <c r="A4" t="inlineStr">
        <is>
          <t>不重要不紧急</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高度标准化-有成熟SOP，照做即可</t>
        </is>
      </c>
    </row>
    <row r="2">
      <c r="A2" t="inlineStr">
        <is>
          <t>半标准化-有流程框架，需专业经验</t>
        </is>
      </c>
    </row>
    <row r="3">
      <c r="A3" t="inlineStr">
        <is>
          <t>非标准化-无先例参考，需创新协调</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极少（&lt;5%）</t>
        </is>
      </c>
    </row>
    <row r="2">
      <c r="A2" t="inlineStr">
        <is>
          <t>低频（5%-10%）</t>
        </is>
      </c>
    </row>
    <row r="3">
      <c r="A3" t="inlineStr">
        <is>
          <t>中频（10%-30%）</t>
        </is>
      </c>
    </row>
    <row r="4">
      <c r="A4" t="inlineStr">
        <is>
          <t>高频（&gt;30%）</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脑力/复杂度负荷</t>
        </is>
      </c>
    </row>
    <row r="2">
      <c r="A2" t="inlineStr">
        <is>
          <t>沟通/协调负荷</t>
        </is>
      </c>
    </row>
    <row r="3">
      <c r="A3" t="inlineStr">
        <is>
          <t>时效/强度负荷</t>
        </is>
      </c>
    </row>
    <row r="4">
      <c r="A4" t="inlineStr">
        <is>
          <t>责任/风险负荷</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1次</t>
        </is>
      </c>
    </row>
    <row r="2">
      <c r="A2" t="inlineStr">
        <is>
          <t>2-3次</t>
        </is>
      </c>
    </row>
    <row r="3">
      <c r="A3" t="inlineStr">
        <is>
          <t>4-5次</t>
        </is>
      </c>
    </row>
    <row r="4">
      <c r="A4" t="inlineStr">
        <is>
          <t>5次以上</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A.20分钟以内</t>
        </is>
      </c>
    </row>
    <row r="2">
      <c r="A2" t="inlineStr">
        <is>
          <t>B.2小时以内</t>
        </is>
      </c>
    </row>
    <row r="3">
      <c r="A3" t="inlineStr">
        <is>
          <t>C.2-4小时</t>
        </is>
      </c>
    </row>
    <row r="4">
      <c r="A4" t="inlineStr">
        <is>
          <t>D.4-8小时</t>
        </is>
      </c>
    </row>
    <row r="5">
      <c r="A5" t="inlineStr">
        <is>
          <t>E.8小时以上</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上级指令</t>
        </is>
      </c>
    </row>
    <row r="2">
      <c r="A2" t="inlineStr">
        <is>
          <t>部门计划</t>
        </is>
      </c>
    </row>
    <row r="3">
      <c r="A3" t="inlineStr">
        <is>
          <t>跨部门协同</t>
        </is>
      </c>
    </row>
    <row r="4">
      <c r="A4" t="inlineStr">
        <is>
          <t>岗位职责</t>
        </is>
      </c>
    </row>
    <row r="5">
      <c r="A5" t="inlineStr">
        <is>
          <t>自主发起</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重要且紧急</t>
        </is>
      </c>
    </row>
    <row r="2">
      <c r="A2" t="inlineStr">
        <is>
          <t>重要不紧急</t>
        </is>
      </c>
    </row>
    <row r="3">
      <c r="A3" t="inlineStr">
        <is>
          <t>紧急不重要</t>
        </is>
      </c>
    </row>
    <row r="4">
      <c r="A4" t="inlineStr">
        <is>
          <t>不重要不紧急</t>
        </is>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高度标准化-有成熟SOP，照做即可</t>
        </is>
      </c>
    </row>
    <row r="2">
      <c r="A2" t="inlineStr">
        <is>
          <t>半标准化-有流程框架，需专业经验</t>
        </is>
      </c>
    </row>
    <row r="3">
      <c r="A3" t="inlineStr">
        <is>
          <t>非标准化-无先例参考，需创新协调</t>
        </is>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极少（&lt;5%）</t>
        </is>
      </c>
    </row>
    <row r="2">
      <c r="A2" t="inlineStr">
        <is>
          <t>低频（5%-10%）</t>
        </is>
      </c>
    </row>
    <row r="3">
      <c r="A3" t="inlineStr">
        <is>
          <t>中频（10%-30%）</t>
        </is>
      </c>
    </row>
    <row r="4">
      <c r="A4" t="inlineStr">
        <is>
          <t>高频（&gt;30%）</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脑力/复杂度负荷</t>
        </is>
      </c>
    </row>
    <row r="2">
      <c r="A2" t="inlineStr">
        <is>
          <t>沟通/协调负荷</t>
        </is>
      </c>
    </row>
    <row r="3">
      <c r="A3" t="inlineStr">
        <is>
          <t>时效/强度负荷</t>
        </is>
      </c>
    </row>
    <row r="4">
      <c r="A4" t="inlineStr">
        <is>
          <t>责任/风险负荷</t>
        </is>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1次</t>
        </is>
      </c>
    </row>
    <row r="2">
      <c r="A2" t="inlineStr">
        <is>
          <t>2-3次</t>
        </is>
      </c>
    </row>
    <row r="3">
      <c r="A3" t="inlineStr">
        <is>
          <t>4-8次</t>
        </is>
      </c>
    </row>
    <row r="4">
      <c r="A4" t="inlineStr">
        <is>
          <t>8次以上</t>
        </is>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A.20分钟以内</t>
        </is>
      </c>
    </row>
    <row r="2">
      <c r="A2" t="inlineStr">
        <is>
          <t>B.2小时以内</t>
        </is>
      </c>
    </row>
    <row r="3">
      <c r="A3" t="inlineStr">
        <is>
          <t>C.2-4小时</t>
        </is>
      </c>
    </row>
    <row r="4">
      <c r="A4" t="inlineStr">
        <is>
          <t>D.4-8小时</t>
        </is>
      </c>
    </row>
    <row r="5">
      <c r="A5" t="inlineStr">
        <is>
          <t>E.8小时以上</t>
        </is>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上级指令</t>
        </is>
      </c>
    </row>
    <row r="2">
      <c r="A2" t="inlineStr">
        <is>
          <t>部门计划</t>
        </is>
      </c>
    </row>
    <row r="3">
      <c r="A3" t="inlineStr">
        <is>
          <t>跨部门协同</t>
        </is>
      </c>
    </row>
    <row r="4">
      <c r="A4" t="inlineStr">
        <is>
          <t>岗位职责</t>
        </is>
      </c>
    </row>
    <row r="5">
      <c r="A5" t="inlineStr">
        <is>
          <t>自主发起</t>
        </is>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重要且紧急</t>
        </is>
      </c>
    </row>
    <row r="2">
      <c r="A2" t="inlineStr">
        <is>
          <t>重要不紧急</t>
        </is>
      </c>
    </row>
    <row r="3">
      <c r="A3" t="inlineStr">
        <is>
          <t>紧急不重要</t>
        </is>
      </c>
    </row>
    <row r="4">
      <c r="A4" t="inlineStr">
        <is>
          <t>不重要不紧急</t>
        </is>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高度标准化-有成熟SOP，照做即可</t>
        </is>
      </c>
    </row>
    <row r="2">
      <c r="A2" t="inlineStr">
        <is>
          <t>半标准化-有流程框架，需专业经验</t>
        </is>
      </c>
    </row>
    <row r="3">
      <c r="A3" t="inlineStr">
        <is>
          <t>非标准化-无先例参考，需创新协调</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极少（&lt;5%）</t>
        </is>
      </c>
    </row>
    <row r="2">
      <c r="A2" t="inlineStr">
        <is>
          <t>低频（5%-10%）</t>
        </is>
      </c>
    </row>
    <row r="3">
      <c r="A3" t="inlineStr">
        <is>
          <t>中频（10%-30%）</t>
        </is>
      </c>
    </row>
    <row r="4">
      <c r="A4" t="inlineStr">
        <is>
          <t>高频（&gt;30%）</t>
        </is>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脑力/复杂度负荷</t>
        </is>
      </c>
    </row>
    <row r="2">
      <c r="A2" t="inlineStr">
        <is>
          <t>沟通/协调负荷</t>
        </is>
      </c>
    </row>
    <row r="3">
      <c r="A3" t="inlineStr">
        <is>
          <t>时效/强度负荷</t>
        </is>
      </c>
    </row>
    <row r="4">
      <c r="A4" t="inlineStr">
        <is>
          <t>责任/风险负荷</t>
        </is>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1次</t>
        </is>
      </c>
    </row>
    <row r="2">
      <c r="A2" t="inlineStr">
        <is>
          <t>2次</t>
        </is>
      </c>
    </row>
    <row r="3">
      <c r="A3" t="inlineStr">
        <is>
          <t>3次及以上</t>
        </is>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A.20分钟以内</t>
        </is>
      </c>
    </row>
    <row r="2">
      <c r="A2" t="inlineStr">
        <is>
          <t>B.2小时以内</t>
        </is>
      </c>
    </row>
    <row r="3">
      <c r="A3" t="inlineStr">
        <is>
          <t>C.2-4小时</t>
        </is>
      </c>
    </row>
    <row r="4">
      <c r="A4" t="inlineStr">
        <is>
          <t>D.4-8小时</t>
        </is>
      </c>
    </row>
    <row r="5">
      <c r="A5" t="inlineStr">
        <is>
          <t>E.8小时以上</t>
        </is>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上级指令</t>
        </is>
      </c>
    </row>
    <row r="2">
      <c r="A2" t="inlineStr">
        <is>
          <t>部门计划</t>
        </is>
      </c>
    </row>
    <row r="3">
      <c r="A3" t="inlineStr">
        <is>
          <t>跨部门协同</t>
        </is>
      </c>
    </row>
    <row r="4">
      <c r="A4" t="inlineStr">
        <is>
          <t>岗位职责</t>
        </is>
      </c>
    </row>
    <row r="5">
      <c r="A5" t="inlineStr">
        <is>
          <t>自主发起</t>
        </is>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重要且紧急</t>
        </is>
      </c>
    </row>
    <row r="2">
      <c r="A2" t="inlineStr">
        <is>
          <t>重要不紧急</t>
        </is>
      </c>
    </row>
    <row r="3">
      <c r="A3" t="inlineStr">
        <is>
          <t>紧急不重要</t>
        </is>
      </c>
    </row>
    <row r="4">
      <c r="A4" t="inlineStr">
        <is>
          <t>不重要不紧急</t>
        </is>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高度标准化-有成熟SOP，照做即可</t>
        </is>
      </c>
    </row>
    <row r="2">
      <c r="A2" t="inlineStr">
        <is>
          <t>半标准化-有流程框架，需专业经验</t>
        </is>
      </c>
    </row>
    <row r="3">
      <c r="A3" t="inlineStr">
        <is>
          <t>非标准化-无先例参考，需创新协调</t>
        </is>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极少（&lt;5%）</t>
        </is>
      </c>
    </row>
    <row r="2">
      <c r="A2" t="inlineStr">
        <is>
          <t>低频（5%-10%）</t>
        </is>
      </c>
    </row>
    <row r="3">
      <c r="A3" t="inlineStr">
        <is>
          <t>中频（10%-30%）</t>
        </is>
      </c>
    </row>
    <row r="4">
      <c r="A4" t="inlineStr">
        <is>
          <t>高频（&gt;30%）</t>
        </is>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脑力/复杂度负荷</t>
        </is>
      </c>
    </row>
    <row r="2">
      <c r="A2" t="inlineStr">
        <is>
          <t>沟通/协调负荷</t>
        </is>
      </c>
    </row>
    <row r="3">
      <c r="A3" t="inlineStr">
        <is>
          <t>时效/强度负荷</t>
        </is>
      </c>
    </row>
    <row r="4">
      <c r="A4" t="inlineStr">
        <is>
          <t>责任/风险负荷</t>
        </is>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每月1-2次</t>
        </is>
      </c>
    </row>
    <row r="2">
      <c r="A2" t="inlineStr">
        <is>
          <t>每月3次以上</t>
        </is>
      </c>
    </row>
    <row r="3">
      <c r="A3" t="inlineStr">
        <is>
          <t>每季1-2次</t>
        </is>
      </c>
    </row>
    <row r="4">
      <c r="A4" t="inlineStr">
        <is>
          <t>每季3次以上</t>
        </is>
      </c>
    </row>
    <row r="5">
      <c r="A5" t="inlineStr">
        <is>
          <t>每年1-2次</t>
        </is>
      </c>
    </row>
    <row r="6">
      <c r="A6" t="inlineStr">
        <is>
          <t>每年3次以上</t>
        </is>
      </c>
    </row>
    <row r="7">
      <c r="A7" t="inlineStr">
        <is>
          <t>也有可能不发生</t>
        </is>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A.20分钟以内</t>
        </is>
      </c>
    </row>
    <row r="2">
      <c r="A2" t="inlineStr">
        <is>
          <t>B.2小时以内</t>
        </is>
      </c>
    </row>
    <row r="3">
      <c r="A3" t="inlineStr">
        <is>
          <t>C.2-4小时</t>
        </is>
      </c>
    </row>
    <row r="4">
      <c r="A4" t="inlineStr">
        <is>
          <t>D.4-8小时</t>
        </is>
      </c>
    </row>
    <row r="5">
      <c r="A5" t="inlineStr">
        <is>
          <t>E.8小时以上</t>
        </is>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上级指令</t>
        </is>
      </c>
    </row>
    <row r="2">
      <c r="A2" t="inlineStr">
        <is>
          <t>部门计划</t>
        </is>
      </c>
    </row>
    <row r="3">
      <c r="A3" t="inlineStr">
        <is>
          <t>跨部门协同</t>
        </is>
      </c>
    </row>
    <row r="4">
      <c r="A4" t="inlineStr">
        <is>
          <t>岗位职责</t>
        </is>
      </c>
    </row>
    <row r="5">
      <c r="A5" t="inlineStr">
        <is>
          <t>自主发起</t>
        </is>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重要且紧急</t>
        </is>
      </c>
    </row>
    <row r="2">
      <c r="A2" t="inlineStr">
        <is>
          <t>重要不紧急</t>
        </is>
      </c>
    </row>
    <row r="3">
      <c r="A3" t="inlineStr">
        <is>
          <t>紧急不重要</t>
        </is>
      </c>
    </row>
    <row r="4">
      <c r="A4" t="inlineStr">
        <is>
          <t>不重要不紧急</t>
        </is>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高度标准化-有成熟SOP，照做即可</t>
        </is>
      </c>
    </row>
    <row r="2">
      <c r="A2" t="inlineStr">
        <is>
          <t>半标准化-有流程框架，需专业经验</t>
        </is>
      </c>
    </row>
    <row r="3">
      <c r="A3" t="inlineStr">
        <is>
          <t>非标准化-无先例参考，需创新协调</t>
        </is>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极少（&lt;5%）</t>
        </is>
      </c>
    </row>
    <row r="2">
      <c r="A2" t="inlineStr">
        <is>
          <t>低频（5%-10%）</t>
        </is>
      </c>
    </row>
    <row r="3">
      <c r="A3" t="inlineStr">
        <is>
          <t>中频（10%-30%）</t>
        </is>
      </c>
    </row>
    <row r="4">
      <c r="A4" t="inlineStr">
        <is>
          <t>高频（&gt;30%）</t>
        </is>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脑力/复杂度负荷</t>
        </is>
      </c>
    </row>
    <row r="2">
      <c r="A2" t="inlineStr">
        <is>
          <t>沟通/协调负荷</t>
        </is>
      </c>
    </row>
    <row r="3">
      <c r="A3" t="inlineStr">
        <is>
          <t>时效/强度负荷</t>
        </is>
      </c>
    </row>
    <row r="4">
      <c r="A4" t="inlineStr">
        <is>
          <t>责任/风险负荷</t>
        </is>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2026-05-27T00:23:42Z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2.7.4</vt:lpwstr>
  </q1:property>
</q1:Properties>
</file>